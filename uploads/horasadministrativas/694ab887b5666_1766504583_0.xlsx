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onkatherineacunarubiano/Desktop/2025 LIDER GINECOLOGIA /DICIEMBRE/"/>
    </mc:Choice>
  </mc:AlternateContent>
  <xr:revisionPtr revIDLastSave="0" documentId="8_{7EBDE582-CACA-EB41-9CF6-D5CA2158468A}" xr6:coauthVersionLast="47" xr6:coauthVersionMax="47" xr10:uidLastSave="{00000000-0000-0000-0000-000000000000}"/>
  <bookViews>
    <workbookView xWindow="0" yWindow="0" windowWidth="25600" windowHeight="16000" xr2:uid="{6CDD7DD2-C734-49FE-94D9-A39C01B0FF41}"/>
  </bookViews>
  <sheets>
    <sheet name="ABRIL G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1" l="1"/>
  <c r="M36" i="1"/>
  <c r="O20" i="1"/>
  <c r="K20" i="1"/>
  <c r="L20" i="1"/>
  <c r="H36" i="1"/>
  <c r="H14" i="1"/>
  <c r="F14" i="1"/>
  <c r="F36" i="1"/>
  <c r="N20" i="1"/>
  <c r="J36" i="1"/>
  <c r="Z33" i="1"/>
  <c r="AB33" i="1"/>
  <c r="AB26" i="1"/>
  <c r="AC26" i="1"/>
  <c r="AG33" i="1"/>
  <c r="AF33" i="1"/>
  <c r="AE33" i="1"/>
  <c r="Y31" i="1"/>
  <c r="AG36" i="1"/>
  <c r="W31" i="1"/>
  <c r="R26" i="1"/>
  <c r="V26" i="1"/>
  <c r="G14" i="1"/>
  <c r="AA33" i="1"/>
  <c r="Z26" i="1"/>
  <c r="AD26" i="1"/>
  <c r="Y28" i="1"/>
  <c r="P36" i="1"/>
  <c r="AD33" i="1"/>
  <c r="U26" i="1"/>
  <c r="I14" i="1"/>
  <c r="E36" i="1" l="1"/>
</calcChain>
</file>

<file path=xl/sharedStrings.xml><?xml version="1.0" encoding="utf-8"?>
<sst xmlns="http://schemas.openxmlformats.org/spreadsheetml/2006/main" count="210" uniqueCount="67">
  <si>
    <t xml:space="preserve">                                                    E.S.E. HOSPITAL REGIONAL DE MONIQUIRA</t>
  </si>
  <si>
    <t>CÓDIGO</t>
  </si>
  <si>
    <t>MACROPROCESO</t>
  </si>
  <si>
    <t>D.E.</t>
  </si>
  <si>
    <t>SUBPROCESO</t>
  </si>
  <si>
    <t>VERSIÓN</t>
  </si>
  <si>
    <t>TIPO DE DOCUMENTO</t>
  </si>
  <si>
    <t>NOMBRE</t>
  </si>
  <si>
    <t>Pág. 1 de 1</t>
  </si>
  <si>
    <t>ÁREA:</t>
  </si>
  <si>
    <t>ESPECIALIDAD</t>
  </si>
  <si>
    <t>NOMBRE PROFESIONAL</t>
  </si>
  <si>
    <t>JUEVES</t>
  </si>
  <si>
    <t>VIERNES</t>
  </si>
  <si>
    <t>DOMINGO</t>
  </si>
  <si>
    <t>LUNES</t>
  </si>
  <si>
    <t>MARTES</t>
  </si>
  <si>
    <t xml:space="preserve">GINECOLOGIA </t>
  </si>
  <si>
    <t xml:space="preserve">TD 7 A 7 </t>
  </si>
  <si>
    <t>ECO 4 7 A 1</t>
  </si>
  <si>
    <t xml:space="preserve">CE1  7 A 1 </t>
  </si>
  <si>
    <t>SABADO</t>
  </si>
  <si>
    <t>CX2 7 A 1</t>
  </si>
  <si>
    <t>GINECOLOGIA</t>
  </si>
  <si>
    <t>ANDERSON MORENO TEL 3165267973</t>
  </si>
  <si>
    <t>CATHERINE CAMARGO TEL 3106989483</t>
  </si>
  <si>
    <t>SHARON ACUÑA  TEL 3102942692</t>
  </si>
  <si>
    <t>GINECO</t>
  </si>
  <si>
    <t xml:space="preserve">SABADO </t>
  </si>
  <si>
    <t>MIERCOLES</t>
  </si>
  <si>
    <t xml:space="preserve">DISP NOCHE </t>
  </si>
  <si>
    <t>CE1  1 A 7</t>
  </si>
  <si>
    <t xml:space="preserve">TT 1 A 7 </t>
  </si>
  <si>
    <t xml:space="preserve">TM 7  A 1 </t>
  </si>
  <si>
    <t xml:space="preserve">JORNADAS CONSULTA </t>
  </si>
  <si>
    <t>JORNADAS ECOS</t>
  </si>
  <si>
    <t xml:space="preserve">JORNADAS CX </t>
  </si>
  <si>
    <t>TIPO DE JORNADA</t>
  </si>
  <si>
    <t>TOTAL JORNADAS</t>
  </si>
  <si>
    <t>JUAN SUAREZ</t>
  </si>
  <si>
    <t>CX2 1 A 7</t>
  </si>
  <si>
    <t xml:space="preserve">ADM  AM </t>
  </si>
  <si>
    <t xml:space="preserve">JUEVES </t>
  </si>
  <si>
    <t xml:space="preserve">VIERNES </t>
  </si>
  <si>
    <t xml:space="preserve">lunes pm </t>
  </si>
  <si>
    <t xml:space="preserve">martes pm </t>
  </si>
  <si>
    <t>consulta</t>
  </si>
  <si>
    <t xml:space="preserve">jueves no programar </t>
  </si>
  <si>
    <t xml:space="preserve">miercoles am </t>
  </si>
  <si>
    <t xml:space="preserve">viernes am </t>
  </si>
  <si>
    <t xml:space="preserve">consulta externa : </t>
  </si>
  <si>
    <t xml:space="preserve">ecos 100 horas </t>
  </si>
  <si>
    <t>ecos ***</t>
  </si>
  <si>
    <t xml:space="preserve">vienes pm </t>
  </si>
  <si>
    <t xml:space="preserve">sabado </t>
  </si>
  <si>
    <t xml:space="preserve">domino </t>
  </si>
  <si>
    <t>JORNADA COLPOSCOPIA 2</t>
  </si>
  <si>
    <t xml:space="preserve">MIERCOLES </t>
  </si>
  <si>
    <t>ECO 4 1 A 7</t>
  </si>
  <si>
    <t>I</t>
  </si>
  <si>
    <t>PROECD</t>
  </si>
  <si>
    <t>COPLO</t>
  </si>
  <si>
    <t>MIERCOLES 29</t>
  </si>
  <si>
    <t xml:space="preserve">DAYANA </t>
  </si>
  <si>
    <t xml:space="preserve">LUNES </t>
  </si>
  <si>
    <t xml:space="preserve">CAMACHO </t>
  </si>
  <si>
    <t xml:space="preserve">ECOS 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</si>
</sst>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sz val="1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8"/>
      <color theme="1"/>
      <name val="Calibri"/>
      <family val="2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sz val="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rgb="FFD9E2F3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D149A"/>
        <bgColor rgb="FFDEEAF6"/>
      </patternFill>
    </fill>
    <fill>
      <patternFill patternType="solid">
        <fgColor rgb="FFAD149A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theme="2"/>
      </right>
      <top style="thin">
        <color theme="2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22" xfId="0" applyBorder="1"/>
    <xf numFmtId="0" fontId="4" fillId="0" borderId="23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" fillId="2" borderId="24" xfId="0" applyFont="1" applyFill="1" applyBorder="1" applyAlignment="1">
      <alignment vertical="center" wrapText="1"/>
    </xf>
    <xf numFmtId="0" fontId="0" fillId="2" borderId="0" xfId="0" applyFill="1"/>
    <xf numFmtId="0" fontId="7" fillId="2" borderId="29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vertical="center" wrapText="1"/>
    </xf>
    <xf numFmtId="0" fontId="0" fillId="2" borderId="29" xfId="0" applyFill="1" applyBorder="1"/>
    <xf numFmtId="0" fontId="7" fillId="2" borderId="35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0" fillId="2" borderId="30" xfId="0" applyFill="1" applyBorder="1"/>
    <xf numFmtId="0" fontId="0" fillId="2" borderId="36" xfId="0" applyFill="1" applyBorder="1"/>
    <xf numFmtId="0" fontId="0" fillId="0" borderId="25" xfId="0" applyBorder="1"/>
    <xf numFmtId="0" fontId="0" fillId="8" borderId="29" xfId="0" applyFill="1" applyBorder="1" applyAlignment="1">
      <alignment horizontal="left"/>
    </xf>
    <xf numFmtId="0" fontId="0" fillId="0" borderId="29" xfId="0" applyBorder="1" applyAlignment="1">
      <alignment horizontal="left"/>
    </xf>
    <xf numFmtId="0" fontId="8" fillId="0" borderId="34" xfId="0" applyFont="1" applyBorder="1" applyAlignment="1">
      <alignment horizontal="center" vertical="center" wrapText="1"/>
    </xf>
    <xf numFmtId="0" fontId="7" fillId="9" borderId="31" xfId="0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2" xfId="0" applyFill="1" applyBorder="1"/>
    <xf numFmtId="0" fontId="7" fillId="10" borderId="29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/>
    </xf>
    <xf numFmtId="0" fontId="11" fillId="2" borderId="0" xfId="0" applyFont="1" applyFill="1"/>
    <xf numFmtId="0" fontId="0" fillId="2" borderId="39" xfId="0" applyFill="1" applyBorder="1"/>
    <xf numFmtId="0" fontId="0" fillId="2" borderId="29" xfId="0" applyFill="1" applyBorder="1" applyAlignment="1">
      <alignment horizontal="left"/>
    </xf>
    <xf numFmtId="0" fontId="12" fillId="0" borderId="23" xfId="0" applyFont="1" applyBorder="1" applyAlignment="1">
      <alignment horizontal="center" vertical="center" wrapText="1"/>
    </xf>
    <xf numFmtId="0" fontId="9" fillId="11" borderId="29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7" fillId="10" borderId="31" xfId="0" applyFont="1" applyFill="1" applyBorder="1" applyAlignment="1">
      <alignment horizontal="center" vertical="center" wrapText="1"/>
    </xf>
    <xf numFmtId="0" fontId="0" fillId="0" borderId="29" xfId="0" applyBorder="1"/>
    <xf numFmtId="0" fontId="0" fillId="13" borderId="0" xfId="0" applyFill="1"/>
    <xf numFmtId="0" fontId="14" fillId="0" borderId="0" xfId="0" applyFont="1"/>
    <xf numFmtId="12" fontId="0" fillId="2" borderId="29" xfId="0" applyNumberFormat="1" applyFill="1" applyBorder="1" applyAlignment="1">
      <alignment horizontal="left"/>
    </xf>
    <xf numFmtId="0" fontId="0" fillId="0" borderId="30" xfId="0" applyBorder="1"/>
    <xf numFmtId="0" fontId="0" fillId="0" borderId="36" xfId="0" applyBorder="1"/>
    <xf numFmtId="0" fontId="0" fillId="0" borderId="0" xfId="0" applyAlignment="1">
      <alignment horizontal="left"/>
    </xf>
    <xf numFmtId="0" fontId="7" fillId="14" borderId="29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/>
    </xf>
    <xf numFmtId="0" fontId="9" fillId="11" borderId="32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5" fillId="2" borderId="0" xfId="0" applyFont="1" applyFill="1"/>
    <xf numFmtId="0" fontId="5" fillId="2" borderId="23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 wrapText="1"/>
    </xf>
    <xf numFmtId="0" fontId="0" fillId="15" borderId="43" xfId="0" applyFill="1" applyBorder="1"/>
    <xf numFmtId="0" fontId="0" fillId="15" borderId="23" xfId="0" applyFill="1" applyBorder="1"/>
    <xf numFmtId="0" fontId="9" fillId="16" borderId="24" xfId="0" applyFont="1" applyFill="1" applyBorder="1" applyAlignment="1">
      <alignment horizontal="center" vertical="center"/>
    </xf>
    <xf numFmtId="0" fontId="9" fillId="16" borderId="34" xfId="0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/>
    </xf>
    <xf numFmtId="0" fontId="10" fillId="17" borderId="29" xfId="0" applyFont="1" applyFill="1" applyBorder="1" applyAlignment="1">
      <alignment horizontal="center" vertical="center"/>
    </xf>
    <xf numFmtId="0" fontId="0" fillId="17" borderId="30" xfId="0" applyFill="1" applyBorder="1"/>
    <xf numFmtId="0" fontId="0" fillId="17" borderId="29" xfId="0" applyFill="1" applyBorder="1"/>
    <xf numFmtId="0" fontId="0" fillId="17" borderId="36" xfId="0" applyFill="1" applyBorder="1"/>
    <xf numFmtId="0" fontId="0" fillId="17" borderId="32" xfId="0" applyFill="1" applyBorder="1"/>
    <xf numFmtId="0" fontId="0" fillId="17" borderId="23" xfId="0" applyFill="1" applyBorder="1"/>
    <xf numFmtId="0" fontId="0" fillId="6" borderId="29" xfId="0" applyFill="1" applyBorder="1"/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/>
    <xf numFmtId="0" fontId="4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8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3" xfId="0" applyFont="1" applyBorder="1"/>
    <xf numFmtId="0" fontId="4" fillId="0" borderId="23" xfId="0" applyFont="1" applyBorder="1" applyAlignment="1">
      <alignment vertical="center"/>
    </xf>
    <xf numFmtId="0" fontId="3" fillId="0" borderId="9" xfId="0" applyFont="1" applyBorder="1"/>
    <xf numFmtId="0" fontId="4" fillId="0" borderId="4" xfId="0" applyFont="1" applyBorder="1" applyAlignment="1">
      <alignment horizontal="center" vertical="center"/>
    </xf>
    <xf numFmtId="0" fontId="3" fillId="0" borderId="2" xfId="0" applyFont="1" applyBorder="1"/>
    <xf numFmtId="0" fontId="3" fillId="0" borderId="5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D149A"/>
      <color rgb="FF3B2ED9"/>
      <color rgb="FFFF42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95425" cy="1571624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356DD7E1-316D-4620-9185-7D899D4BA7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95425" cy="157162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haronkatherineacunarubiano/Desktop/Li&#769;der%20gineco%202024/CUADRO%20DE%20TURNOS%20GINECO%20/CUADRO%20DE%20TURNOS%20%20NOVIEMBRE%20/planteamiento%20nov%20gine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1DE6-BD7C-4D89-9EEF-EE343AB0D04F}">
  <dimension ref="A1:AK67"/>
  <sheetViews>
    <sheetView tabSelected="1" zoomScale="50" zoomScaleNormal="40" workbookViewId="0">
      <pane xSplit="2" ySplit="12" topLeftCell="C13" activePane="bottomRight" state="frozen"/>
      <selection activeCell="B11" sqref="B11"/>
      <selection pane="topRight" activeCell="C11" sqref="C11"/>
      <selection pane="bottomLeft" activeCell="B13" sqref="B13"/>
      <selection pane="bottomRight" activeCell="T38" sqref="T38:T39"/>
    </sheetView>
  </sheetViews>
  <sheetFormatPr baseColWidth="10" defaultRowHeight="31" customHeight="1" x14ac:dyDescent="0.2"/>
  <cols>
    <col min="1" max="1" width="26.5" customWidth="1"/>
    <col min="2" max="2" width="26.6640625" customWidth="1"/>
    <col min="3" max="3" width="13.5" bestFit="1" customWidth="1"/>
    <col min="9" max="9" width="13.5" bestFit="1" customWidth="1"/>
    <col min="15" max="15" width="13.5" bestFit="1" customWidth="1"/>
    <col min="22" max="22" width="13.5" customWidth="1"/>
  </cols>
  <sheetData>
    <row r="1" spans="1:37" ht="31" customHeight="1" thickBot="1" x14ac:dyDescent="0.25"/>
    <row r="2" spans="1:37" ht="31" customHeight="1" x14ac:dyDescent="0.2">
      <c r="A2" s="1"/>
      <c r="B2" s="118" t="s">
        <v>0</v>
      </c>
      <c r="C2" s="110"/>
      <c r="D2" s="110"/>
      <c r="E2" s="110"/>
      <c r="F2" s="110"/>
      <c r="G2" s="110"/>
      <c r="H2" s="110"/>
      <c r="I2" s="110"/>
      <c r="J2" s="110"/>
      <c r="K2" s="110"/>
      <c r="L2" s="119"/>
      <c r="M2" s="109" t="s">
        <v>1</v>
      </c>
      <c r="N2" s="110"/>
      <c r="O2" s="110"/>
      <c r="P2" s="110"/>
      <c r="Q2" s="110"/>
      <c r="R2" s="110"/>
      <c r="S2" s="110"/>
      <c r="T2" s="110"/>
      <c r="U2" s="111"/>
    </row>
    <row r="3" spans="1:37" ht="31" customHeight="1" x14ac:dyDescent="0.2">
      <c r="A3" s="1"/>
      <c r="B3" s="2" t="s">
        <v>2</v>
      </c>
      <c r="C3" s="100"/>
      <c r="D3" s="100"/>
      <c r="E3" s="100"/>
      <c r="F3" s="100"/>
      <c r="G3" s="100"/>
      <c r="H3" s="100"/>
      <c r="I3" s="100"/>
      <c r="J3" s="100"/>
      <c r="K3" s="100"/>
      <c r="L3" s="108"/>
      <c r="M3" s="99" t="s">
        <v>3</v>
      </c>
      <c r="N3" s="100"/>
      <c r="O3" s="100"/>
      <c r="P3" s="100"/>
      <c r="Q3" s="100"/>
      <c r="R3" s="100"/>
      <c r="S3" s="100"/>
      <c r="T3" s="100"/>
      <c r="U3" s="101"/>
    </row>
    <row r="4" spans="1:37" ht="31" customHeight="1" x14ac:dyDescent="0.2">
      <c r="A4" s="1"/>
      <c r="B4" s="3" t="s">
        <v>4</v>
      </c>
      <c r="C4" s="100"/>
      <c r="D4" s="100"/>
      <c r="E4" s="100"/>
      <c r="F4" s="100"/>
      <c r="G4" s="100"/>
      <c r="H4" s="100"/>
      <c r="I4" s="100"/>
      <c r="J4" s="100"/>
      <c r="K4" s="100"/>
      <c r="L4" s="108"/>
      <c r="M4" s="112" t="s">
        <v>5</v>
      </c>
      <c r="N4" s="113"/>
      <c r="O4" s="113"/>
      <c r="P4" s="113"/>
      <c r="Q4" s="113"/>
      <c r="R4" s="113"/>
      <c r="S4" s="113"/>
      <c r="T4" s="113"/>
      <c r="U4" s="114"/>
    </row>
    <row r="5" spans="1:37" ht="31" customHeight="1" x14ac:dyDescent="0.2">
      <c r="A5" s="1"/>
      <c r="B5" s="3"/>
      <c r="C5" s="100"/>
      <c r="D5" s="100"/>
      <c r="E5" s="100"/>
      <c r="F5" s="100"/>
      <c r="G5" s="100"/>
      <c r="H5" s="100"/>
      <c r="I5" s="100"/>
      <c r="J5" s="100"/>
      <c r="K5" s="100"/>
      <c r="L5" s="108"/>
      <c r="M5" s="115"/>
      <c r="N5" s="116"/>
      <c r="O5" s="116"/>
      <c r="P5" s="116"/>
      <c r="Q5" s="116"/>
      <c r="R5" s="116"/>
      <c r="S5" s="116"/>
      <c r="T5" s="116"/>
      <c r="U5" s="117"/>
    </row>
    <row r="6" spans="1:37" ht="31" customHeight="1" x14ac:dyDescent="0.2">
      <c r="A6" s="1"/>
      <c r="B6" s="2" t="s">
        <v>6</v>
      </c>
      <c r="C6" s="100"/>
      <c r="D6" s="100"/>
      <c r="E6" s="100"/>
      <c r="F6" s="100"/>
      <c r="G6" s="100"/>
      <c r="H6" s="100"/>
      <c r="I6" s="100"/>
      <c r="J6" s="100"/>
      <c r="K6" s="100"/>
      <c r="L6" s="108"/>
      <c r="M6" s="99">
        <v>2</v>
      </c>
      <c r="N6" s="100"/>
      <c r="O6" s="100"/>
      <c r="P6" s="100"/>
      <c r="Q6" s="100"/>
      <c r="R6" s="100"/>
      <c r="S6" s="100"/>
      <c r="T6" s="100"/>
      <c r="U6" s="101"/>
      <c r="AK6" t="s">
        <v>66</v>
      </c>
    </row>
    <row r="7" spans="1:37" ht="31" customHeight="1" thickBot="1" x14ac:dyDescent="0.25">
      <c r="A7" s="1"/>
      <c r="B7" s="4" t="s">
        <v>7</v>
      </c>
      <c r="C7" s="102"/>
      <c r="D7" s="102"/>
      <c r="E7" s="102"/>
      <c r="F7" s="102"/>
      <c r="G7" s="102"/>
      <c r="H7" s="102"/>
      <c r="I7" s="102"/>
      <c r="J7" s="102"/>
      <c r="K7" s="102"/>
      <c r="L7" s="103"/>
      <c r="M7" s="104" t="s">
        <v>8</v>
      </c>
      <c r="N7" s="102"/>
      <c r="O7" s="102"/>
      <c r="P7" s="102"/>
      <c r="Q7" s="102"/>
      <c r="R7" s="102"/>
      <c r="S7" s="102"/>
      <c r="T7" s="102"/>
      <c r="U7" s="105"/>
    </row>
    <row r="8" spans="1:37" ht="31" customHeight="1" x14ac:dyDescent="0.2">
      <c r="A8" s="5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6"/>
      <c r="N8" s="6"/>
      <c r="O8" s="6"/>
      <c r="P8" s="6"/>
      <c r="Q8" s="6"/>
      <c r="R8" s="6"/>
      <c r="S8" s="6"/>
      <c r="T8" s="6"/>
      <c r="U8" s="6"/>
    </row>
    <row r="9" spans="1:37" ht="31" customHeight="1" x14ac:dyDescent="0.2">
      <c r="M9" s="13"/>
      <c r="N9" s="13"/>
      <c r="S9" s="6"/>
      <c r="T9" s="6"/>
      <c r="U9" s="6"/>
    </row>
    <row r="10" spans="1:37" ht="53" customHeight="1" x14ac:dyDescent="0.2">
      <c r="A10" s="9"/>
      <c r="B10" s="10"/>
      <c r="C10" s="106"/>
      <c r="D10" s="106"/>
      <c r="E10" s="106"/>
      <c r="F10" s="106"/>
      <c r="G10" s="107" t="s">
        <v>9</v>
      </c>
      <c r="H10" s="106"/>
      <c r="I10" s="106"/>
      <c r="J10" s="11" t="s">
        <v>27</v>
      </c>
      <c r="K10" s="11"/>
      <c r="L10" s="11"/>
      <c r="M10" s="67"/>
      <c r="N10" s="67"/>
      <c r="O10" s="67"/>
      <c r="P10" s="49"/>
      <c r="Q10" s="11"/>
      <c r="R10" s="11"/>
      <c r="S10" s="6"/>
      <c r="T10" s="6"/>
      <c r="U10" s="6"/>
      <c r="V10" s="66"/>
      <c r="X10" s="13"/>
    </row>
    <row r="11" spans="1:37" s="8" customFormat="1" ht="31" customHeight="1" x14ac:dyDescent="0.2">
      <c r="A11" s="81" t="s">
        <v>10</v>
      </c>
      <c r="B11" s="83" t="s">
        <v>11</v>
      </c>
      <c r="C11" s="71" t="s">
        <v>15</v>
      </c>
      <c r="D11" s="71" t="s">
        <v>16</v>
      </c>
      <c r="E11" s="71" t="s">
        <v>29</v>
      </c>
      <c r="F11" s="71" t="s">
        <v>12</v>
      </c>
      <c r="G11" s="71" t="s">
        <v>13</v>
      </c>
      <c r="H11" s="71" t="s">
        <v>21</v>
      </c>
      <c r="I11" s="72" t="s">
        <v>14</v>
      </c>
      <c r="J11" s="73" t="s">
        <v>15</v>
      </c>
      <c r="K11" s="74" t="s">
        <v>16</v>
      </c>
      <c r="L11" s="74" t="s">
        <v>29</v>
      </c>
      <c r="M11" s="74" t="s">
        <v>42</v>
      </c>
      <c r="N11" s="75" t="s">
        <v>43</v>
      </c>
      <c r="O11" s="76" t="s">
        <v>21</v>
      </c>
      <c r="P11" s="76" t="s">
        <v>14</v>
      </c>
      <c r="Q11" s="76" t="s">
        <v>15</v>
      </c>
      <c r="R11" s="76" t="s">
        <v>16</v>
      </c>
      <c r="S11" s="76" t="s">
        <v>57</v>
      </c>
      <c r="T11" s="76" t="s">
        <v>42</v>
      </c>
      <c r="U11" s="77" t="s">
        <v>13</v>
      </c>
      <c r="V11" s="76" t="s">
        <v>28</v>
      </c>
      <c r="W11" s="76" t="s">
        <v>14</v>
      </c>
      <c r="X11" s="76" t="s">
        <v>15</v>
      </c>
      <c r="Y11" s="76" t="s">
        <v>16</v>
      </c>
      <c r="Z11" s="76" t="s">
        <v>62</v>
      </c>
      <c r="AA11" s="80" t="s">
        <v>42</v>
      </c>
      <c r="AB11" s="76" t="s">
        <v>13</v>
      </c>
      <c r="AC11" s="76" t="s">
        <v>21</v>
      </c>
      <c r="AD11" s="78" t="s">
        <v>14</v>
      </c>
      <c r="AE11" s="69" t="s">
        <v>64</v>
      </c>
      <c r="AF11" s="70" t="s">
        <v>16</v>
      </c>
      <c r="AG11" s="79" t="s">
        <v>57</v>
      </c>
    </row>
    <row r="12" spans="1:37" s="8" customFormat="1" ht="31" customHeight="1" x14ac:dyDescent="0.2">
      <c r="A12" s="82"/>
      <c r="B12" s="82"/>
      <c r="C12" s="61">
        <v>1</v>
      </c>
      <c r="D12" s="61">
        <v>2</v>
      </c>
      <c r="E12" s="61">
        <v>3</v>
      </c>
      <c r="F12" s="62">
        <v>4</v>
      </c>
      <c r="G12" s="62">
        <v>5</v>
      </c>
      <c r="H12" s="61">
        <v>6</v>
      </c>
      <c r="I12" s="63">
        <v>7</v>
      </c>
      <c r="J12" s="64">
        <v>8</v>
      </c>
      <c r="K12" s="65">
        <v>9</v>
      </c>
      <c r="L12" s="51">
        <v>10</v>
      </c>
      <c r="M12" s="51">
        <v>11</v>
      </c>
      <c r="N12" s="35">
        <v>12</v>
      </c>
      <c r="O12" s="25">
        <v>13</v>
      </c>
      <c r="P12" s="25">
        <v>14</v>
      </c>
      <c r="Q12" s="25">
        <v>15</v>
      </c>
      <c r="R12" s="25">
        <v>16</v>
      </c>
      <c r="S12" s="25">
        <v>17</v>
      </c>
      <c r="T12" s="25">
        <v>18</v>
      </c>
      <c r="U12" s="36">
        <v>19</v>
      </c>
      <c r="V12" s="25">
        <v>20</v>
      </c>
      <c r="W12" s="25">
        <v>21</v>
      </c>
      <c r="X12" s="25">
        <v>22</v>
      </c>
      <c r="Y12" s="25">
        <v>23</v>
      </c>
      <c r="Z12" s="25">
        <v>24</v>
      </c>
      <c r="AA12" s="25">
        <v>25</v>
      </c>
      <c r="AB12" s="25">
        <v>26</v>
      </c>
      <c r="AC12" s="53">
        <v>27</v>
      </c>
      <c r="AD12" s="53">
        <v>28</v>
      </c>
      <c r="AE12" s="53">
        <v>29</v>
      </c>
      <c r="AF12" s="53">
        <v>30</v>
      </c>
      <c r="AG12" s="53">
        <v>31</v>
      </c>
      <c r="AH12" s="37"/>
    </row>
    <row r="13" spans="1:37" s="8" customFormat="1" ht="31" customHeight="1" x14ac:dyDescent="0.2">
      <c r="A13" s="93" t="s">
        <v>23</v>
      </c>
      <c r="B13" s="90" t="s">
        <v>39</v>
      </c>
      <c r="C13" s="19" t="s">
        <v>19</v>
      </c>
      <c r="D13" s="20" t="s">
        <v>33</v>
      </c>
      <c r="E13" s="20" t="s">
        <v>33</v>
      </c>
      <c r="F13" s="18" t="s">
        <v>18</v>
      </c>
      <c r="G13" s="18" t="s">
        <v>18</v>
      </c>
      <c r="H13" s="15" t="s">
        <v>22</v>
      </c>
      <c r="I13" s="17" t="s">
        <v>20</v>
      </c>
      <c r="J13" s="19" t="s">
        <v>19</v>
      </c>
      <c r="K13" s="20" t="s">
        <v>33</v>
      </c>
      <c r="L13" s="20" t="s">
        <v>33</v>
      </c>
      <c r="M13" s="51"/>
      <c r="N13" s="57"/>
      <c r="O13" s="53"/>
      <c r="P13" s="53"/>
      <c r="Q13" s="53"/>
      <c r="R13" s="53"/>
      <c r="S13" s="53"/>
      <c r="T13" s="53"/>
      <c r="U13" s="58"/>
      <c r="V13" s="53"/>
      <c r="W13" s="53"/>
      <c r="X13" s="53"/>
      <c r="Y13" s="53"/>
      <c r="Z13" s="53"/>
      <c r="AA13" s="53"/>
      <c r="AB13" s="57"/>
      <c r="AC13" s="53"/>
      <c r="AD13" s="53"/>
      <c r="AE13" s="53"/>
      <c r="AF13" s="53"/>
      <c r="AG13" s="53"/>
      <c r="AH13" s="37"/>
      <c r="AI13" s="8">
        <v>4</v>
      </c>
    </row>
    <row r="14" spans="1:37" s="8" customFormat="1" ht="31" customHeight="1" x14ac:dyDescent="0.2">
      <c r="A14" s="94"/>
      <c r="B14" s="91"/>
      <c r="C14" s="19">
        <v>6</v>
      </c>
      <c r="D14" s="18">
        <v>6</v>
      </c>
      <c r="E14" s="18">
        <v>6</v>
      </c>
      <c r="F14" s="18">
        <f>IFERROR(VLOOKUP(F13,[1]valores!$B$3:$D$18,2,FALSE),)</f>
        <v>0</v>
      </c>
      <c r="G14" s="18">
        <f>IFERROR(VLOOKUP(G13,[1]valores!$B$3:$D$18,2,FALSE),)</f>
        <v>0</v>
      </c>
      <c r="H14" s="15">
        <f>IFERROR(VLOOKUP(H13,[1]valores!$B$3:$D$18,2,FALSE),)</f>
        <v>0</v>
      </c>
      <c r="I14" s="17">
        <f>IFERROR(VLOOKUP(I13,[1]valores!$B$3:$D$18,2,FALSE),)</f>
        <v>0</v>
      </c>
      <c r="J14" s="19">
        <v>6</v>
      </c>
      <c r="K14" s="18">
        <v>6</v>
      </c>
      <c r="L14" s="18">
        <v>6</v>
      </c>
      <c r="M14" s="51"/>
      <c r="N14" s="57"/>
      <c r="O14" s="53"/>
      <c r="P14" s="53"/>
      <c r="Q14" s="53"/>
      <c r="R14" s="53"/>
      <c r="S14" s="53"/>
      <c r="T14" s="53"/>
      <c r="U14" s="58"/>
      <c r="V14" s="53"/>
      <c r="W14" s="53"/>
      <c r="X14" s="53"/>
      <c r="Y14" s="53"/>
      <c r="Z14" s="53"/>
      <c r="AA14" s="53"/>
      <c r="AB14" s="57"/>
      <c r="AC14" s="53"/>
      <c r="AD14" s="53"/>
      <c r="AE14" s="53"/>
      <c r="AF14" s="53"/>
      <c r="AG14" s="53"/>
      <c r="AH14" s="37"/>
    </row>
    <row r="15" spans="1:37" s="8" customFormat="1" ht="31" customHeight="1" x14ac:dyDescent="0.2">
      <c r="A15" s="94"/>
      <c r="B15" s="91"/>
      <c r="C15" s="33" t="s">
        <v>32</v>
      </c>
      <c r="D15" s="17" t="s">
        <v>31</v>
      </c>
      <c r="E15" s="19" t="s">
        <v>58</v>
      </c>
      <c r="F15" s="27" t="s">
        <v>30</v>
      </c>
      <c r="G15" s="27" t="s">
        <v>30</v>
      </c>
      <c r="H15" s="15" t="s">
        <v>40</v>
      </c>
      <c r="I15" s="33" t="s">
        <v>32</v>
      </c>
      <c r="J15" s="17" t="s">
        <v>31</v>
      </c>
      <c r="K15" s="17" t="s">
        <v>31</v>
      </c>
      <c r="L15" s="19" t="s">
        <v>58</v>
      </c>
      <c r="M15" s="51"/>
      <c r="N15" s="57"/>
      <c r="O15" s="53"/>
      <c r="P15" s="53"/>
      <c r="Q15" s="53"/>
      <c r="R15" s="53"/>
      <c r="S15" s="53"/>
      <c r="T15" s="53"/>
      <c r="U15" s="58"/>
      <c r="V15" s="53"/>
      <c r="W15" s="53"/>
      <c r="X15" s="53"/>
      <c r="Y15" s="53"/>
      <c r="Z15" s="53"/>
      <c r="AA15" s="53"/>
      <c r="AB15" s="57"/>
      <c r="AC15" s="53"/>
      <c r="AD15" s="53"/>
      <c r="AE15" s="53"/>
      <c r="AF15" s="53"/>
      <c r="AG15" s="53"/>
      <c r="AH15" s="37">
        <v>4</v>
      </c>
    </row>
    <row r="16" spans="1:37" s="8" customFormat="1" ht="31" customHeight="1" x14ac:dyDescent="0.2">
      <c r="A16" s="94"/>
      <c r="B16" s="91"/>
      <c r="C16" s="34">
        <v>6</v>
      </c>
      <c r="D16" s="17">
        <v>6</v>
      </c>
      <c r="E16" s="19">
        <v>6</v>
      </c>
      <c r="F16" s="14"/>
      <c r="G16" s="26"/>
      <c r="H16" s="15">
        <v>6</v>
      </c>
      <c r="I16" s="34">
        <v>6</v>
      </c>
      <c r="J16" s="17">
        <v>6</v>
      </c>
      <c r="K16" s="17">
        <v>6</v>
      </c>
      <c r="L16" s="19">
        <v>6</v>
      </c>
      <c r="M16" s="51"/>
      <c r="N16" s="57"/>
      <c r="O16" s="53"/>
      <c r="P16" s="53"/>
      <c r="Q16" s="53"/>
      <c r="R16" s="53"/>
      <c r="S16" s="53"/>
      <c r="T16" s="53"/>
      <c r="U16" s="58"/>
      <c r="V16" s="53"/>
      <c r="W16" s="53"/>
      <c r="X16" s="53"/>
      <c r="Y16" s="53"/>
      <c r="Z16" s="53"/>
      <c r="AA16" s="53"/>
      <c r="AB16" s="57"/>
      <c r="AC16" s="53"/>
      <c r="AD16" s="53"/>
      <c r="AE16" s="53"/>
      <c r="AF16" s="53"/>
      <c r="AG16" s="53"/>
      <c r="AH16" s="37"/>
    </row>
    <row r="17" spans="1:35" s="8" customFormat="1" ht="31" customHeight="1" x14ac:dyDescent="0.2">
      <c r="A17" s="95"/>
      <c r="B17" s="92"/>
      <c r="C17" s="27" t="s">
        <v>30</v>
      </c>
      <c r="D17" s="14"/>
      <c r="E17" s="50"/>
      <c r="F17" s="14"/>
      <c r="G17" s="14"/>
      <c r="H17" s="50"/>
      <c r="I17" s="27" t="s">
        <v>30</v>
      </c>
      <c r="J17" s="50"/>
      <c r="K17" s="14"/>
      <c r="L17" s="14"/>
      <c r="M17" s="51"/>
      <c r="N17" s="57"/>
      <c r="O17" s="53"/>
      <c r="P17" s="53"/>
      <c r="Q17" s="53"/>
      <c r="R17" s="53"/>
      <c r="S17" s="53"/>
      <c r="T17" s="53"/>
      <c r="U17" s="58"/>
      <c r="V17" s="53"/>
      <c r="W17" s="53"/>
      <c r="X17" s="53"/>
      <c r="Y17" s="53"/>
      <c r="Z17" s="53"/>
      <c r="AA17" s="53"/>
      <c r="AB17" s="57"/>
      <c r="AC17" s="53"/>
      <c r="AD17" s="53"/>
      <c r="AE17" s="53"/>
      <c r="AF17" s="53"/>
      <c r="AG17" s="53"/>
      <c r="AH17" s="37"/>
    </row>
    <row r="18" spans="1:35" s="8" customFormat="1" ht="31" customHeight="1" x14ac:dyDescent="0.2">
      <c r="A18" s="30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25"/>
      <c r="M18" s="14"/>
      <c r="N18" s="16"/>
      <c r="O18" s="14"/>
      <c r="P18" s="5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53"/>
      <c r="AB18" s="57"/>
      <c r="AC18" s="53"/>
      <c r="AD18" s="53"/>
      <c r="AE18" s="53"/>
      <c r="AF18" s="53"/>
      <c r="AG18" s="53"/>
      <c r="AH18" s="37"/>
    </row>
    <row r="19" spans="1:35" s="8" customFormat="1" ht="31" customHeight="1" x14ac:dyDescent="0.2">
      <c r="A19" s="88" t="s">
        <v>17</v>
      </c>
      <c r="B19" s="85" t="s">
        <v>24</v>
      </c>
      <c r="C19" s="23"/>
      <c r="D19" s="14"/>
      <c r="E19" s="14"/>
      <c r="F19" s="14"/>
      <c r="G19" s="14"/>
      <c r="H19" s="14"/>
      <c r="I19" s="14"/>
      <c r="J19" s="14"/>
      <c r="K19" s="17" t="s">
        <v>20</v>
      </c>
      <c r="L19" s="17" t="s">
        <v>20</v>
      </c>
      <c r="M19" s="19" t="s">
        <v>19</v>
      </c>
      <c r="N19" s="18" t="s">
        <v>18</v>
      </c>
      <c r="O19" s="17" t="s">
        <v>20</v>
      </c>
      <c r="P19" s="20" t="s">
        <v>33</v>
      </c>
      <c r="Q19" s="20" t="s">
        <v>33</v>
      </c>
      <c r="R19" s="20" t="s">
        <v>33</v>
      </c>
      <c r="S19" s="14"/>
      <c r="T19" s="14"/>
      <c r="U19" s="58"/>
      <c r="V19" s="53"/>
      <c r="W19" s="53"/>
      <c r="X19" s="53"/>
      <c r="Y19" s="53"/>
      <c r="Z19" s="53"/>
      <c r="AA19" s="53"/>
      <c r="AB19" s="57"/>
      <c r="AC19" s="53"/>
      <c r="AD19" s="53"/>
      <c r="AE19" s="53"/>
      <c r="AF19" s="53"/>
      <c r="AG19" s="53"/>
      <c r="AH19" s="37"/>
    </row>
    <row r="20" spans="1:35" s="8" customFormat="1" ht="31" customHeight="1" x14ac:dyDescent="0.2">
      <c r="A20" s="88"/>
      <c r="B20" s="86"/>
      <c r="C20" s="14"/>
      <c r="D20" s="14"/>
      <c r="E20" s="14"/>
      <c r="F20" s="14"/>
      <c r="G20" s="14"/>
      <c r="H20" s="14"/>
      <c r="I20" s="14"/>
      <c r="J20" s="14"/>
      <c r="K20" s="17">
        <f>IFERROR(VLOOKUP(K19,[1]valores!$B$3:$D$18,2,FALSE),)</f>
        <v>0</v>
      </c>
      <c r="L20" s="17">
        <f>IFERROR(VLOOKUP(L19,[1]valores!$B$3:$D$18,2,FALSE),)</f>
        <v>0</v>
      </c>
      <c r="M20" s="19">
        <v>6</v>
      </c>
      <c r="N20" s="18">
        <f>IFERROR(VLOOKUP(N19,[1]valores!$B$3:$D$18,2,FALSE),)</f>
        <v>0</v>
      </c>
      <c r="O20" s="17">
        <f>IFERROR(VLOOKUP(O19,[1]valores!$B$3:$D$18,2,FALSE),)</f>
        <v>0</v>
      </c>
      <c r="P20" s="18">
        <v>6</v>
      </c>
      <c r="Q20" s="18">
        <v>6</v>
      </c>
      <c r="R20" s="18">
        <v>6</v>
      </c>
      <c r="S20" s="14"/>
      <c r="T20" s="14"/>
      <c r="U20" s="58"/>
      <c r="V20" s="53"/>
      <c r="W20" s="53"/>
      <c r="X20" s="53"/>
      <c r="Y20" s="53"/>
      <c r="Z20" s="53"/>
      <c r="AA20" s="53"/>
      <c r="AB20" s="57"/>
      <c r="AC20" s="53"/>
      <c r="AD20" s="53"/>
      <c r="AE20" s="53"/>
      <c r="AF20" s="53"/>
      <c r="AG20" s="53"/>
      <c r="AH20" s="37">
        <v>5</v>
      </c>
      <c r="AI20" s="8">
        <v>1</v>
      </c>
    </row>
    <row r="21" spans="1:35" s="8" customFormat="1" ht="31" customHeight="1" x14ac:dyDescent="0.2">
      <c r="A21" s="88"/>
      <c r="B21" s="86"/>
      <c r="C21" s="14"/>
      <c r="D21" s="14"/>
      <c r="E21" s="14"/>
      <c r="F21" s="14"/>
      <c r="G21" s="32"/>
      <c r="H21" s="14"/>
      <c r="I21" s="14"/>
      <c r="J21" s="14"/>
      <c r="K21" s="33" t="s">
        <v>32</v>
      </c>
      <c r="L21" s="33" t="s">
        <v>32</v>
      </c>
      <c r="M21" s="33" t="s">
        <v>32</v>
      </c>
      <c r="N21" s="27" t="s">
        <v>30</v>
      </c>
      <c r="O21" s="33" t="s">
        <v>32</v>
      </c>
      <c r="P21" s="17" t="s">
        <v>31</v>
      </c>
      <c r="Q21" s="17" t="s">
        <v>31</v>
      </c>
      <c r="R21" s="14"/>
      <c r="S21" s="32"/>
      <c r="T21" s="32"/>
      <c r="U21" s="58"/>
      <c r="V21" s="53"/>
      <c r="W21" s="53"/>
      <c r="X21" s="53"/>
      <c r="Y21" s="53"/>
      <c r="Z21" s="53"/>
      <c r="AA21" s="53"/>
      <c r="AB21" s="57"/>
      <c r="AC21" s="53"/>
      <c r="AD21" s="53"/>
      <c r="AE21" s="53"/>
      <c r="AF21" s="53"/>
      <c r="AG21" s="53"/>
      <c r="AH21" s="37"/>
    </row>
    <row r="22" spans="1:35" s="8" customFormat="1" ht="31" customHeight="1" x14ac:dyDescent="0.2">
      <c r="A22" s="88"/>
      <c r="B22" s="86"/>
      <c r="C22" s="14"/>
      <c r="D22" s="14"/>
      <c r="E22" s="14"/>
      <c r="F22" s="25"/>
      <c r="G22" s="26"/>
      <c r="H22" s="14"/>
      <c r="I22" s="14"/>
      <c r="J22" s="50"/>
      <c r="K22" s="34">
        <v>6</v>
      </c>
      <c r="L22" s="34">
        <v>6</v>
      </c>
      <c r="M22" s="34">
        <v>6</v>
      </c>
      <c r="N22" s="14"/>
      <c r="O22" s="34">
        <v>6</v>
      </c>
      <c r="P22" s="17">
        <v>6</v>
      </c>
      <c r="Q22" s="17">
        <v>6</v>
      </c>
      <c r="R22" s="14"/>
      <c r="S22" s="26"/>
      <c r="T22" s="26"/>
      <c r="U22" s="58"/>
      <c r="V22" s="53"/>
      <c r="W22" s="53"/>
      <c r="X22" s="53"/>
      <c r="Y22" s="53"/>
      <c r="Z22" s="53"/>
      <c r="AA22" s="53"/>
      <c r="AB22" s="57"/>
      <c r="AC22" s="53"/>
      <c r="AD22" s="53"/>
      <c r="AE22" s="53"/>
      <c r="AF22" s="53"/>
      <c r="AG22" s="53"/>
      <c r="AH22" s="37"/>
    </row>
    <row r="23" spans="1:35" s="8" customFormat="1" ht="31" customHeight="1" x14ac:dyDescent="0.2">
      <c r="A23" s="88"/>
      <c r="B23" s="86"/>
      <c r="C23" s="14"/>
      <c r="D23" s="14"/>
      <c r="E23" s="14"/>
      <c r="F23" s="25"/>
      <c r="G23" s="14"/>
      <c r="H23" s="14"/>
      <c r="I23" s="14"/>
      <c r="J23" s="25"/>
      <c r="K23" s="27" t="s">
        <v>30</v>
      </c>
      <c r="L23" s="27" t="s">
        <v>30</v>
      </c>
      <c r="M23" s="27" t="s">
        <v>30</v>
      </c>
      <c r="N23" s="14"/>
      <c r="O23" s="27" t="s">
        <v>30</v>
      </c>
      <c r="P23" s="14"/>
      <c r="Q23" s="14"/>
      <c r="R23" s="25"/>
      <c r="S23" s="14"/>
      <c r="T23" s="53"/>
      <c r="U23" s="58"/>
      <c r="V23" s="53"/>
      <c r="W23" s="53"/>
      <c r="X23" s="53"/>
      <c r="Y23" s="53"/>
      <c r="Z23" s="53"/>
      <c r="AA23" s="53"/>
      <c r="AB23" s="57"/>
      <c r="AC23" s="53"/>
      <c r="AD23" s="53"/>
      <c r="AE23" s="53"/>
      <c r="AF23" s="53"/>
      <c r="AG23" s="53"/>
      <c r="AH23" s="37"/>
    </row>
    <row r="24" spans="1:35" s="8" customFormat="1" ht="31" customHeight="1" x14ac:dyDescent="0.2">
      <c r="A24" s="88"/>
      <c r="B24" s="85"/>
      <c r="C24" s="24"/>
      <c r="D24" s="25"/>
      <c r="E24" s="25"/>
      <c r="F24" s="25"/>
      <c r="H24" s="25"/>
      <c r="I24" s="35"/>
      <c r="J24" s="25"/>
      <c r="K24" s="25"/>
      <c r="L24" s="25"/>
      <c r="M24" s="25"/>
      <c r="N24" s="57"/>
      <c r="O24" s="53"/>
      <c r="P24" s="53"/>
      <c r="Q24" s="53"/>
      <c r="R24" s="53"/>
      <c r="S24" s="53"/>
      <c r="T24" s="53"/>
      <c r="U24" s="58"/>
      <c r="V24" s="53"/>
      <c r="W24" s="53"/>
      <c r="X24" s="53"/>
      <c r="Y24" s="53"/>
      <c r="Z24" s="53"/>
      <c r="AA24" s="53"/>
      <c r="AB24" s="57"/>
      <c r="AC24" s="53"/>
      <c r="AD24" s="53"/>
      <c r="AE24" s="53"/>
      <c r="AF24" s="53"/>
      <c r="AG24" s="53"/>
      <c r="AH24" s="37"/>
    </row>
    <row r="25" spans="1:35" s="8" customFormat="1" ht="31" customHeight="1" x14ac:dyDescent="0.2">
      <c r="A25" s="88" t="s">
        <v>23</v>
      </c>
      <c r="B25" s="89" t="s">
        <v>25</v>
      </c>
      <c r="C25" s="14"/>
      <c r="D25" s="23"/>
      <c r="E25" s="14"/>
      <c r="F25" s="14"/>
      <c r="G25" s="14"/>
      <c r="H25" s="14"/>
      <c r="I25" s="14"/>
      <c r="J25" s="14"/>
      <c r="K25" s="23"/>
      <c r="L25" s="14"/>
      <c r="M25" s="23"/>
      <c r="N25" s="14"/>
      <c r="O25" s="14"/>
      <c r="P25" s="23"/>
      <c r="Q25" s="23"/>
      <c r="R25" s="17" t="s">
        <v>20</v>
      </c>
      <c r="S25" s="20" t="s">
        <v>33</v>
      </c>
      <c r="T25" s="19" t="s">
        <v>19</v>
      </c>
      <c r="U25" s="18" t="s">
        <v>18</v>
      </c>
      <c r="V25" s="18" t="s">
        <v>18</v>
      </c>
      <c r="W25" s="20" t="s">
        <v>33</v>
      </c>
      <c r="X25" s="19" t="s">
        <v>33</v>
      </c>
      <c r="Y25" s="18" t="s">
        <v>33</v>
      </c>
      <c r="Z25" s="18" t="s">
        <v>18</v>
      </c>
      <c r="AA25" s="14"/>
      <c r="AB25" s="18" t="s">
        <v>18</v>
      </c>
      <c r="AC25" s="17" t="s">
        <v>20</v>
      </c>
      <c r="AD25" s="17" t="s">
        <v>20</v>
      </c>
      <c r="AE25" s="53"/>
      <c r="AF25" s="53"/>
      <c r="AG25" s="53"/>
      <c r="AH25" s="37"/>
      <c r="AI25" s="8">
        <v>1</v>
      </c>
    </row>
    <row r="26" spans="1:35" s="8" customFormat="1" ht="31" customHeight="1" x14ac:dyDescent="0.2">
      <c r="A26" s="88"/>
      <c r="B26" s="89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7">
        <f>IFERROR(VLOOKUP(R25,[1]valores!$B$3:$D$18,2,FALSE),)</f>
        <v>0</v>
      </c>
      <c r="S26" s="18">
        <v>6</v>
      </c>
      <c r="T26" s="19">
        <v>6</v>
      </c>
      <c r="U26" s="18">
        <f>IFERROR(VLOOKUP(U25,[1]valores!$B$3:$D$18,2,FALSE),)</f>
        <v>0</v>
      </c>
      <c r="V26" s="18">
        <f>IFERROR(VLOOKUP(V25,[1]valores!$B$3:$D$18,2,FALSE),)</f>
        <v>0</v>
      </c>
      <c r="W26" s="18">
        <v>6</v>
      </c>
      <c r="X26" s="19">
        <v>6</v>
      </c>
      <c r="Y26" s="18">
        <v>6</v>
      </c>
      <c r="Z26" s="18">
        <f>IFERROR(VLOOKUP(Z25,[1]valores!$B$3:$D$18,2,FALSE),)</f>
        <v>0</v>
      </c>
      <c r="AA26" s="14"/>
      <c r="AB26" s="18">
        <f>IFERROR(VLOOKUP(AB25,[1]valores!$B$3:$D$18,2,FALSE),)</f>
        <v>0</v>
      </c>
      <c r="AC26" s="17">
        <f>IFERROR(VLOOKUP(AC25,[1]valores!$B$3:$D$18,2,FALSE),)</f>
        <v>0</v>
      </c>
      <c r="AD26" s="17">
        <f>IFERROR(VLOOKUP(AD25,[1]valores!$B$3:$D$18,2,FALSE),)</f>
        <v>0</v>
      </c>
      <c r="AE26" s="53"/>
      <c r="AF26" s="53"/>
      <c r="AG26" s="53"/>
      <c r="AH26" s="37"/>
    </row>
    <row r="27" spans="1:35" s="8" customFormat="1" ht="31" customHeight="1" x14ac:dyDescent="0.2">
      <c r="A27" s="88"/>
      <c r="B27" s="89"/>
      <c r="C27" s="32"/>
      <c r="D27" s="14"/>
      <c r="E27" s="14"/>
      <c r="F27" s="14"/>
      <c r="G27" s="14"/>
      <c r="H27" s="32"/>
      <c r="I27" s="32"/>
      <c r="J27" s="14"/>
      <c r="K27" s="14"/>
      <c r="L27" s="14"/>
      <c r="M27" s="32"/>
      <c r="N27" s="14"/>
      <c r="O27" s="32"/>
      <c r="P27" s="14"/>
      <c r="Q27" s="14"/>
      <c r="R27" s="33" t="s">
        <v>32</v>
      </c>
      <c r="S27" s="17" t="s">
        <v>31</v>
      </c>
      <c r="T27" s="17" t="s">
        <v>31</v>
      </c>
      <c r="U27" s="27" t="s">
        <v>30</v>
      </c>
      <c r="V27" s="27" t="s">
        <v>30</v>
      </c>
      <c r="W27" s="17" t="s">
        <v>31</v>
      </c>
      <c r="X27" s="33" t="s">
        <v>58</v>
      </c>
      <c r="Y27" s="17" t="s">
        <v>20</v>
      </c>
      <c r="Z27" s="27" t="s">
        <v>30</v>
      </c>
      <c r="AA27" s="32"/>
      <c r="AB27" s="27" t="s">
        <v>30</v>
      </c>
      <c r="AC27" s="33" t="s">
        <v>32</v>
      </c>
      <c r="AD27" s="53"/>
      <c r="AE27" s="53"/>
      <c r="AF27" s="53"/>
      <c r="AG27" s="53"/>
      <c r="AH27" s="37"/>
    </row>
    <row r="28" spans="1:35" s="8" customFormat="1" ht="31" customHeight="1" x14ac:dyDescent="0.2">
      <c r="A28" s="88"/>
      <c r="B28" s="89"/>
      <c r="C28" s="26"/>
      <c r="D28" s="14"/>
      <c r="E28" s="14"/>
      <c r="F28" s="14"/>
      <c r="G28" s="14"/>
      <c r="H28" s="26"/>
      <c r="I28" s="14"/>
      <c r="J28" s="14"/>
      <c r="K28" s="14"/>
      <c r="L28" s="26"/>
      <c r="M28" s="26"/>
      <c r="N28" s="16"/>
      <c r="O28" s="26"/>
      <c r="P28" s="14"/>
      <c r="Q28" s="14"/>
      <c r="R28" s="34">
        <v>6</v>
      </c>
      <c r="S28" s="17">
        <v>6</v>
      </c>
      <c r="T28" s="17">
        <v>6</v>
      </c>
      <c r="U28" s="14"/>
      <c r="V28" s="14"/>
      <c r="W28" s="17">
        <v>6</v>
      </c>
      <c r="X28" s="34">
        <v>6</v>
      </c>
      <c r="Y28" s="17">
        <f>IFERROR(VLOOKUP(Y27,[1]valores!$B$3:$D$18,2,FALSE),)</f>
        <v>0</v>
      </c>
      <c r="Z28" s="26"/>
      <c r="AA28" s="26"/>
      <c r="AB28" s="14"/>
      <c r="AC28" s="34">
        <v>6</v>
      </c>
      <c r="AD28" s="53"/>
      <c r="AE28" s="53"/>
      <c r="AF28" s="53"/>
      <c r="AG28" s="53"/>
      <c r="AH28" s="37"/>
    </row>
    <row r="29" spans="1:35" ht="31" customHeight="1" x14ac:dyDescent="0.2">
      <c r="A29" s="96" t="s">
        <v>23</v>
      </c>
      <c r="B29" s="40"/>
      <c r="C29" s="26"/>
      <c r="D29" s="14"/>
      <c r="E29" s="14"/>
      <c r="F29" s="14"/>
      <c r="G29" s="14"/>
      <c r="H29" s="26"/>
      <c r="I29" s="14"/>
      <c r="J29" s="14"/>
      <c r="K29" s="14"/>
      <c r="L29" s="26"/>
      <c r="M29" s="14"/>
      <c r="N29" s="16"/>
      <c r="O29" s="14"/>
      <c r="P29" s="14"/>
      <c r="Q29" s="14"/>
      <c r="R29" s="27" t="s">
        <v>30</v>
      </c>
      <c r="S29" s="14"/>
      <c r="T29" s="27"/>
      <c r="U29" s="14"/>
      <c r="V29" s="14"/>
      <c r="W29" s="14"/>
      <c r="X29" s="27" t="s">
        <v>30</v>
      </c>
      <c r="Y29" s="25"/>
      <c r="Z29" s="53"/>
      <c r="AA29" s="14"/>
      <c r="AB29" s="57"/>
      <c r="AC29" s="27" t="s">
        <v>30</v>
      </c>
      <c r="AD29" s="53"/>
      <c r="AE29" s="53"/>
      <c r="AF29" s="53"/>
      <c r="AG29" s="53"/>
      <c r="AH29">
        <v>7</v>
      </c>
    </row>
    <row r="30" spans="1:35" ht="31" customHeight="1" x14ac:dyDescent="0.2">
      <c r="A30" s="97"/>
      <c r="B30" s="40" t="s">
        <v>63</v>
      </c>
      <c r="C30" s="26"/>
      <c r="D30" s="14"/>
      <c r="E30" s="14"/>
      <c r="F30" s="14"/>
      <c r="G30" s="14"/>
      <c r="H30" s="26"/>
      <c r="I30" s="14"/>
      <c r="J30" s="14"/>
      <c r="K30" s="14"/>
      <c r="L30" s="26"/>
      <c r="M30" s="14"/>
      <c r="N30" s="16"/>
      <c r="O30" s="14"/>
      <c r="P30" s="26"/>
      <c r="Q30" s="14"/>
      <c r="R30" s="14"/>
      <c r="S30" s="14"/>
      <c r="T30" s="26"/>
      <c r="U30" s="26"/>
      <c r="V30" s="14"/>
      <c r="W30" s="17" t="s">
        <v>20</v>
      </c>
      <c r="X30" s="20" t="s">
        <v>33</v>
      </c>
      <c r="Y30" s="17" t="s">
        <v>20</v>
      </c>
      <c r="Z30" s="23"/>
      <c r="AA30" s="14"/>
      <c r="AB30" s="68" t="s">
        <v>19</v>
      </c>
      <c r="AC30" s="20" t="s">
        <v>33</v>
      </c>
      <c r="AD30" s="14"/>
      <c r="AE30" s="53"/>
      <c r="AF30" s="53"/>
      <c r="AG30" s="14"/>
      <c r="AI30">
        <v>1</v>
      </c>
    </row>
    <row r="31" spans="1:35" ht="31" customHeight="1" x14ac:dyDescent="0.2">
      <c r="A31" s="97"/>
      <c r="B31" s="40" t="s">
        <v>65</v>
      </c>
      <c r="C31" s="26"/>
      <c r="D31" s="14"/>
      <c r="E31" s="14"/>
      <c r="F31" s="14"/>
      <c r="G31" s="14"/>
      <c r="H31" s="26"/>
      <c r="I31" s="14"/>
      <c r="J31" s="14"/>
      <c r="K31" s="14"/>
      <c r="L31" s="26"/>
      <c r="M31" s="14"/>
      <c r="N31" s="16"/>
      <c r="O31" s="14"/>
      <c r="P31" s="26"/>
      <c r="Q31" s="14"/>
      <c r="R31" s="14"/>
      <c r="S31" s="14"/>
      <c r="T31" s="26"/>
      <c r="U31" s="26"/>
      <c r="V31" s="14"/>
      <c r="W31" s="17">
        <f>IFERROR(VLOOKUP(W30,[1]valores!$B$3:$D$18,2,FALSE),)</f>
        <v>0</v>
      </c>
      <c r="X31" s="18">
        <v>6</v>
      </c>
      <c r="Y31" s="17">
        <f>IFERROR(VLOOKUP(Y30,[1]valores!$B$3:$D$18,2,FALSE),)</f>
        <v>0</v>
      </c>
      <c r="Z31" s="14"/>
      <c r="AA31" s="14"/>
      <c r="AB31" s="68">
        <v>6</v>
      </c>
      <c r="AC31" s="18">
        <v>6</v>
      </c>
      <c r="AD31" s="14"/>
      <c r="AE31" s="53"/>
      <c r="AF31" s="53"/>
      <c r="AG31" s="14"/>
    </row>
    <row r="32" spans="1:35" ht="31" customHeight="1" x14ac:dyDescent="0.2">
      <c r="A32" s="97"/>
      <c r="B32" s="40"/>
      <c r="C32" s="26"/>
      <c r="D32" s="14"/>
      <c r="E32" s="32"/>
      <c r="F32" s="14"/>
      <c r="G32" s="14"/>
      <c r="H32" s="26"/>
      <c r="I32" s="14"/>
      <c r="J32" s="14"/>
      <c r="K32" s="14"/>
      <c r="L32" s="26"/>
      <c r="M32" s="14"/>
      <c r="N32" s="16"/>
      <c r="O32" s="32"/>
      <c r="P32" s="26"/>
      <c r="Q32" s="14"/>
      <c r="R32" s="14"/>
      <c r="S32" s="14"/>
      <c r="T32" s="26"/>
      <c r="U32" s="26"/>
      <c r="V32" s="14"/>
      <c r="W32" s="33" t="s">
        <v>32</v>
      </c>
      <c r="X32" s="17" t="s">
        <v>31</v>
      </c>
      <c r="Y32" s="33" t="s">
        <v>32</v>
      </c>
      <c r="Z32" s="17" t="s">
        <v>20</v>
      </c>
      <c r="AA32" s="18" t="s">
        <v>18</v>
      </c>
      <c r="AB32" s="17" t="s">
        <v>20</v>
      </c>
      <c r="AC32" s="17" t="s">
        <v>31</v>
      </c>
      <c r="AD32" s="18" t="s">
        <v>18</v>
      </c>
      <c r="AE32" s="18" t="s">
        <v>18</v>
      </c>
      <c r="AF32" s="18" t="s">
        <v>18</v>
      </c>
      <c r="AG32" s="18" t="s">
        <v>18</v>
      </c>
      <c r="AH32">
        <v>6</v>
      </c>
    </row>
    <row r="33" spans="1:35" ht="31" customHeight="1" x14ac:dyDescent="0.2">
      <c r="A33" s="97"/>
      <c r="B33" s="40"/>
      <c r="C33" s="26"/>
      <c r="D33" s="14"/>
      <c r="E33" s="26"/>
      <c r="F33" s="14"/>
      <c r="G33" s="14"/>
      <c r="H33" s="26"/>
      <c r="I33" s="26"/>
      <c r="J33" s="14"/>
      <c r="K33" s="14"/>
      <c r="L33" s="26"/>
      <c r="M33" s="14"/>
      <c r="N33" s="16"/>
      <c r="O33" s="26"/>
      <c r="P33" s="26"/>
      <c r="Q33" s="14"/>
      <c r="R33" s="14"/>
      <c r="S33" s="14"/>
      <c r="T33" s="26"/>
      <c r="U33" s="26"/>
      <c r="V33" s="14"/>
      <c r="W33" s="34">
        <v>6</v>
      </c>
      <c r="X33" s="17">
        <v>6</v>
      </c>
      <c r="Y33" s="34">
        <v>6</v>
      </c>
      <c r="Z33" s="17">
        <f>IFERROR(VLOOKUP(Z32,[1]valores!$B$3:$D$18,2,FALSE),)</f>
        <v>0</v>
      </c>
      <c r="AA33" s="18">
        <f>IFERROR(VLOOKUP(AA32,[1]valores!$B$3:$D$18,2,FALSE),)</f>
        <v>0</v>
      </c>
      <c r="AB33" s="17">
        <f>IFERROR(VLOOKUP(AB32,[1]valores!$B$3:$D$18,2,FALSE),)</f>
        <v>0</v>
      </c>
      <c r="AC33" s="17">
        <v>6</v>
      </c>
      <c r="AD33" s="18">
        <f>IFERROR(VLOOKUP(AD32,[1]valores!$B$3:$D$18,2,FALSE),)</f>
        <v>0</v>
      </c>
      <c r="AE33" s="18">
        <f>IFERROR(VLOOKUP(AE32,[1]valores!$B$3:$D$18,2,FALSE),)</f>
        <v>0</v>
      </c>
      <c r="AF33" s="18">
        <f>IFERROR(VLOOKUP(AF32,[1]valores!$B$3:$D$18,2,FALSE),)</f>
        <v>0</v>
      </c>
      <c r="AG33" s="18">
        <f>IFERROR(VLOOKUP(AG32,[1]valores!$B$3:$D$18,2,FALSE),)</f>
        <v>0</v>
      </c>
    </row>
    <row r="34" spans="1:35" ht="31" customHeight="1" x14ac:dyDescent="0.2">
      <c r="A34" s="98"/>
      <c r="B34" s="40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57"/>
      <c r="O34" s="14"/>
      <c r="P34" s="14"/>
      <c r="Q34" s="25"/>
      <c r="R34" s="25"/>
      <c r="S34" s="25"/>
      <c r="T34" s="14"/>
      <c r="U34" s="14"/>
      <c r="V34" s="25"/>
      <c r="W34" s="27" t="s">
        <v>30</v>
      </c>
      <c r="X34" s="14"/>
      <c r="Y34" s="27" t="s">
        <v>30</v>
      </c>
      <c r="Z34" s="14"/>
      <c r="AA34" s="27" t="s">
        <v>30</v>
      </c>
      <c r="AB34" s="14"/>
      <c r="AC34" s="14"/>
      <c r="AD34" s="27" t="s">
        <v>30</v>
      </c>
      <c r="AE34" s="27" t="s">
        <v>30</v>
      </c>
      <c r="AF34" s="27" t="s">
        <v>30</v>
      </c>
      <c r="AG34" s="27" t="s">
        <v>30</v>
      </c>
    </row>
    <row r="35" spans="1:35" s="13" customFormat="1" ht="31" customHeight="1" x14ac:dyDescent="0.2">
      <c r="A35" s="84" t="s">
        <v>23</v>
      </c>
      <c r="B35" s="85" t="s">
        <v>26</v>
      </c>
      <c r="C35" s="20" t="s">
        <v>33</v>
      </c>
      <c r="D35" s="17" t="s">
        <v>31</v>
      </c>
      <c r="E35" s="17" t="s">
        <v>20</v>
      </c>
      <c r="F35" s="15" t="s">
        <v>22</v>
      </c>
      <c r="G35" s="23"/>
      <c r="H35" s="18" t="s">
        <v>18</v>
      </c>
      <c r="I35" s="20" t="s">
        <v>33</v>
      </c>
      <c r="J35" s="18" t="s">
        <v>18</v>
      </c>
      <c r="K35" s="52" t="s">
        <v>41</v>
      </c>
      <c r="L35" s="60" t="s">
        <v>61</v>
      </c>
      <c r="M35" s="18" t="s">
        <v>18</v>
      </c>
      <c r="N35" s="14"/>
      <c r="O35" s="20" t="s">
        <v>33</v>
      </c>
      <c r="P35" s="17" t="s">
        <v>20</v>
      </c>
      <c r="Q35" s="19" t="s">
        <v>58</v>
      </c>
      <c r="R35" s="52" t="s">
        <v>41</v>
      </c>
      <c r="S35" s="60" t="s">
        <v>61</v>
      </c>
      <c r="T35" s="18" t="s">
        <v>18</v>
      </c>
      <c r="U35" s="52" t="s">
        <v>41</v>
      </c>
      <c r="V35" s="25"/>
      <c r="W35" s="25"/>
      <c r="X35" s="23"/>
      <c r="Y35" s="52" t="s">
        <v>41</v>
      </c>
      <c r="Z35" s="23"/>
      <c r="AA35" s="14"/>
      <c r="AB35" s="14"/>
      <c r="AC35" s="14"/>
      <c r="AD35" s="25"/>
      <c r="AE35" s="25"/>
      <c r="AF35" s="52" t="s">
        <v>41</v>
      </c>
      <c r="AG35" s="17" t="s">
        <v>20</v>
      </c>
      <c r="AH35" s="13">
        <v>8</v>
      </c>
      <c r="AI35" s="13">
        <v>3</v>
      </c>
    </row>
    <row r="36" spans="1:35" s="13" customFormat="1" ht="31" customHeight="1" x14ac:dyDescent="0.2">
      <c r="A36" s="84"/>
      <c r="B36" s="85"/>
      <c r="C36" s="18">
        <v>6</v>
      </c>
      <c r="D36" s="17">
        <v>6</v>
      </c>
      <c r="E36" s="17">
        <f>IFERROR(VLOOKUP(E35,[1]valores!$B$3:$D$18,2,FALSE),)</f>
        <v>0</v>
      </c>
      <c r="F36" s="15">
        <f>IFERROR(VLOOKUP(F35,[1]valores!$B$3:$D$18,2,FALSE),)</f>
        <v>0</v>
      </c>
      <c r="G36" s="14"/>
      <c r="H36" s="18">
        <f>IFERROR(VLOOKUP(H35,[1]valores!$B$3:$D$18,2,FALSE),)</f>
        <v>0</v>
      </c>
      <c r="I36" s="18">
        <v>6</v>
      </c>
      <c r="J36" s="18">
        <f>IFERROR(VLOOKUP(J35,[1]valores!$B$3:$D$18,2,FALSE),)</f>
        <v>0</v>
      </c>
      <c r="K36" s="44">
        <v>6</v>
      </c>
      <c r="L36" s="60">
        <v>6</v>
      </c>
      <c r="M36" s="18">
        <f>IFERROR(VLOOKUP(M35,[1]valores!$B$3:$D$18,2,FALSE),)</f>
        <v>0</v>
      </c>
      <c r="N36" s="14"/>
      <c r="O36" s="18">
        <v>6</v>
      </c>
      <c r="P36" s="17">
        <f>IFERROR(VLOOKUP(P35,[1]valores!$B$3:$D$18,2,FALSE),)</f>
        <v>0</v>
      </c>
      <c r="Q36" s="19">
        <v>6</v>
      </c>
      <c r="R36" s="44">
        <v>6</v>
      </c>
      <c r="S36" s="60">
        <v>6</v>
      </c>
      <c r="T36" s="18">
        <f>IFERROR(VLOOKUP(T35,[1]valores!$B$3:$D$18,2,FALSE),)</f>
        <v>0</v>
      </c>
      <c r="U36" s="44">
        <v>6</v>
      </c>
      <c r="V36" s="25"/>
      <c r="W36" s="25"/>
      <c r="X36" s="14"/>
      <c r="Y36" s="44">
        <v>6</v>
      </c>
      <c r="Z36" s="14"/>
      <c r="AA36" s="14"/>
      <c r="AB36" s="14"/>
      <c r="AC36" s="25"/>
      <c r="AD36" s="25"/>
      <c r="AE36" s="25"/>
      <c r="AF36" s="44">
        <v>6</v>
      </c>
      <c r="AG36" s="17">
        <f>IFERROR(VLOOKUP(AG35,[1]valores!$B$3:$D$18,2,FALSE),)</f>
        <v>0</v>
      </c>
    </row>
    <row r="37" spans="1:35" s="13" customFormat="1" ht="31" customHeight="1" x14ac:dyDescent="0.2">
      <c r="A37" s="84"/>
      <c r="B37" s="85"/>
      <c r="C37" s="17" t="s">
        <v>31</v>
      </c>
      <c r="D37" s="33" t="s">
        <v>32</v>
      </c>
      <c r="E37" s="33" t="s">
        <v>32</v>
      </c>
      <c r="F37" s="15" t="s">
        <v>40</v>
      </c>
      <c r="G37" s="14"/>
      <c r="H37" s="27" t="s">
        <v>30</v>
      </c>
      <c r="I37" s="17" t="s">
        <v>31</v>
      </c>
      <c r="J37" s="27" t="s">
        <v>30</v>
      </c>
      <c r="K37" s="52" t="s">
        <v>41</v>
      </c>
      <c r="L37" s="52" t="s">
        <v>41</v>
      </c>
      <c r="M37" s="52" t="s">
        <v>41</v>
      </c>
      <c r="N37" s="32"/>
      <c r="O37" s="17" t="s">
        <v>31</v>
      </c>
      <c r="P37" s="33" t="s">
        <v>32</v>
      </c>
      <c r="Q37" s="33" t="s">
        <v>32</v>
      </c>
      <c r="R37" s="52" t="s">
        <v>41</v>
      </c>
      <c r="S37" s="33" t="s">
        <v>32</v>
      </c>
      <c r="T37" s="27" t="s">
        <v>30</v>
      </c>
      <c r="U37" s="14"/>
      <c r="V37" s="25"/>
      <c r="W37" s="14"/>
      <c r="X37" s="23"/>
      <c r="Y37" s="52" t="s">
        <v>41</v>
      </c>
      <c r="Z37" s="23"/>
      <c r="AA37" s="14"/>
      <c r="AB37" s="23"/>
      <c r="AC37" s="25"/>
      <c r="AD37" s="25"/>
      <c r="AE37" s="17" t="s">
        <v>31</v>
      </c>
      <c r="AF37" s="19" t="s">
        <v>58</v>
      </c>
      <c r="AG37" s="23"/>
    </row>
    <row r="38" spans="1:35" s="13" customFormat="1" ht="31" customHeight="1" x14ac:dyDescent="0.2">
      <c r="A38" s="84"/>
      <c r="B38" s="85"/>
      <c r="C38" s="17">
        <v>6</v>
      </c>
      <c r="D38" s="34">
        <v>6</v>
      </c>
      <c r="E38" s="34">
        <v>6</v>
      </c>
      <c r="F38" s="15">
        <v>6</v>
      </c>
      <c r="G38" s="14"/>
      <c r="H38" s="14"/>
      <c r="I38" s="17">
        <v>6</v>
      </c>
      <c r="J38" s="14"/>
      <c r="K38" s="44">
        <v>6</v>
      </c>
      <c r="L38" s="44">
        <v>6</v>
      </c>
      <c r="M38" s="44">
        <v>6</v>
      </c>
      <c r="N38" s="26"/>
      <c r="O38" s="17">
        <v>6</v>
      </c>
      <c r="P38" s="34">
        <v>6</v>
      </c>
      <c r="Q38" s="34">
        <v>6</v>
      </c>
      <c r="R38" s="44">
        <v>6</v>
      </c>
      <c r="S38" s="34">
        <v>6</v>
      </c>
      <c r="T38" s="26"/>
      <c r="U38" s="14"/>
      <c r="V38" s="25"/>
      <c r="W38" s="14"/>
      <c r="X38" s="14"/>
      <c r="Y38" s="44">
        <v>6</v>
      </c>
      <c r="Z38" s="14"/>
      <c r="AA38" s="14"/>
      <c r="AB38" s="14"/>
      <c r="AC38" s="25"/>
      <c r="AD38" s="25"/>
      <c r="AE38" s="17">
        <v>6</v>
      </c>
      <c r="AF38" s="19">
        <v>6</v>
      </c>
      <c r="AG38" s="14"/>
    </row>
    <row r="39" spans="1:35" s="13" customFormat="1" ht="31" customHeight="1" x14ac:dyDescent="0.2">
      <c r="A39" s="84"/>
      <c r="B39" s="85"/>
      <c r="C39" s="14"/>
      <c r="D39" s="27" t="s">
        <v>30</v>
      </c>
      <c r="E39" s="27" t="s">
        <v>30</v>
      </c>
      <c r="F39" s="14"/>
      <c r="G39" s="41"/>
      <c r="H39" s="14"/>
      <c r="I39" s="14"/>
      <c r="J39" s="14"/>
      <c r="K39" s="14"/>
      <c r="L39" s="14"/>
      <c r="M39" s="14"/>
      <c r="N39" s="14"/>
      <c r="O39" s="14"/>
      <c r="P39" s="27" t="s">
        <v>30</v>
      </c>
      <c r="Q39" s="27" t="s">
        <v>30</v>
      </c>
      <c r="R39" s="14"/>
      <c r="S39" s="27" t="s">
        <v>30</v>
      </c>
      <c r="T39" s="14"/>
      <c r="U39" s="36"/>
      <c r="V39" s="25"/>
      <c r="W39" s="14"/>
      <c r="X39" s="25"/>
      <c r="Y39" s="14"/>
      <c r="Z39" s="25"/>
      <c r="AA39" s="14"/>
      <c r="AB39" s="35"/>
      <c r="AC39" s="25"/>
      <c r="AD39" s="25"/>
      <c r="AE39" s="25"/>
      <c r="AF39" s="25"/>
      <c r="AG39" s="25"/>
    </row>
    <row r="40" spans="1:35" s="13" customFormat="1" ht="31" customHeight="1" x14ac:dyDescent="0.2">
      <c r="A40" s="84"/>
      <c r="B40" s="86"/>
      <c r="C40" s="14"/>
      <c r="D40" s="14"/>
      <c r="E40" s="12"/>
      <c r="F40" s="29"/>
      <c r="G40" s="12"/>
      <c r="H40" s="12"/>
      <c r="I40" s="12"/>
      <c r="J40" s="42"/>
      <c r="K40" s="25"/>
      <c r="L40" s="25"/>
      <c r="M40" s="25"/>
      <c r="N40" s="35"/>
      <c r="O40" s="25"/>
      <c r="P40" s="25"/>
      <c r="Q40" s="25"/>
      <c r="R40" s="25"/>
      <c r="S40" s="25"/>
      <c r="T40" s="25"/>
      <c r="U40" s="36"/>
      <c r="V40" s="25"/>
      <c r="W40" s="25"/>
      <c r="X40" s="25"/>
      <c r="Y40" s="25"/>
      <c r="Z40" s="25"/>
      <c r="AA40" s="25"/>
      <c r="AB40" s="35"/>
      <c r="AC40" s="25"/>
      <c r="AD40" s="25"/>
      <c r="AE40" s="25"/>
      <c r="AF40" s="25"/>
      <c r="AG40" s="25"/>
    </row>
    <row r="41" spans="1:35" s="13" customFormat="1" ht="31" customHeight="1" x14ac:dyDescent="0.2">
      <c r="A41" s="84"/>
      <c r="B41" s="86"/>
      <c r="C41" s="12"/>
      <c r="D41" s="12"/>
      <c r="E41" s="12"/>
      <c r="F41" s="21"/>
      <c r="G41" s="12"/>
      <c r="H41" s="12"/>
      <c r="I41" s="16"/>
      <c r="J41" s="42"/>
      <c r="K41" s="25"/>
      <c r="L41" s="25"/>
      <c r="M41" s="25"/>
      <c r="N41" s="35"/>
      <c r="O41" s="25"/>
      <c r="P41" s="25"/>
      <c r="Q41" s="25"/>
      <c r="R41" s="25"/>
      <c r="S41" s="25"/>
      <c r="T41" s="25"/>
      <c r="U41" s="36"/>
      <c r="V41" s="25"/>
      <c r="W41" s="25"/>
      <c r="X41" s="25"/>
      <c r="Y41" s="25"/>
      <c r="Z41" s="25"/>
      <c r="AA41" s="25"/>
      <c r="AB41" s="35"/>
      <c r="AC41" s="25"/>
      <c r="AD41" s="25"/>
      <c r="AE41" s="25"/>
      <c r="AF41" s="25"/>
      <c r="AG41" s="25"/>
    </row>
    <row r="42" spans="1:35" s="13" customFormat="1" ht="31" customHeight="1" x14ac:dyDescent="0.2">
      <c r="A42" s="84"/>
      <c r="B42" s="87"/>
      <c r="C42" s="28"/>
      <c r="D42" s="28"/>
      <c r="E42" s="28"/>
      <c r="F42" s="22"/>
      <c r="G42" s="28"/>
      <c r="H42" s="28"/>
      <c r="I42" s="26"/>
      <c r="J42" s="45"/>
      <c r="K42" s="43"/>
      <c r="L42" s="43"/>
      <c r="M42" s="25"/>
      <c r="N42" s="35"/>
      <c r="O42" s="25"/>
      <c r="P42" s="25"/>
      <c r="Q42" s="25"/>
      <c r="R42" s="25"/>
      <c r="S42" s="25"/>
      <c r="T42" s="25"/>
      <c r="U42" s="36"/>
      <c r="V42" s="25"/>
      <c r="W42" s="25"/>
      <c r="X42" s="25"/>
      <c r="Y42" s="25"/>
      <c r="Z42" s="25"/>
      <c r="AA42" s="25"/>
      <c r="AB42" s="35"/>
      <c r="AC42" s="25"/>
      <c r="AD42" s="25"/>
      <c r="AE42" s="25"/>
      <c r="AF42" s="25"/>
      <c r="AG42" s="25"/>
    </row>
    <row r="43" spans="1:35" ht="31" customHeight="1" x14ac:dyDescent="0.2"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13"/>
      <c r="S43" s="13"/>
      <c r="T43" s="53"/>
      <c r="U43" s="53"/>
      <c r="V43" s="53"/>
      <c r="W43" s="53"/>
      <c r="X43" s="53"/>
      <c r="Y43" s="53"/>
      <c r="Z43" s="53"/>
      <c r="AA43" s="53"/>
      <c r="AB43" s="57"/>
      <c r="AC43" s="53"/>
      <c r="AD43" s="53"/>
      <c r="AE43" s="53"/>
      <c r="AF43" s="53"/>
      <c r="AG43" s="53"/>
    </row>
    <row r="44" spans="1:35" ht="31" customHeight="1" x14ac:dyDescent="0.3">
      <c r="A44" s="38" t="s">
        <v>37</v>
      </c>
      <c r="B44" s="38" t="s">
        <v>38</v>
      </c>
      <c r="C44" s="46"/>
      <c r="D44" s="13"/>
      <c r="E44" s="13"/>
      <c r="F44" s="13"/>
      <c r="G44" s="13"/>
      <c r="H44" s="46"/>
      <c r="I44" s="46"/>
      <c r="J44" s="13"/>
      <c r="K44" s="13"/>
      <c r="L44" s="13"/>
      <c r="M44" s="13"/>
      <c r="N44" s="46"/>
      <c r="O44" s="46"/>
      <c r="P44" s="13"/>
      <c r="Q44" s="13"/>
      <c r="R44" s="13"/>
      <c r="S44" s="13"/>
    </row>
    <row r="45" spans="1:35" ht="31" customHeight="1" x14ac:dyDescent="0.3">
      <c r="A45" s="39" t="s">
        <v>34</v>
      </c>
      <c r="B45" s="48">
        <v>200</v>
      </c>
      <c r="C45" s="46"/>
      <c r="D45" s="13"/>
      <c r="E45" s="13"/>
      <c r="F45" s="13"/>
      <c r="G45" s="13"/>
      <c r="H45" s="46"/>
      <c r="I45" s="46"/>
      <c r="J45" s="13"/>
      <c r="K45" s="13"/>
      <c r="L45" s="13"/>
      <c r="M45" s="13"/>
      <c r="N45" s="46"/>
      <c r="O45" s="46"/>
      <c r="P45" s="13"/>
      <c r="Q45" s="13"/>
      <c r="R45" s="13"/>
      <c r="S45" s="13"/>
    </row>
    <row r="46" spans="1:35" ht="31" customHeight="1" x14ac:dyDescent="0.3">
      <c r="A46" s="39" t="s">
        <v>35</v>
      </c>
      <c r="B46" s="48">
        <v>100</v>
      </c>
      <c r="C46" s="46"/>
      <c r="D46" s="13"/>
      <c r="E46" s="13"/>
      <c r="F46" s="13"/>
      <c r="G46" s="13"/>
      <c r="H46" s="46"/>
      <c r="I46" s="46"/>
      <c r="J46" s="13"/>
      <c r="K46" s="13"/>
      <c r="L46" s="13"/>
      <c r="M46" s="13"/>
      <c r="N46" s="46"/>
      <c r="O46" s="46"/>
      <c r="P46" s="13"/>
      <c r="Q46" s="13"/>
      <c r="R46" s="13"/>
      <c r="S46" s="13"/>
    </row>
    <row r="47" spans="1:35" ht="31" customHeight="1" x14ac:dyDescent="0.3">
      <c r="A47" s="39" t="s">
        <v>36</v>
      </c>
      <c r="B47" s="56">
        <v>3.2</v>
      </c>
      <c r="C47" s="46"/>
      <c r="D47" s="13"/>
      <c r="E47" s="13"/>
      <c r="F47" s="13"/>
      <c r="G47" s="13"/>
      <c r="H47" s="46"/>
      <c r="I47" s="46"/>
      <c r="J47" s="13"/>
      <c r="K47" s="13"/>
      <c r="L47" s="13"/>
      <c r="M47" s="13"/>
      <c r="N47" s="46"/>
      <c r="O47" s="46"/>
      <c r="P47" s="13"/>
      <c r="Q47" s="13"/>
      <c r="R47" s="13"/>
      <c r="S47" s="13"/>
    </row>
    <row r="48" spans="1:35" ht="31" customHeight="1" x14ac:dyDescent="0.3">
      <c r="A48" s="39" t="s">
        <v>56</v>
      </c>
      <c r="B48" s="48">
        <v>2</v>
      </c>
      <c r="C48" s="46"/>
      <c r="D48" s="13"/>
      <c r="E48" s="13"/>
      <c r="F48" s="13"/>
      <c r="G48" s="13"/>
      <c r="H48" s="46"/>
      <c r="I48" s="46"/>
      <c r="J48" s="13"/>
      <c r="K48" s="13"/>
      <c r="L48" s="13"/>
      <c r="M48" s="13"/>
      <c r="N48" s="46"/>
      <c r="O48" s="46"/>
      <c r="P48" s="13"/>
      <c r="Q48" s="13"/>
      <c r="R48" s="13"/>
      <c r="S48" s="13"/>
    </row>
    <row r="49" spans="1:19" ht="31" customHeight="1" x14ac:dyDescent="0.3">
      <c r="C49" s="46"/>
      <c r="D49" s="13"/>
      <c r="E49" s="13"/>
      <c r="F49" s="13"/>
      <c r="G49" s="13"/>
      <c r="H49" s="46"/>
      <c r="I49" s="46"/>
      <c r="J49" s="13"/>
      <c r="K49" s="13"/>
      <c r="L49" s="13"/>
      <c r="M49" s="13"/>
      <c r="N49" s="46"/>
      <c r="O49" s="46"/>
      <c r="P49" s="13"/>
      <c r="Q49" s="13"/>
      <c r="R49" s="13"/>
      <c r="S49" s="13"/>
    </row>
    <row r="50" spans="1:19" ht="31" customHeight="1" x14ac:dyDescent="0.3">
      <c r="A50" s="59" t="s">
        <v>60</v>
      </c>
      <c r="C50" s="46"/>
      <c r="D50" s="13"/>
      <c r="E50" s="13"/>
      <c r="F50" s="13"/>
      <c r="G50" s="13"/>
      <c r="H50" s="46"/>
      <c r="I50" s="46"/>
      <c r="J50" s="13"/>
      <c r="K50" s="13"/>
      <c r="L50" s="13"/>
      <c r="M50" s="13"/>
      <c r="N50" s="46"/>
      <c r="O50" s="46"/>
      <c r="P50" s="13"/>
      <c r="Q50" s="13"/>
      <c r="R50" s="13"/>
      <c r="S50" s="13"/>
    </row>
    <row r="51" spans="1:19" ht="31" customHeight="1" x14ac:dyDescent="0.2">
      <c r="A51" s="59" t="s">
        <v>59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ht="31" customHeight="1" x14ac:dyDescent="0.2"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ht="31" customHeight="1" x14ac:dyDescent="0.2"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5" spans="1:19" ht="31" customHeight="1" x14ac:dyDescent="0.2">
      <c r="A55" t="s">
        <v>50</v>
      </c>
      <c r="B55">
        <v>213</v>
      </c>
    </row>
    <row r="56" spans="1:19" ht="31" customHeight="1" x14ac:dyDescent="0.2">
      <c r="B56" s="54" t="s">
        <v>46</v>
      </c>
    </row>
    <row r="57" spans="1:19" ht="31" customHeight="1" x14ac:dyDescent="0.2">
      <c r="B57" t="s">
        <v>44</v>
      </c>
    </row>
    <row r="58" spans="1:19" ht="31" customHeight="1" x14ac:dyDescent="0.2">
      <c r="B58" t="s">
        <v>45</v>
      </c>
    </row>
    <row r="59" spans="1:19" ht="31" customHeight="1" x14ac:dyDescent="0.2">
      <c r="B59" t="s">
        <v>48</v>
      </c>
    </row>
    <row r="60" spans="1:19" ht="31" customHeight="1" x14ac:dyDescent="0.2">
      <c r="B60" t="s">
        <v>47</v>
      </c>
    </row>
    <row r="61" spans="1:19" ht="31" customHeight="1" x14ac:dyDescent="0.2">
      <c r="B61" t="s">
        <v>49</v>
      </c>
    </row>
    <row r="62" spans="1:19" ht="31" customHeight="1" x14ac:dyDescent="0.2">
      <c r="B62" t="s">
        <v>53</v>
      </c>
    </row>
    <row r="63" spans="1:19" ht="31" customHeight="1" x14ac:dyDescent="0.2">
      <c r="B63" t="s">
        <v>54</v>
      </c>
    </row>
    <row r="64" spans="1:19" ht="31" customHeight="1" x14ac:dyDescent="0.2">
      <c r="B64" t="s">
        <v>55</v>
      </c>
    </row>
    <row r="66" spans="1:2" ht="31" customHeight="1" x14ac:dyDescent="0.2">
      <c r="A66" t="s">
        <v>51</v>
      </c>
      <c r="B66" t="s">
        <v>52</v>
      </c>
    </row>
    <row r="67" spans="1:2" ht="31" customHeight="1" x14ac:dyDescent="0.2">
      <c r="A67" s="55"/>
    </row>
  </sheetData>
  <mergeCells count="24">
    <mergeCell ref="M2:U2"/>
    <mergeCell ref="C3:L3"/>
    <mergeCell ref="M3:U3"/>
    <mergeCell ref="C4:L4"/>
    <mergeCell ref="M4:U5"/>
    <mergeCell ref="C5:L5"/>
    <mergeCell ref="B2:L2"/>
    <mergeCell ref="M6:U6"/>
    <mergeCell ref="C7:L7"/>
    <mergeCell ref="M7:U7"/>
    <mergeCell ref="C10:F10"/>
    <mergeCell ref="G10:I10"/>
    <mergeCell ref="C6:L6"/>
    <mergeCell ref="A11:A12"/>
    <mergeCell ref="B11:B12"/>
    <mergeCell ref="A35:A42"/>
    <mergeCell ref="B35:B42"/>
    <mergeCell ref="B19:B24"/>
    <mergeCell ref="A19:A24"/>
    <mergeCell ref="A25:A28"/>
    <mergeCell ref="B25:B28"/>
    <mergeCell ref="B13:B17"/>
    <mergeCell ref="A13:A17"/>
    <mergeCell ref="A29:A34"/>
  </mergeCells>
  <phoneticPr fontId="7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REGIONAL DE MONIQUIRA E.S.E</dc:creator>
  <cp:lastModifiedBy>Sharon Katherine Acuña</cp:lastModifiedBy>
  <dcterms:created xsi:type="dcterms:W3CDTF">2024-06-17T19:07:59Z</dcterms:created>
  <dcterms:modified xsi:type="dcterms:W3CDTF">2025-11-26T04:22:42Z</dcterms:modified>
</cp:coreProperties>
</file>