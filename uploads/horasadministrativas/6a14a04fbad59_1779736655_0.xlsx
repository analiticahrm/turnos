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-HRM\Desktop\"/>
    </mc:Choice>
  </mc:AlternateContent>
  <xr:revisionPtr revIDLastSave="0" documentId="8_{C00C8AA0-92D4-415E-BFAD-54C380FA7788}" xr6:coauthVersionLast="47" xr6:coauthVersionMax="47" xr10:uidLastSave="{00000000-0000-0000-0000-000000000000}"/>
  <workbookProtection lockStructure="1"/>
  <bookViews>
    <workbookView xWindow="-120" yWindow="-120" windowWidth="20730" windowHeight="1104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<sst xmlns="http://schemas.openxmlformats.org/spreadsheetml/2006/main" count="211" uniqueCount="85">
  <si>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</si>
  <si>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</si>
  <si>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</si>
  <si>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</si>
  <si>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</si>
  <si>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</si>
  <si>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</si>
  <si>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</si>
  <si>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</si>
  <si>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</si>
  <si>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</si>
  <si>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</si>
  <si>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</si>
  <si>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</si>
  <si>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Junio</t>
  </si>
  <si>
    <t>AÑO:</t>
  </si>
  <si>
    <t>ÁREA:</t>
  </si>
  <si>
    <t>MEDICINA INTERNA</t>
  </si>
  <si>
    <t>Todas</t>
  </si>
  <si>
    <t>NOMBRE DEL PROFESIONAL</t>
  </si>
  <si>
    <t>DOCUMENTO</t>
  </si>
  <si>
    <t>Total Horas</t>
  </si>
  <si>
    <t>L</t>
  </si>
  <si>
    <t>M</t>
  </si>
  <si>
    <t>J</t>
  </si>
  <si>
    <t>V</t>
  </si>
  <si>
    <t>S</t>
  </si>
  <si>
    <t>D</t>
  </si>
  <si>
    <t>SANCHEZ CASTILLO FABIAN ANDRES</t>
  </si>
  <si>
    <t>CARRERO FORERO GERMAN ALONSO</t>
  </si>
  <si>
    <t>LOPEZ MORA OSCAR MAURICIO</t>
  </si>
  <si>
    <t>GONZALEZ OJEDA CARLOS ARTURO</t>
  </si>
  <si>
    <t>CRISTIAN  ANDRES  PULIDO</t>
  </si>
  <si>
    <t>JOSE DAVID SOCARRAS</t>
  </si>
  <si>
    <t>OBSERVACIONES</t>
  </si>
  <si>
    <t>COD</t>
  </si>
  <si>
    <t>HORAS</t>
  </si>
  <si>
    <t>TOTAL HORAS</t>
  </si>
  <si>
    <t>ACTIVIDAD</t>
  </si>
  <si>
    <t>ADM</t>
  </si>
  <si>
    <t>08:30:00 a 18:00:00</t>
  </si>
  <si>
    <t>ADMINISTRATIVO</t>
  </si>
  <si>
    <t>Hrm2026$</t>
  </si>
  <si>
    <t>ADM/TC</t>
  </si>
  <si>
    <t>13:00:00 a 20:00:00
07:00:00 a 13:00:00</t>
  </si>
  <si>
    <t>7.0
6.0</t>
  </si>
  <si>
    <t>CONSULTA  EXTERNA
ADMINISTRATIVO</t>
  </si>
  <si>
    <t>CE/EXT</t>
  </si>
  <si>
    <t>07:00:00 a 12:00:00
13:00:00 a 17:00:00</t>
  </si>
  <si>
    <t>5.0
4.0</t>
  </si>
  <si>
    <t>CONSULTA  EXTERNA
CONSULTA  EXTERNA</t>
  </si>
  <si>
    <t>APROBÓ
KARIN MILENA GAMBA</t>
  </si>
  <si>
    <t>DISP</t>
  </si>
  <si>
    <t>23:00:00 a 07:00:00</t>
  </si>
  <si>
    <t>DISPONIBILIDAD</t>
  </si>
  <si>
    <t>GPC</t>
  </si>
  <si>
    <t>07:00:00 a 13:00:00</t>
  </si>
  <si>
    <t>GUIAS DE  PRACTICA CLINICA</t>
  </si>
  <si>
    <t>GPC/TC</t>
  </si>
  <si>
    <t>07:00:00 a 13:00:00
13:00:00 a 20:00:00</t>
  </si>
  <si>
    <t>6.0
7.0</t>
  </si>
  <si>
    <t>GUIAS DE  PRACTICA CLINICA
CONSULTA  EXTERNA</t>
  </si>
  <si>
    <t>H</t>
  </si>
  <si>
    <t>07:00:00 a 19:00:00</t>
  </si>
  <si>
    <t>TURNO</t>
  </si>
  <si>
    <t>H-6</t>
  </si>
  <si>
    <t>13:00:00 a 19:00:00</t>
  </si>
  <si>
    <t>H-M</t>
  </si>
  <si>
    <t>H/6</t>
  </si>
  <si>
    <t>H6</t>
  </si>
  <si>
    <t>MC</t>
  </si>
  <si>
    <t>CONSULTA  EXTERNA</t>
  </si>
  <si>
    <t>MC/GPC</t>
  </si>
  <si>
    <t>06:00:00 a 13:00:00
13:00:00 a 19:00:00</t>
  </si>
  <si>
    <t>CONSULTA  EXTERNA
GUIAS DE  PRACTICA CLINICA</t>
  </si>
  <si>
    <t>TC</t>
  </si>
  <si>
    <t>URG</t>
  </si>
  <si>
    <t>URGENCIAS</t>
  </si>
  <si>
    <t>URG / P</t>
  </si>
  <si>
    <t>19:00:00 a 22:00:00</t>
  </si>
  <si>
    <t>URG/DISP</t>
  </si>
  <si>
    <t>07:00:00 a 19:00:00
22:00:00 a 07:00:00
19:00:00 a 22:00:00</t>
  </si>
  <si>
    <t>12.0
9.0
3.0</t>
  </si>
  <si>
    <t>URGENCIAS
DISPONIBILIDAD
URGENCIAS NOCHE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</si>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</sst>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2"/>
      <color rgb="FFFFFFFF"/>
      <name val="Calibri"/>
      <scheme val="minor"/>
    </font>
    <font>
      <sz val="12"/>
      <color rgb="FFFF0000"/>
      <name val="Arial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Arial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7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5" fillId="3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5" fillId="5" borderId="6" xfId="0" applyFont="1" applyFill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 hidden="1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 hidden="1"/>
    </xf>
    <xf numFmtId="0" fontId="9" fillId="2" borderId="1" xfId="0" applyFont="1" applyFill="1" applyBorder="1" applyAlignment="1" applyProtection="1">
      <alignment vertical="top" wrapText="1"/>
      <protection hidden="1"/>
    </xf>
    <xf numFmtId="0" fontId="9" fillId="2" borderId="11" xfId="0" applyFont="1" applyFill="1" applyBorder="1" applyAlignment="1" applyProtection="1">
      <alignment vertical="top" wrapText="1"/>
      <protection hidden="1"/>
    </xf>
    <xf numFmtId="0" fontId="9" fillId="2" borderId="2" xfId="0" applyFont="1" applyFill="1" applyBorder="1" applyAlignment="1" applyProtection="1">
      <alignment vertical="top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Protection="1">
      <protection hidden="1"/>
    </xf>
    <xf numFmtId="0" fontId="13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0" fillId="0" borderId="15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1">
  <autoFilter ref="A1:A51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E13" activePane="bottomRight" state="frozen"/>
      <selection pane="topRight"/>
      <selection pane="bottomLeft"/>
      <selection pane="bottomRight" activeCell="Z21" sqref="Z21"/>
    </sheetView>
  </sheetViews>
  <sheetFormatPr baseColWidth="10" defaultColWidth="9.375" defaultRowHeight="15.75" x14ac:dyDescent="0.25"/>
  <cols>
    <col min="1" max="2" width="9.375" style="11"/>
    <col min="3" max="3" width="30.75" style="11" customWidth="1"/>
    <col min="4" max="4" width="21.125" style="11" customWidth="1"/>
    <col min="5" max="37" width="8.125" style="11" customWidth="1"/>
    <col min="38" max="38" width="11.25" style="11" customWidth="1"/>
    <col min="39" max="39" width="9.375" style="11"/>
  </cols>
  <sheetData>
    <row r="1" spans="2:40" ht="16.5" customHeight="1" x14ac:dyDescent="0.25"/>
    <row r="2" spans="2:40" ht="18" customHeight="1" x14ac:dyDescent="0.25">
      <c r="C2" s="38"/>
      <c r="D2" s="50" t="s">
        <v>0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63" t="s">
        <v>1</v>
      </c>
      <c r="AD2" s="64"/>
      <c r="AE2" s="64"/>
      <c r="AF2" s="64"/>
      <c r="AG2" s="64"/>
      <c r="AH2" s="64"/>
      <c r="AI2" s="65"/>
    </row>
    <row r="3" spans="2:40" x14ac:dyDescent="0.25">
      <c r="C3" s="38"/>
      <c r="D3" s="13" t="s">
        <v>2</v>
      </c>
      <c r="E3" s="59" t="s">
        <v>3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6" t="s">
        <v>4</v>
      </c>
      <c r="AD3" s="57"/>
      <c r="AE3" s="57"/>
      <c r="AF3" s="57"/>
      <c r="AG3" s="57"/>
      <c r="AH3" s="57"/>
      <c r="AI3" s="58"/>
    </row>
    <row r="4" spans="2:40" x14ac:dyDescent="0.25">
      <c r="C4" s="30"/>
      <c r="D4" s="14" t="s">
        <v>5</v>
      </c>
      <c r="E4" s="59" t="s">
        <v>6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6" t="s">
        <v>7</v>
      </c>
      <c r="AD4" s="57"/>
      <c r="AE4" s="57"/>
      <c r="AF4" s="57"/>
      <c r="AG4" s="57"/>
      <c r="AH4" s="57"/>
      <c r="AI4" s="58"/>
    </row>
    <row r="5" spans="2:40" x14ac:dyDescent="0.25">
      <c r="C5" s="38">
        <v>1</v>
      </c>
      <c r="D5" s="14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7"/>
      <c r="AD5" s="57"/>
      <c r="AE5" s="57"/>
      <c r="AF5" s="57"/>
      <c r="AG5" s="57"/>
      <c r="AH5" s="57"/>
      <c r="AI5" s="58"/>
    </row>
    <row r="6" spans="2:40" x14ac:dyDescent="0.25">
      <c r="C6" s="38"/>
      <c r="D6" s="13" t="s">
        <v>8</v>
      </c>
      <c r="E6" s="59" t="s">
        <v>9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6">
        <v>1</v>
      </c>
      <c r="AD6" s="57"/>
      <c r="AE6" s="57"/>
      <c r="AF6" s="57"/>
      <c r="AG6" s="57"/>
      <c r="AH6" s="57"/>
      <c r="AI6" s="58"/>
    </row>
    <row r="7" spans="2:40" ht="16.5" customHeight="1" x14ac:dyDescent="0.25">
      <c r="C7" s="38"/>
      <c r="D7" s="15" t="s">
        <v>10</v>
      </c>
      <c r="E7" s="59" t="s">
        <v>11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12</v>
      </c>
      <c r="AD7" s="61"/>
      <c r="AE7" s="61"/>
      <c r="AF7" s="61"/>
      <c r="AG7" s="61"/>
      <c r="AH7" s="61"/>
      <c r="AI7" s="62"/>
    </row>
    <row r="8" spans="2:40" ht="16.5" customHeight="1" x14ac:dyDescent="0.25">
      <c r="C8" s="3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6"/>
      <c r="AD8" s="16"/>
      <c r="AE8" s="16"/>
      <c r="AF8" s="16"/>
      <c r="AG8" s="16"/>
      <c r="AH8" s="16"/>
      <c r="AI8" s="16"/>
    </row>
    <row r="9" spans="2:40" ht="16.5" customHeight="1" x14ac:dyDescent="0.25">
      <c r="C9" s="18"/>
      <c r="D9" s="19"/>
      <c r="E9" s="70" t="s">
        <v>13</v>
      </c>
      <c r="F9" s="70"/>
      <c r="G9" s="70"/>
      <c r="H9" s="70" t="s">
        <v>14</v>
      </c>
      <c r="I9" s="70"/>
      <c r="J9" s="70"/>
      <c r="K9" s="70"/>
      <c r="L9" s="70"/>
      <c r="M9" s="70"/>
      <c r="N9" s="70"/>
      <c r="O9" s="70" t="s">
        <v>15</v>
      </c>
      <c r="P9" s="70"/>
      <c r="Q9" s="70"/>
      <c r="R9" s="70">
        <v>2026</v>
      </c>
      <c r="S9" s="70"/>
      <c r="T9" s="70"/>
      <c r="U9" s="70"/>
      <c r="V9" s="70"/>
      <c r="W9" s="20" t="s">
        <v>16</v>
      </c>
      <c r="X9" s="77" t="s">
        <v>17</v>
      </c>
      <c r="Y9" s="78"/>
      <c r="Z9" s="78"/>
      <c r="AA9" s="78"/>
      <c r="AB9" s="78"/>
      <c r="AC9" s="78"/>
      <c r="AD9" s="79"/>
      <c r="AE9" s="77" t="s">
        <v>18</v>
      </c>
      <c r="AF9" s="78"/>
      <c r="AG9" s="78"/>
      <c r="AH9" s="78"/>
      <c r="AI9" s="80"/>
    </row>
    <row r="10" spans="2:40" ht="16.5" customHeight="1" x14ac:dyDescent="0.25"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1"/>
      <c r="R10" s="17"/>
      <c r="S10" s="17"/>
      <c r="T10" s="21"/>
      <c r="U10" s="21"/>
      <c r="V10" s="21"/>
      <c r="W10" s="21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2:40" x14ac:dyDescent="0.25">
      <c r="C11" s="66" t="s">
        <v>19</v>
      </c>
      <c r="D11" s="68" t="s">
        <v>20</v>
      </c>
      <c r="E11" s="22">
        <v>1</v>
      </c>
      <c r="F11" s="22">
        <v>2</v>
      </c>
      <c r="G11" s="22">
        <v>3</v>
      </c>
      <c r="H11" s="22">
        <v>4</v>
      </c>
      <c r="I11" s="22">
        <v>5</v>
      </c>
      <c r="J11" s="22">
        <v>6</v>
      </c>
      <c r="K11" s="22">
        <v>7</v>
      </c>
      <c r="L11" s="22">
        <v>8</v>
      </c>
      <c r="M11" s="22">
        <v>9</v>
      </c>
      <c r="N11" s="22">
        <v>10</v>
      </c>
      <c r="O11" s="22">
        <v>11</v>
      </c>
      <c r="P11" s="22">
        <v>12</v>
      </c>
      <c r="Q11" s="22">
        <v>13</v>
      </c>
      <c r="R11" s="22">
        <v>14</v>
      </c>
      <c r="S11" s="22">
        <v>15</v>
      </c>
      <c r="T11" s="22">
        <v>16</v>
      </c>
      <c r="U11" s="22">
        <v>17</v>
      </c>
      <c r="V11" s="22">
        <v>18</v>
      </c>
      <c r="W11" s="22">
        <v>19</v>
      </c>
      <c r="X11" s="22">
        <v>20</v>
      </c>
      <c r="Y11" s="22">
        <v>21</v>
      </c>
      <c r="Z11" s="22">
        <v>22</v>
      </c>
      <c r="AA11" s="22">
        <v>23</v>
      </c>
      <c r="AB11" s="22">
        <v>24</v>
      </c>
      <c r="AC11" s="22">
        <v>25</v>
      </c>
      <c r="AD11" s="22">
        <v>26</v>
      </c>
      <c r="AE11" s="22">
        <v>27</v>
      </c>
      <c r="AF11" s="22">
        <v>28</v>
      </c>
      <c r="AG11" s="22">
        <v>29</v>
      </c>
      <c r="AH11" s="22">
        <v>30</v>
      </c>
      <c r="AI11" s="22"/>
      <c r="AJ11" s="22"/>
      <c r="AK11" s="22"/>
      <c r="AL11" s="23" t="s">
        <v>21</v>
      </c>
    </row>
    <row r="12" spans="2:40" x14ac:dyDescent="0.25">
      <c r="C12" s="67"/>
      <c r="D12" s="69"/>
      <c r="E12" s="22" t="s">
        <v>22</v>
      </c>
      <c r="F12" s="22" t="s">
        <v>23</v>
      </c>
      <c r="G12" s="22" t="s">
        <v>23</v>
      </c>
      <c r="H12" s="22" t="s">
        <v>24</v>
      </c>
      <c r="I12" s="22" t="s">
        <v>25</v>
      </c>
      <c r="J12" s="22" t="s">
        <v>26</v>
      </c>
      <c r="K12" s="22" t="s">
        <v>27</v>
      </c>
      <c r="L12" s="22" t="s">
        <v>22</v>
      </c>
      <c r="M12" s="22" t="s">
        <v>23</v>
      </c>
      <c r="N12" s="22" t="s">
        <v>23</v>
      </c>
      <c r="O12" s="22" t="s">
        <v>24</v>
      </c>
      <c r="P12" s="22" t="s">
        <v>25</v>
      </c>
      <c r="Q12" s="22" t="s">
        <v>26</v>
      </c>
      <c r="R12" s="22" t="s">
        <v>27</v>
      </c>
      <c r="S12" s="22" t="s">
        <v>22</v>
      </c>
      <c r="T12" s="22" t="s">
        <v>23</v>
      </c>
      <c r="U12" s="22" t="s">
        <v>23</v>
      </c>
      <c r="V12" s="22" t="s">
        <v>24</v>
      </c>
      <c r="W12" s="22" t="s">
        <v>25</v>
      </c>
      <c r="X12" s="22" t="s">
        <v>26</v>
      </c>
      <c r="Y12" s="22" t="s">
        <v>27</v>
      </c>
      <c r="Z12" s="22" t="s">
        <v>22</v>
      </c>
      <c r="AA12" s="22" t="s">
        <v>23</v>
      </c>
      <c r="AB12" s="22" t="s">
        <v>23</v>
      </c>
      <c r="AC12" s="22" t="s">
        <v>24</v>
      </c>
      <c r="AD12" s="22" t="s">
        <v>25</v>
      </c>
      <c r="AE12" s="22" t="s">
        <v>26</v>
      </c>
      <c r="AF12" s="22" t="s">
        <v>27</v>
      </c>
      <c r="AG12" s="22" t="s">
        <v>22</v>
      </c>
      <c r="AH12" s="22" t="s">
        <v>23</v>
      </c>
      <c r="AI12" s="22"/>
      <c r="AJ12" s="22"/>
      <c r="AK12" s="22"/>
      <c r="AL12" s="24"/>
    </row>
    <row r="13" spans="2:40" x14ac:dyDescent="0.25">
      <c r="B13" s="31">
        <v>1</v>
      </c>
      <c r="C13" s="32" t="s">
        <v>28</v>
      </c>
      <c r="D13" s="33">
        <v>1049610828</v>
      </c>
      <c r="E13" s="41" t="s">
        <v>62</v>
      </c>
      <c r="F13" s="41" t="s">
        <v>70</v>
      </c>
      <c r="G13" s="41" t="s">
        <v>80</v>
      </c>
      <c r="H13" s="7" t="s">
        <v>70</v>
      </c>
      <c r="I13" s="7" t="s">
        <v>62</v>
      </c>
      <c r="J13" s="39"/>
      <c r="K13" s="39"/>
      <c r="L13" s="39"/>
      <c r="M13" s="41" t="s">
        <v>70</v>
      </c>
      <c r="N13" s="41" t="s">
        <v>80</v>
      </c>
      <c r="O13" s="7" t="s">
        <v>62</v>
      </c>
      <c r="P13" s="7" t="s">
        <v>70</v>
      </c>
      <c r="Q13" s="39"/>
      <c r="R13" s="39"/>
      <c r="S13" s="39" t="s">
        <v>80</v>
      </c>
      <c r="T13" s="41" t="s">
        <v>80</v>
      </c>
      <c r="U13" s="41" t="s">
        <v>62</v>
      </c>
      <c r="V13" s="41" t="s">
        <v>80</v>
      </c>
      <c r="W13" s="7" t="s">
        <v>80</v>
      </c>
      <c r="X13" s="39" t="s">
        <v>62</v>
      </c>
      <c r="Y13" s="39" t="s">
        <v>62</v>
      </c>
      <c r="Z13" s="7" t="s">
        <v>62</v>
      </c>
      <c r="AA13" s="41" t="s">
        <v>70</v>
      </c>
      <c r="AB13" s="41" t="s">
        <v>80</v>
      </c>
      <c r="AC13" s="7" t="s">
        <v>70</v>
      </c>
      <c r="AD13" s="7"/>
      <c r="AE13" s="39"/>
      <c r="AF13" s="39"/>
      <c r="AG13" s="39" t="s">
        <v>62</v>
      </c>
      <c r="AH13" s="41" t="s">
        <v>70</v>
      </c>
      <c r="AI13" s="7"/>
      <c r="AJ13" s="7"/>
      <c r="AK13" s="7"/>
      <c r="AL13" s="8">
        <f t="shared" ref="AL13:AL44" si="0"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306</v>
      </c>
      <c r="AM13" s="9"/>
      <c r="AN13" s="9"/>
    </row>
    <row r="14" spans="2:40" x14ac:dyDescent="0.25">
      <c r="B14" s="31">
        <v>2</v>
      </c>
      <c r="C14" s="32" t="s">
        <v>29</v>
      </c>
      <c r="D14" s="33">
        <v>79964043</v>
      </c>
      <c r="E14" s="41" t="s">
        <v>80</v>
      </c>
      <c r="F14" s="41" t="s">
        <v>80</v>
      </c>
      <c r="G14" s="41" t="s">
        <v>62</v>
      </c>
      <c r="H14" s="7" t="s">
        <v>80</v>
      </c>
      <c r="I14" s="7" t="s">
        <v>75</v>
      </c>
      <c r="J14" s="39" t="s">
        <v>62</v>
      </c>
      <c r="K14" s="39" t="s">
        <v>70</v>
      </c>
      <c r="L14" s="39"/>
      <c r="M14" s="41"/>
      <c r="N14" s="41"/>
      <c r="O14" s="7"/>
      <c r="P14" s="7"/>
      <c r="Q14" s="39"/>
      <c r="R14" s="39"/>
      <c r="S14" s="39"/>
      <c r="T14" s="41"/>
      <c r="U14" s="41"/>
      <c r="V14" s="41"/>
      <c r="W14" s="7"/>
      <c r="X14" s="39"/>
      <c r="Y14" s="39"/>
      <c r="Z14" s="7"/>
      <c r="AA14" s="41"/>
      <c r="AB14" s="41"/>
      <c r="AC14" s="7"/>
      <c r="AD14" s="7"/>
      <c r="AE14" s="39"/>
      <c r="AF14" s="39"/>
      <c r="AG14" s="39"/>
      <c r="AH14" s="41"/>
      <c r="AI14" s="7"/>
      <c r="AJ14" s="7"/>
      <c r="AK14" s="7"/>
      <c r="AL14" s="8">
        <f t="shared" si="0"/>
        <v>108</v>
      </c>
      <c r="AM14" s="9"/>
      <c r="AN14" s="9"/>
    </row>
    <row r="15" spans="2:40" x14ac:dyDescent="0.25">
      <c r="B15" s="31">
        <v>3</v>
      </c>
      <c r="C15" s="32" t="s">
        <v>30</v>
      </c>
      <c r="D15" s="33">
        <v>1054678655</v>
      </c>
      <c r="E15" s="41" t="s">
        <v>75</v>
      </c>
      <c r="F15" s="41" t="s">
        <v>62</v>
      </c>
      <c r="G15" s="41" t="s">
        <v>70</v>
      </c>
      <c r="H15" s="7" t="s">
        <v>62</v>
      </c>
      <c r="I15" s="7" t="s">
        <v>70</v>
      </c>
      <c r="J15" s="39" t="s">
        <v>80</v>
      </c>
      <c r="K15" s="39" t="s">
        <v>80</v>
      </c>
      <c r="L15" s="39" t="s">
        <v>62</v>
      </c>
      <c r="M15" s="41" t="s">
        <v>62</v>
      </c>
      <c r="N15" s="41" t="s">
        <v>70</v>
      </c>
      <c r="O15" s="7" t="s">
        <v>70</v>
      </c>
      <c r="P15" s="7" t="s">
        <v>80</v>
      </c>
      <c r="Q15" s="39"/>
      <c r="R15" s="39"/>
      <c r="S15" s="39"/>
      <c r="T15" s="41"/>
      <c r="U15" s="41" t="s">
        <v>70</v>
      </c>
      <c r="V15" s="41" t="s">
        <v>62</v>
      </c>
      <c r="W15" s="7" t="s">
        <v>62</v>
      </c>
      <c r="X15" s="39"/>
      <c r="Y15" s="39"/>
      <c r="Z15" s="7"/>
      <c r="AA15" s="41" t="s">
        <v>80</v>
      </c>
      <c r="AB15" s="41" t="s">
        <v>70</v>
      </c>
      <c r="AC15" s="7" t="s">
        <v>75</v>
      </c>
      <c r="AD15" s="7" t="s">
        <v>80</v>
      </c>
      <c r="AE15" s="39" t="s">
        <v>62</v>
      </c>
      <c r="AF15" s="39" t="s">
        <v>80</v>
      </c>
      <c r="AG15" s="39" t="s">
        <v>80</v>
      </c>
      <c r="AH15" s="41" t="s">
        <v>62</v>
      </c>
      <c r="AI15" s="7"/>
      <c r="AJ15" s="7"/>
      <c r="AK15" s="7"/>
      <c r="AL15" s="8">
        <f t="shared" si="0"/>
        <v>312</v>
      </c>
      <c r="AM15" s="9"/>
      <c r="AN15" s="9"/>
    </row>
    <row r="16" spans="2:40" ht="15.75" customHeight="1" x14ac:dyDescent="0.25">
      <c r="B16" s="31">
        <v>4</v>
      </c>
      <c r="C16" s="32" t="s">
        <v>31</v>
      </c>
      <c r="D16" s="33">
        <v>1032418522</v>
      </c>
      <c r="E16" s="41" t="s">
        <v>70</v>
      </c>
      <c r="F16" s="41" t="s">
        <v>75</v>
      </c>
      <c r="G16" s="41" t="s">
        <v>75</v>
      </c>
      <c r="H16" s="7" t="s">
        <v>75</v>
      </c>
      <c r="I16" s="7" t="s">
        <v>80</v>
      </c>
      <c r="J16" s="39" t="s">
        <v>70</v>
      </c>
      <c r="K16" s="39" t="s">
        <v>62</v>
      </c>
      <c r="L16" s="39"/>
      <c r="M16" s="41" t="s">
        <v>75</v>
      </c>
      <c r="N16" s="41" t="s">
        <v>62</v>
      </c>
      <c r="O16" s="7" t="s">
        <v>80</v>
      </c>
      <c r="P16" s="7" t="s">
        <v>62</v>
      </c>
      <c r="Q16" s="39" t="s">
        <v>80</v>
      </c>
      <c r="R16" s="39" t="s">
        <v>80</v>
      </c>
      <c r="S16" s="39" t="s">
        <v>62</v>
      </c>
      <c r="T16" s="41" t="s">
        <v>62</v>
      </c>
      <c r="U16" s="41" t="s">
        <v>80</v>
      </c>
      <c r="V16" s="41"/>
      <c r="W16" s="7"/>
      <c r="X16" s="39"/>
      <c r="Y16" s="39"/>
      <c r="Z16" s="7"/>
      <c r="AA16" s="41" t="s">
        <v>75</v>
      </c>
      <c r="AB16" s="41" t="s">
        <v>62</v>
      </c>
      <c r="AC16" s="7" t="s">
        <v>80</v>
      </c>
      <c r="AD16" s="7" t="s">
        <v>62</v>
      </c>
      <c r="AE16" s="39" t="s">
        <v>80</v>
      </c>
      <c r="AF16" s="39" t="s">
        <v>62</v>
      </c>
      <c r="AG16" s="39"/>
      <c r="AH16" s="41" t="s">
        <v>80</v>
      </c>
      <c r="AI16" s="7"/>
      <c r="AJ16" s="7"/>
      <c r="AK16" s="7"/>
      <c r="AL16" s="8">
        <f t="shared" si="0"/>
        <v>330</v>
      </c>
      <c r="AM16" s="9"/>
      <c r="AN16" s="9"/>
    </row>
    <row r="17" spans="2:40" ht="15.75" customHeight="1" x14ac:dyDescent="0.25">
      <c r="B17" s="31">
        <v>5</v>
      </c>
      <c r="C17" s="32" t="s">
        <v>32</v>
      </c>
      <c r="D17" s="32">
        <v>1049634359</v>
      </c>
      <c r="E17" s="41"/>
      <c r="F17" s="41"/>
      <c r="G17" s="41"/>
      <c r="H17" s="7"/>
      <c r="I17" s="7"/>
      <c r="J17" s="39"/>
      <c r="K17" s="39"/>
      <c r="L17" s="39"/>
      <c r="M17" s="41"/>
      <c r="N17" s="41"/>
      <c r="O17" s="7"/>
      <c r="P17" s="7"/>
      <c r="Q17" s="39"/>
      <c r="R17" s="39"/>
      <c r="S17" s="39"/>
      <c r="T17" s="41"/>
      <c r="U17" s="41"/>
      <c r="V17" s="41"/>
      <c r="W17" s="7"/>
      <c r="X17" s="42" t="s">
        <v>80</v>
      </c>
      <c r="Y17" s="42" t="s">
        <v>80</v>
      </c>
      <c r="Z17" s="43" t="s">
        <v>80</v>
      </c>
      <c r="AA17" s="40" t="s">
        <v>62</v>
      </c>
      <c r="AB17" s="43" t="s">
        <v>75</v>
      </c>
      <c r="AC17" s="43" t="s">
        <v>62</v>
      </c>
      <c r="AD17" s="40"/>
      <c r="AE17" s="39"/>
      <c r="AF17" s="39"/>
      <c r="AG17" s="39"/>
      <c r="AH17" s="41"/>
      <c r="AI17" s="7"/>
      <c r="AJ17" s="7"/>
      <c r="AK17" s="7"/>
      <c r="AL17" s="8">
        <f>IFERROR(VLOOKUP(E17,$B$75:$E$105,4,FALSE),0)+
IFERROR(VLOOKUP(F17,$B$75:$E$105,4,FALSE),0)+
IFERROR(VLOOKUP(G17,$B$75:$E$105,4,FALSE),0)+
IFERROR(VLOOKUP(H17,$B$75:$E$105,4,FALSE),0)+
IFERROR(VLOOKUP(I17,$B$75:$E$105,4,FALSE),0)+
IFERROR(VLOOKUP(J17,$B$75:$E$105,4,FALSE),0)+
IFERROR(VLOOKUP(K17,$B$75:$E$105,4,FALSE),0)+
IFERROR(VLOOKUP(L17,$B$75:$E$105,4,FALSE),0)+
IFERROR(VLOOKUP(M17,$B$75:$E$105,4,FALSE),0)+
IFERROR(VLOOKUP(N17,$B$75:$E$105,4,FALSE),0)+
IFERROR(VLOOKUP(O17,$B$75:$E$105,4,FALSE),0)+
IFERROR(VLOOKUP(P17,$B$75:$E$105,4,FALSE),0)+
IFERROR(VLOOKUP(Q17,$B$75:$E$105,4,FALSE),0)+
IFERROR(VLOOKUP(R17,$B$75:$E$105,4,FALSE),0)+
IFERROR(VLOOKUP(S17,$B$75:$E$105,4,FALSE),0)+
IFERROR(VLOOKUP(X17,$B$75:$E$105,4,FALSE),0)+
IFERROR(VLOOKUP(Y17,$B$75:$E$105,4,FALSE),0)+
IFERROR(VLOOKUP(Z17,$B$75:$E$105,4,FALSE),0)+
IFERROR(VLOOKUP(AA17,$B$75:$E$105,4,FALSE),0)+
IFERROR(VLOOKUP(AB17,$B$75:$E$105,4,FALSE),0)+
IFERROR(VLOOKUP(AC17,$B$75:$E$105,4,FALSE),0)+
IFERROR(VLOOKUP(AD17,$B$75:$E$105,4,FALSE),0)+
IFERROR(VLOOKUP(#REF!,$B$75:$E$105,4,FALSE),0)+
IFERROR(VLOOKUP(#REF!,$B$75:$E$105,4,FALSE),0)+
IFERROR(VLOOKUP(#REF!,$B$75:$E$105,4,FALSE),0)+
IFERROR(VLOOKUP(#REF!,$B$75:$E$105,4,FALSE),0)+
IFERROR(VLOOKUP(AE17,$B$75:$E$105,4,FALSE),0)+
IFERROR(VLOOKUP(AF17,$B$75:$E$105,4,FALSE),0)+
IFERROR(VLOOKUP(AG17,$B$75:$E$105,4,FALSE),0)+
IFERROR(VLOOKUP(AH17,$B$75:$E$105,4,FALSE),0)+
IFERROR(VLOOKUP(AI17,$B$75:$E$105,4,FALSE),0)+
IFERROR(VLOOKUP(AJ17,$B$75:$E$105,4,FALSE),0)</f>
        <v>102</v>
      </c>
      <c r="AM17" s="9"/>
      <c r="AN17" s="9"/>
    </row>
    <row r="18" spans="2:40" ht="15.75" customHeight="1" x14ac:dyDescent="0.25">
      <c r="B18" s="31">
        <v>6</v>
      </c>
      <c r="C18" s="32" t="s">
        <v>33</v>
      </c>
      <c r="D18" s="32">
        <v>1065623428</v>
      </c>
      <c r="E18" s="41"/>
      <c r="F18" s="41"/>
      <c r="G18" s="41"/>
      <c r="H18" s="7"/>
      <c r="I18" s="7"/>
      <c r="J18" s="39"/>
      <c r="K18" s="39"/>
      <c r="L18" s="39" t="s">
        <v>80</v>
      </c>
      <c r="M18" s="41" t="s">
        <v>80</v>
      </c>
      <c r="N18" s="41" t="s">
        <v>75</v>
      </c>
      <c r="O18" s="41" t="s">
        <v>75</v>
      </c>
      <c r="P18" s="41" t="s">
        <v>75</v>
      </c>
      <c r="Q18" s="45" t="s">
        <v>62</v>
      </c>
      <c r="R18" s="39" t="s">
        <v>62</v>
      </c>
      <c r="S18" s="46"/>
      <c r="T18" s="41"/>
      <c r="U18" s="41"/>
      <c r="V18" s="41"/>
      <c r="W18" s="44"/>
      <c r="X18" s="44"/>
      <c r="Y18" s="44"/>
      <c r="Z18" s="44"/>
      <c r="AA18" s="44"/>
      <c r="AB18" s="44"/>
      <c r="AC18" s="44"/>
      <c r="AD18" s="7"/>
      <c r="AE18" s="39"/>
      <c r="AF18" s="39"/>
      <c r="AG18" s="39"/>
      <c r="AH18" s="41"/>
      <c r="AI18" s="7"/>
      <c r="AJ18" s="7"/>
      <c r="AK18" s="7"/>
      <c r="AL18" s="8">
        <f>IFERROR(VLOOKUP(E18,$B$75:$E$105,4,FALSE),0)+
IFERROR(VLOOKUP(F18,$B$75:$E$105,4,FALSE),0)+
IFERROR(VLOOKUP(G18,$B$75:$E$105,4,FALSE),0)+
IFERROR(VLOOKUP(H18,$B$75:$E$105,4,FALSE),0)+
IFERROR(VLOOKUP(I18,$B$75:$E$105,4,FALSE),0)+
IFERROR(VLOOKUP(J18,$B$75:$E$105,4,FALSE),0)+
IFERROR(VLOOKUP(K18,$B$75:$E$105,4,FALSE),0)+
IFERROR(VLOOKUP(#REF!,$B$75:$E$105,4,FALSE),0)+
IFERROR(VLOOKUP(#REF!,$B$75:$E$105,4,FALSE),0)+
IFERROR(VLOOKUP(#REF!,$B$75:$E$105,4,FALSE),0)+
IFERROR(VLOOKUP(#REF!,$B$75:$E$105,4,FALSE),0)+
IFERROR(VLOOKUP(#REF!,$B$75:$E$105,4,FALSE),0)+
IFERROR(VLOOKUP(#REF!,$B$75:$E$105,4,FALSE),0)+
IFERROR(VLOOKUP(#REF!,$B$75:$E$105,4,FALSE),0)+
IFERROR(VLOOKUP(#REF!,$B$75:$E$105,4,FALSE),0)+
IFERROR(VLOOKUP(T18,$B$75:$E$105,4,FALSE),0)+
IFERROR(VLOOKUP(U18,$B$75:$E$105,4,FALSE),0)+
IFERROR(VLOOKUP(V18,$B$75:$E$105,4,FALSE),0)+
IFERROR(VLOOKUP(L18,$B$75:$E$105,4,FALSE),0)+
IFERROR(VLOOKUP(M18,$B$75:$E$105,4,FALSE),0)+
IFERROR(VLOOKUP(N18,$B$75:$E$105,4,FALSE),0)+
IFERROR(VLOOKUP(O18,$B$75:$E$105,4,FALSE),0)+
IFERROR(VLOOKUP(P18,$B$75:$E$105,4,FALSE),0)+
IFERROR(VLOOKUP(Q18,$B$75:$E$105,4,FALSE),0)+
IFERROR(VLOOKUP(R18,$B$75:$E$105,4,FALSE),0)+
IFERROR(VLOOKUP(AD18,$B$75:$E$105,4,FALSE),0)+
IFERROR(VLOOKUP(AE18,$B$75:$E$105,4,FALSE),0)+
IFERROR(VLOOKUP(AF18,$B$75:$E$105,4,FALSE),0)+
IFERROR(VLOOKUP(AG18,$B$75:$E$105,4,FALSE),0)+
IFERROR(VLOOKUP(AH18,$B$75:$E$105,4,FALSE),0)+
IFERROR(VLOOKUP(AI18,$B$75:$E$105,4,FALSE),0)+
IFERROR(VLOOKUP(AJ18,$B$75:$E$105,4,FALSE),0)</f>
        <v>90</v>
      </c>
      <c r="AM18" s="9"/>
      <c r="AN18" s="9"/>
    </row>
    <row r="19" spans="2:40" ht="15.75" customHeight="1" x14ac:dyDescent="0.25">
      <c r="B19" s="31">
        <v>7</v>
      </c>
      <c r="C19" s="32"/>
      <c r="D19" s="32"/>
      <c r="E19" s="41"/>
      <c r="F19" s="41"/>
      <c r="G19" s="41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41"/>
      <c r="AI19" s="7"/>
      <c r="AJ19" s="7"/>
      <c r="AK19" s="7"/>
      <c r="AL19" s="8">
        <f t="shared" si="0"/>
        <v>0</v>
      </c>
      <c r="AM19" s="9"/>
      <c r="AN19" s="9"/>
    </row>
    <row r="20" spans="2:40" ht="15.75" customHeight="1" x14ac:dyDescent="0.25">
      <c r="B20" s="31">
        <v>8</v>
      </c>
      <c r="C20" s="32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 t="shared" si="0"/>
        <v>0</v>
      </c>
      <c r="AM20" s="9"/>
      <c r="AN20" s="9"/>
    </row>
    <row r="21" spans="2:40" ht="15.75" customHeight="1" x14ac:dyDescent="0.25">
      <c r="B21" s="31">
        <v>9</v>
      </c>
      <c r="C21" s="32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 t="shared" si="0"/>
        <v>0</v>
      </c>
      <c r="AM21" s="9"/>
      <c r="AN21" s="9"/>
    </row>
    <row r="22" spans="2:40" ht="15.75" customHeight="1" x14ac:dyDescent="0.25">
      <c r="B22" s="31">
        <v>10</v>
      </c>
      <c r="C22" s="32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 t="shared" si="0"/>
        <v>0</v>
      </c>
      <c r="AM22" s="9"/>
      <c r="AN22" s="9"/>
    </row>
    <row r="23" spans="2:40" ht="15.75" customHeight="1" x14ac:dyDescent="0.25">
      <c r="B23" s="31">
        <v>11</v>
      </c>
      <c r="C23" s="32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 t="shared" si="0"/>
        <v>0</v>
      </c>
      <c r="AM23" s="9"/>
      <c r="AN23" s="9"/>
    </row>
    <row r="24" spans="2:40" ht="15.75" customHeight="1" x14ac:dyDescent="0.25">
      <c r="B24" s="31">
        <v>12</v>
      </c>
      <c r="C24" s="32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 t="shared" si="0"/>
        <v>0</v>
      </c>
      <c r="AM24" s="9"/>
      <c r="AN24" s="9"/>
    </row>
    <row r="25" spans="2:40" ht="15.75" customHeight="1" x14ac:dyDescent="0.25">
      <c r="B25" s="31">
        <v>13</v>
      </c>
      <c r="C25" s="32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 t="shared" si="0"/>
        <v>0</v>
      </c>
      <c r="AM25" s="9"/>
      <c r="AN25" s="9"/>
    </row>
    <row r="26" spans="2:40" ht="15.75" customHeight="1" x14ac:dyDescent="0.25">
      <c r="B26" s="31">
        <v>14</v>
      </c>
      <c r="C26" s="32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 t="shared" si="0"/>
        <v>0</v>
      </c>
      <c r="AM26" s="9"/>
      <c r="AN26" s="9"/>
    </row>
    <row r="27" spans="2:40" ht="15.75" customHeight="1" x14ac:dyDescent="0.25">
      <c r="B27" s="31">
        <v>15</v>
      </c>
      <c r="C27" s="32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 t="shared" si="0"/>
        <v>0</v>
      </c>
      <c r="AM27" s="9"/>
      <c r="AN27" s="9"/>
    </row>
    <row r="28" spans="2:40" ht="15.75" customHeight="1" x14ac:dyDescent="0.25">
      <c r="B28" s="31">
        <v>16</v>
      </c>
      <c r="C28" s="32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 t="shared" si="0"/>
        <v>0</v>
      </c>
      <c r="AM28" s="9"/>
      <c r="AN28" s="9"/>
    </row>
    <row r="29" spans="2:40" ht="15.75" customHeight="1" x14ac:dyDescent="0.25">
      <c r="B29" s="31">
        <v>17</v>
      </c>
      <c r="C29" s="32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 t="shared" si="0"/>
        <v>0</v>
      </c>
      <c r="AM29" s="9"/>
      <c r="AN29" s="9"/>
    </row>
    <row r="30" spans="2:40" ht="15.75" customHeight="1" x14ac:dyDescent="0.25">
      <c r="B30" s="31">
        <v>18</v>
      </c>
      <c r="C30" s="32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25">
      <c r="B31" s="31">
        <v>19</v>
      </c>
      <c r="C31" s="32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25">
      <c r="B32" s="31">
        <v>20</v>
      </c>
      <c r="C32" s="32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25">
      <c r="B33" s="31">
        <v>21</v>
      </c>
      <c r="C33" s="32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25">
      <c r="B34" s="31">
        <v>22</v>
      </c>
      <c r="C34" s="32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25">
      <c r="B35" s="31">
        <v>23</v>
      </c>
      <c r="C35" s="32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25">
      <c r="B36" s="31">
        <v>24</v>
      </c>
      <c r="C36" s="32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25">
      <c r="B37" s="31">
        <v>25</v>
      </c>
      <c r="C37" s="32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25">
      <c r="B38" s="31">
        <v>26</v>
      </c>
      <c r="C38" s="32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25">
      <c r="B39" s="31">
        <v>27</v>
      </c>
      <c r="C39" s="32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25">
      <c r="B40" s="31">
        <v>28</v>
      </c>
      <c r="C40" s="32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25">
      <c r="B41" s="31">
        <v>29</v>
      </c>
      <c r="C41" s="32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25">
      <c r="B42" s="31">
        <v>30</v>
      </c>
      <c r="C42" s="32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25">
      <c r="B43" s="31">
        <v>31</v>
      </c>
      <c r="C43" s="32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25">
      <c r="B44" s="31">
        <v>32</v>
      </c>
      <c r="C44" s="32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25">
      <c r="B45" s="31">
        <v>33</v>
      </c>
      <c r="C45" s="32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ref="AL45:AL72" si="1">IFERROR(VLOOKUP(E45,$B$75:$E$105,4,FALSE),0)+
IFERROR(VLOOKUP(F45,$B$75:$E$105,4,FALSE),0)+
IFERROR(VLOOKUP(G45,$B$75:$E$105,4,FALSE),0)+
IFERROR(VLOOKUP(H45,$B$75:$E$105,4,FALSE),0)+
IFERROR(VLOOKUP(I45,$B$75:$E$105,4,FALSE),0)+
IFERROR(VLOOKUP(J45,$B$75:$E$105,4,FALSE),0)+
IFERROR(VLOOKUP(K45,$B$75:$E$105,4,FALSE),0)+
IFERROR(VLOOKUP(L45,$B$75:$E$105,4,FALSE),0)+
IFERROR(VLOOKUP(M45,$B$75:$E$105,4,FALSE),0)+
IFERROR(VLOOKUP(N45,$B$75:$E$105,4,FALSE),0)+
IFERROR(VLOOKUP(O45,$B$75:$E$105,4,FALSE),0)+
IFERROR(VLOOKUP(P45,$B$75:$E$105,4,FALSE),0)+
IFERROR(VLOOKUP(Q45,$B$75:$E$105,4,FALSE),0)+
IFERROR(VLOOKUP(R45,$B$75:$E$105,4,FALSE),0)+
IFERROR(VLOOKUP(S45,$B$75:$E$105,4,FALSE),0)+
IFERROR(VLOOKUP(T45,$B$75:$E$105,4,FALSE),0)+
IFERROR(VLOOKUP(U45,$B$75:$E$105,4,FALSE),0)+
IFERROR(VLOOKUP(V45,$B$75:$E$105,4,FALSE),0)+
IFERROR(VLOOKUP(W45,$B$75:$E$105,4,FALSE),0)+
IFERROR(VLOOKUP(X45,$B$75:$E$105,4,FALSE),0)+
IFERROR(VLOOKUP(Y45,$B$75:$E$105,4,FALSE),0)+
IFERROR(VLOOKUP(Z45,$B$75:$E$105,4,FALSE),0)+
IFERROR(VLOOKUP(AA45,$B$75:$E$105,4,FALSE),0)+
IFERROR(VLOOKUP(AB45,$B$75:$E$105,4,FALSE),0)+
IFERROR(VLOOKUP(AC45,$B$75:$E$105,4,FALSE),0)+
IFERROR(VLOOKUP(AD45,$B$75:$E$105,4,FALSE),0)+
IFERROR(VLOOKUP(AE45,$B$75:$E$105,4,FALSE),0)+
IFERROR(VLOOKUP(AF45,$B$75:$E$105,4,FALSE),0)+
IFERROR(VLOOKUP(AG45,$B$75:$E$105,4,FALSE),0)+
IFERROR(VLOOKUP(AH45,$B$75:$E$105,4,FALSE),0)+
IFERROR(VLOOKUP(AI45,$B$75:$E$105,4,FALSE),0)+
IFERROR(VLOOKUP(AJ45,$B$75:$E$105,4,FALSE),0)</f>
        <v>0</v>
      </c>
      <c r="AM45" s="9"/>
      <c r="AN45" s="9"/>
    </row>
    <row r="46" spans="2:40" ht="15.75" customHeight="1" x14ac:dyDescent="0.25">
      <c r="B46" s="31">
        <v>34</v>
      </c>
      <c r="C46" s="32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1"/>
        <v>0</v>
      </c>
      <c r="AM46" s="9"/>
      <c r="AN46" s="9"/>
    </row>
    <row r="47" spans="2:40" ht="15.75" customHeight="1" x14ac:dyDescent="0.25">
      <c r="B47" s="31">
        <v>35</v>
      </c>
      <c r="C47" s="32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1"/>
        <v>0</v>
      </c>
      <c r="AM47" s="9"/>
      <c r="AN47" s="9"/>
    </row>
    <row r="48" spans="2:40" ht="15.75" customHeight="1" x14ac:dyDescent="0.25">
      <c r="B48" s="31">
        <v>36</v>
      </c>
      <c r="C48" s="32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1"/>
        <v>0</v>
      </c>
      <c r="AM48" s="9"/>
      <c r="AN48" s="9"/>
    </row>
    <row r="49" spans="2:40" ht="15.75" customHeight="1" x14ac:dyDescent="0.25">
      <c r="B49" s="31">
        <v>37</v>
      </c>
      <c r="C49" s="32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1"/>
        <v>0</v>
      </c>
      <c r="AM49" s="9"/>
      <c r="AN49" s="9"/>
    </row>
    <row r="50" spans="2:40" ht="15.75" customHeight="1" x14ac:dyDescent="0.25">
      <c r="B50" s="31">
        <v>38</v>
      </c>
      <c r="C50" s="32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1"/>
        <v>0</v>
      </c>
      <c r="AM50" s="9"/>
      <c r="AN50" s="9"/>
    </row>
    <row r="51" spans="2:40" ht="15.75" customHeight="1" x14ac:dyDescent="0.25">
      <c r="B51" s="31">
        <v>39</v>
      </c>
      <c r="C51" s="32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si="1"/>
        <v>0</v>
      </c>
      <c r="AM51" s="9"/>
      <c r="AN51" s="9"/>
    </row>
    <row r="52" spans="2:40" ht="15.75" customHeight="1" x14ac:dyDescent="0.25">
      <c r="B52" s="31">
        <v>40</v>
      </c>
      <c r="C52" s="32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1"/>
        <v>0</v>
      </c>
      <c r="AM52" s="9"/>
      <c r="AN52" s="9"/>
    </row>
    <row r="53" spans="2:40" ht="15.75" customHeight="1" x14ac:dyDescent="0.25">
      <c r="B53" s="31">
        <v>41</v>
      </c>
      <c r="C53" s="32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1"/>
        <v>0</v>
      </c>
      <c r="AM53" s="9"/>
      <c r="AN53" s="9"/>
    </row>
    <row r="54" spans="2:40" ht="15.75" customHeight="1" x14ac:dyDescent="0.25">
      <c r="B54" s="31">
        <v>42</v>
      </c>
      <c r="C54" s="32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1"/>
        <v>0</v>
      </c>
      <c r="AM54" s="9"/>
      <c r="AN54" s="9"/>
    </row>
    <row r="55" spans="2:40" ht="15.75" customHeight="1" x14ac:dyDescent="0.25">
      <c r="B55" s="31">
        <v>43</v>
      </c>
      <c r="C55" s="32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1"/>
        <v>0</v>
      </c>
      <c r="AM55" s="9"/>
      <c r="AN55" s="9"/>
    </row>
    <row r="56" spans="2:40" ht="15.75" customHeight="1" x14ac:dyDescent="0.25">
      <c r="B56" s="31">
        <v>44</v>
      </c>
      <c r="C56" s="32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1"/>
        <v>0</v>
      </c>
      <c r="AM56" s="9"/>
      <c r="AN56" s="9"/>
    </row>
    <row r="57" spans="2:40" ht="15.75" customHeight="1" x14ac:dyDescent="0.25">
      <c r="B57" s="31">
        <v>45</v>
      </c>
      <c r="C57" s="32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1"/>
        <v>0</v>
      </c>
      <c r="AM57" s="9"/>
      <c r="AN57" s="9"/>
    </row>
    <row r="58" spans="2:40" ht="15.75" customHeight="1" x14ac:dyDescent="0.25">
      <c r="B58" s="31">
        <v>46</v>
      </c>
      <c r="C58" s="32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1"/>
        <v>0</v>
      </c>
      <c r="AM58" s="9"/>
      <c r="AN58" s="9"/>
    </row>
    <row r="59" spans="2:40" ht="15.75" customHeight="1" x14ac:dyDescent="0.25">
      <c r="B59" s="31">
        <v>47</v>
      </c>
      <c r="C59" s="32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1"/>
        <v>0</v>
      </c>
      <c r="AM59" s="9"/>
      <c r="AN59" s="9"/>
    </row>
    <row r="60" spans="2:40" ht="15.75" customHeight="1" x14ac:dyDescent="0.25">
      <c r="B60" s="31">
        <v>48</v>
      </c>
      <c r="C60" s="32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1"/>
        <v>0</v>
      </c>
      <c r="AM60" s="9"/>
      <c r="AN60" s="9"/>
    </row>
    <row r="61" spans="2:40" ht="15.75" customHeight="1" x14ac:dyDescent="0.25">
      <c r="B61" s="31">
        <v>49</v>
      </c>
      <c r="C61" s="32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1"/>
        <v>0</v>
      </c>
      <c r="AM61" s="9"/>
      <c r="AN61" s="9"/>
    </row>
    <row r="62" spans="2:40" ht="15.75" customHeight="1" x14ac:dyDescent="0.25">
      <c r="B62" s="31">
        <v>50</v>
      </c>
      <c r="C62" s="32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1"/>
        <v>0</v>
      </c>
      <c r="AM62" s="9"/>
      <c r="AN62" s="9"/>
    </row>
    <row r="63" spans="2:40" ht="15.75" customHeight="1" x14ac:dyDescent="0.25">
      <c r="B63" s="31">
        <v>51</v>
      </c>
      <c r="C63" s="32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1"/>
        <v>0</v>
      </c>
      <c r="AM63" s="9"/>
      <c r="AN63" s="9"/>
    </row>
    <row r="64" spans="2:40" ht="15.75" customHeight="1" x14ac:dyDescent="0.25">
      <c r="B64" s="31">
        <v>52</v>
      </c>
      <c r="C64" s="32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1"/>
        <v>0</v>
      </c>
      <c r="AM64" s="9"/>
      <c r="AN64" s="9"/>
    </row>
    <row r="65" spans="2:40" ht="15.75" customHeight="1" x14ac:dyDescent="0.25">
      <c r="B65" s="31">
        <v>53</v>
      </c>
      <c r="C65" s="32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1"/>
        <v>0</v>
      </c>
      <c r="AM65" s="9"/>
      <c r="AN65" s="9"/>
    </row>
    <row r="66" spans="2:40" ht="15.75" customHeight="1" x14ac:dyDescent="0.25">
      <c r="B66" s="31">
        <v>54</v>
      </c>
      <c r="C66" s="32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1"/>
        <v>0</v>
      </c>
      <c r="AM66" s="9"/>
      <c r="AN66" s="9"/>
    </row>
    <row r="67" spans="2:40" ht="15.75" customHeight="1" x14ac:dyDescent="0.25">
      <c r="B67" s="31">
        <v>55</v>
      </c>
      <c r="C67" s="32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1"/>
        <v>0</v>
      </c>
      <c r="AM67" s="9"/>
      <c r="AN67" s="9"/>
    </row>
    <row r="68" spans="2:40" ht="15.75" customHeight="1" x14ac:dyDescent="0.25">
      <c r="B68" s="31">
        <v>56</v>
      </c>
      <c r="C68" s="32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1"/>
        <v>0</v>
      </c>
      <c r="AM68" s="9"/>
      <c r="AN68" s="9"/>
    </row>
    <row r="69" spans="2:40" ht="15.75" customHeight="1" x14ac:dyDescent="0.25">
      <c r="B69" s="31">
        <v>57</v>
      </c>
      <c r="C69" s="32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1"/>
        <v>0</v>
      </c>
      <c r="AM69" s="9"/>
      <c r="AN69" s="9"/>
    </row>
    <row r="70" spans="2:40" ht="15.75" customHeight="1" x14ac:dyDescent="0.25">
      <c r="B70" s="31">
        <v>58</v>
      </c>
      <c r="C70" s="32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1"/>
        <v>0</v>
      </c>
      <c r="AM70" s="9"/>
      <c r="AN70" s="9"/>
    </row>
    <row r="71" spans="2:40" ht="15.75" customHeight="1" x14ac:dyDescent="0.25">
      <c r="B71" s="34">
        <v>59</v>
      </c>
      <c r="C71" s="35"/>
      <c r="D71" s="3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1"/>
        <v>0</v>
      </c>
      <c r="AM71" s="9"/>
      <c r="AN71" s="9"/>
    </row>
    <row r="72" spans="2:40" ht="15.75" customHeight="1" x14ac:dyDescent="0.25">
      <c r="B72" s="31">
        <v>60</v>
      </c>
      <c r="C72" s="32"/>
      <c r="D72" s="3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 t="shared" si="1"/>
        <v>0</v>
      </c>
      <c r="AM72" s="9"/>
      <c r="AN72" s="9"/>
    </row>
    <row r="73" spans="2:40" ht="16.5" customHeight="1" x14ac:dyDescent="0.25">
      <c r="K73" s="71" t="s">
        <v>34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3"/>
    </row>
    <row r="74" spans="2:40" x14ac:dyDescent="0.25">
      <c r="B74" s="25" t="s">
        <v>35</v>
      </c>
      <c r="C74" s="26" t="s">
        <v>36</v>
      </c>
      <c r="D74" s="27" t="s">
        <v>36</v>
      </c>
      <c r="E74" s="81" t="s">
        <v>37</v>
      </c>
      <c r="F74" s="82"/>
      <c r="G74" s="83" t="s">
        <v>38</v>
      </c>
      <c r="H74" s="83"/>
      <c r="I74" s="83"/>
      <c r="K74" s="74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6"/>
    </row>
    <row r="75" spans="2:40" ht="41.25" customHeight="1" x14ac:dyDescent="0.25">
      <c r="B75" s="1" t="s">
        <v>39</v>
      </c>
      <c r="C75" s="2" t="s">
        <v>40</v>
      </c>
      <c r="D75" s="3">
        <v>9.5</v>
      </c>
      <c r="E75" s="48">
        <v>9.5</v>
      </c>
      <c r="F75" s="49"/>
      <c r="G75" s="47" t="s">
        <v>41</v>
      </c>
      <c r="H75" s="47"/>
      <c r="I75" s="47"/>
      <c r="K75" s="53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5"/>
      <c r="AL75" s="30" t="s">
        <v>42</v>
      </c>
    </row>
    <row r="76" spans="2:40" ht="41.25" customHeight="1" x14ac:dyDescent="0.25">
      <c r="B76" s="1" t="s">
        <v>43</v>
      </c>
      <c r="C76" s="2" t="s">
        <v>44</v>
      </c>
      <c r="D76" s="3" t="s">
        <v>45</v>
      </c>
      <c r="E76" s="48">
        <v>13</v>
      </c>
      <c r="F76" s="49"/>
      <c r="G76" s="47" t="s">
        <v>46</v>
      </c>
      <c r="H76" s="47"/>
      <c r="I76" s="47"/>
      <c r="U76" s="28"/>
      <c r="V76" s="28"/>
      <c r="W76" s="28"/>
      <c r="X76" s="28"/>
      <c r="Y76" s="29"/>
      <c r="Z76" s="29"/>
    </row>
    <row r="77" spans="2:40" ht="41.25" customHeight="1" x14ac:dyDescent="0.35">
      <c r="B77" s="1" t="s">
        <v>47</v>
      </c>
      <c r="C77" s="2" t="s">
        <v>48</v>
      </c>
      <c r="D77" s="3" t="s">
        <v>49</v>
      </c>
      <c r="E77" s="48">
        <v>9</v>
      </c>
      <c r="F77" s="49"/>
      <c r="G77" s="47" t="s">
        <v>50</v>
      </c>
      <c r="H77" s="47"/>
      <c r="I77" s="47"/>
      <c r="U77" s="52" t="s">
        <v>51</v>
      </c>
      <c r="V77" s="52"/>
      <c r="W77" s="52"/>
      <c r="X77" s="52"/>
      <c r="Y77" s="52"/>
      <c r="Z77" s="52"/>
    </row>
    <row r="78" spans="2:40" ht="41.25" customHeight="1" x14ac:dyDescent="0.25">
      <c r="B78" s="1" t="s">
        <v>52</v>
      </c>
      <c r="C78" s="2" t="s">
        <v>53</v>
      </c>
      <c r="D78" s="3">
        <v>8</v>
      </c>
      <c r="E78" s="48">
        <v>8</v>
      </c>
      <c r="F78" s="49"/>
      <c r="G78" s="47" t="s">
        <v>54</v>
      </c>
      <c r="H78" s="47"/>
      <c r="I78" s="47"/>
      <c r="U78" s="30"/>
    </row>
    <row r="79" spans="2:40" ht="41.25" customHeight="1" x14ac:dyDescent="0.25">
      <c r="B79" s="1" t="s">
        <v>55</v>
      </c>
      <c r="C79" s="2" t="s">
        <v>56</v>
      </c>
      <c r="D79" s="3">
        <v>6</v>
      </c>
      <c r="E79" s="48">
        <v>6</v>
      </c>
      <c r="F79" s="49"/>
      <c r="G79" s="47" t="s">
        <v>57</v>
      </c>
      <c r="H79" s="47"/>
      <c r="I79" s="47"/>
    </row>
    <row r="80" spans="2:40" ht="41.25" customHeight="1" x14ac:dyDescent="0.25">
      <c r="B80" s="1" t="s">
        <v>58</v>
      </c>
      <c r="C80" s="2" t="s">
        <v>59</v>
      </c>
      <c r="D80" s="3" t="s">
        <v>60</v>
      </c>
      <c r="E80" s="48">
        <v>13</v>
      </c>
      <c r="F80" s="49"/>
      <c r="G80" s="47" t="s">
        <v>61</v>
      </c>
      <c r="H80" s="47"/>
      <c r="I80" s="47"/>
    </row>
    <row r="81" spans="1:9" ht="41.25" customHeight="1" x14ac:dyDescent="0.25">
      <c r="B81" s="1" t="s">
        <v>62</v>
      </c>
      <c r="C81" s="2" t="s">
        <v>63</v>
      </c>
      <c r="D81" s="3">
        <v>12</v>
      </c>
      <c r="E81" s="48">
        <v>12</v>
      </c>
      <c r="F81" s="49"/>
      <c r="G81" s="47" t="s">
        <v>64</v>
      </c>
      <c r="H81" s="47"/>
      <c r="I81" s="47"/>
    </row>
    <row r="82" spans="1:9" ht="41.25" customHeight="1" x14ac:dyDescent="0.25">
      <c r="B82" s="1" t="s">
        <v>65</v>
      </c>
      <c r="C82" s="2" t="s">
        <v>66</v>
      </c>
      <c r="D82" s="3">
        <v>6</v>
      </c>
      <c r="E82" s="48">
        <v>6</v>
      </c>
      <c r="F82" s="49"/>
      <c r="G82" s="47" t="s">
        <v>64</v>
      </c>
      <c r="H82" s="47"/>
      <c r="I82" s="47"/>
    </row>
    <row r="83" spans="1:9" ht="41.25" customHeight="1" x14ac:dyDescent="0.25">
      <c r="B83" s="1" t="s">
        <v>67</v>
      </c>
      <c r="C83" s="2" t="s">
        <v>56</v>
      </c>
      <c r="D83" s="3">
        <v>6</v>
      </c>
      <c r="E83" s="48">
        <v>6</v>
      </c>
      <c r="F83" s="49"/>
      <c r="G83" s="47" t="s">
        <v>64</v>
      </c>
      <c r="H83" s="47"/>
      <c r="I83" s="47"/>
    </row>
    <row r="84" spans="1:9" ht="41.25" customHeight="1" x14ac:dyDescent="0.25">
      <c r="B84" s="1" t="s">
        <v>68</v>
      </c>
      <c r="C84" s="2" t="s">
        <v>66</v>
      </c>
      <c r="D84" s="3">
        <v>6</v>
      </c>
      <c r="E84" s="48">
        <v>6</v>
      </c>
      <c r="F84" s="49"/>
      <c r="G84" s="47" t="s">
        <v>64</v>
      </c>
      <c r="H84" s="47"/>
      <c r="I84" s="47"/>
    </row>
    <row r="85" spans="1:9" ht="41.25" customHeight="1" x14ac:dyDescent="0.25">
      <c r="B85" s="1" t="s">
        <v>69</v>
      </c>
      <c r="C85" s="2" t="s">
        <v>56</v>
      </c>
      <c r="D85" s="3">
        <v>6</v>
      </c>
      <c r="E85" s="48">
        <v>6</v>
      </c>
      <c r="F85" s="49"/>
      <c r="G85" s="47" t="s">
        <v>64</v>
      </c>
      <c r="H85" s="47"/>
      <c r="I85" s="47"/>
    </row>
    <row r="86" spans="1:9" ht="41.25" customHeight="1" x14ac:dyDescent="0.25">
      <c r="B86" s="1" t="s">
        <v>70</v>
      </c>
      <c r="C86" s="2" t="s">
        <v>56</v>
      </c>
      <c r="D86" s="3">
        <v>6</v>
      </c>
      <c r="E86" s="48">
        <v>6</v>
      </c>
      <c r="F86" s="49"/>
      <c r="G86" s="47" t="s">
        <v>71</v>
      </c>
      <c r="H86" s="47"/>
      <c r="I86" s="47"/>
    </row>
    <row r="87" spans="1:9" ht="41.25" customHeight="1" x14ac:dyDescent="0.25">
      <c r="B87" s="1" t="s">
        <v>72</v>
      </c>
      <c r="C87" s="2" t="s">
        <v>73</v>
      </c>
      <c r="D87" s="3" t="s">
        <v>45</v>
      </c>
      <c r="E87" s="48">
        <v>13</v>
      </c>
      <c r="F87" s="49"/>
      <c r="G87" s="47" t="s">
        <v>74</v>
      </c>
      <c r="H87" s="47"/>
      <c r="I87" s="47"/>
    </row>
    <row r="88" spans="1:9" ht="41.25" customHeight="1" x14ac:dyDescent="0.25">
      <c r="B88" s="1" t="s">
        <v>75</v>
      </c>
      <c r="C88" s="2" t="s">
        <v>66</v>
      </c>
      <c r="D88" s="3">
        <v>6</v>
      </c>
      <c r="E88" s="48">
        <v>6</v>
      </c>
      <c r="F88" s="49"/>
      <c r="G88" s="47" t="s">
        <v>71</v>
      </c>
      <c r="H88" s="47"/>
      <c r="I88" s="47"/>
    </row>
    <row r="89" spans="1:9" ht="41.25" customHeight="1" x14ac:dyDescent="0.25">
      <c r="B89" s="1" t="s">
        <v>76</v>
      </c>
      <c r="C89" s="2" t="s">
        <v>63</v>
      </c>
      <c r="D89" s="3">
        <v>12</v>
      </c>
      <c r="E89" s="48">
        <v>12</v>
      </c>
      <c r="F89" s="49"/>
      <c r="G89" s="47" t="s">
        <v>77</v>
      </c>
      <c r="H89" s="47"/>
      <c r="I89" s="47"/>
    </row>
    <row r="90" spans="1:9" ht="41.25" customHeight="1" x14ac:dyDescent="0.25">
      <c r="B90" s="1" t="s">
        <v>78</v>
      </c>
      <c r="C90" s="2" t="s">
        <v>79</v>
      </c>
      <c r="D90" s="3">
        <v>3</v>
      </c>
      <c r="E90" s="48">
        <v>3</v>
      </c>
      <c r="F90" s="49"/>
      <c r="G90" s="47" t="s">
        <v>64</v>
      </c>
      <c r="H90" s="47"/>
      <c r="I90" s="47"/>
    </row>
    <row r="91" spans="1:9" ht="41.25" customHeight="1" x14ac:dyDescent="0.25">
      <c r="B91" s="1" t="s">
        <v>80</v>
      </c>
      <c r="C91" s="2" t="s">
        <v>81</v>
      </c>
      <c r="D91" s="3" t="s">
        <v>82</v>
      </c>
      <c r="E91" s="48">
        <v>24</v>
      </c>
      <c r="F91" s="49"/>
      <c r="G91" s="47" t="s">
        <v>83</v>
      </c>
      <c r="H91" s="47"/>
      <c r="I91" s="47"/>
    </row>
    <row r="92" spans="1:9" ht="41.25" customHeight="1" x14ac:dyDescent="0.25">
      <c r="A92" s="30"/>
      <c r="B92" s="1"/>
      <c r="C92" s="2"/>
      <c r="D92" s="3"/>
      <c r="E92" s="48"/>
      <c r="F92" s="49"/>
      <c r="G92" s="47"/>
      <c r="H92" s="47"/>
      <c r="I92" s="47"/>
    </row>
    <row r="93" spans="1:9" ht="41.25" customHeight="1" x14ac:dyDescent="0.25">
      <c r="B93" s="1"/>
      <c r="C93" s="2"/>
      <c r="D93" s="3"/>
      <c r="E93" s="48"/>
      <c r="F93" s="49"/>
      <c r="G93" s="47"/>
      <c r="H93" s="47"/>
      <c r="I93" s="47"/>
    </row>
    <row r="94" spans="1:9" ht="41.25" customHeight="1" x14ac:dyDescent="0.25">
      <c r="B94" s="1"/>
      <c r="C94" s="2"/>
      <c r="D94" s="3"/>
      <c r="E94" s="48"/>
      <c r="F94" s="49"/>
      <c r="G94" s="47"/>
      <c r="H94" s="47"/>
      <c r="I94" s="47"/>
    </row>
    <row r="95" spans="1:9" ht="41.25" customHeight="1" x14ac:dyDescent="0.25">
      <c r="B95" s="1"/>
      <c r="C95" s="2"/>
      <c r="D95" s="3"/>
      <c r="E95" s="48"/>
      <c r="F95" s="49"/>
      <c r="G95" s="47"/>
      <c r="H95" s="47"/>
      <c r="I95" s="47"/>
    </row>
    <row r="96" spans="1:9" ht="41.25" customHeight="1" x14ac:dyDescent="0.25">
      <c r="B96" s="1"/>
      <c r="C96" s="2"/>
      <c r="D96" s="3"/>
      <c r="E96" s="48"/>
      <c r="F96" s="49"/>
      <c r="G96" s="47"/>
      <c r="H96" s="47"/>
      <c r="I96" s="47"/>
    </row>
    <row r="97" spans="2:9" ht="41.25" customHeight="1" x14ac:dyDescent="0.25">
      <c r="B97" s="1"/>
      <c r="C97" s="2"/>
      <c r="D97" s="3"/>
      <c r="E97" s="48"/>
      <c r="F97" s="49"/>
      <c r="G97" s="47"/>
      <c r="H97" s="47"/>
      <c r="I97" s="47"/>
    </row>
    <row r="98" spans="2:9" ht="41.25" customHeight="1" x14ac:dyDescent="0.25">
      <c r="B98" s="1"/>
      <c r="C98" s="2"/>
      <c r="D98" s="3"/>
      <c r="E98" s="48"/>
      <c r="F98" s="49"/>
      <c r="G98" s="47"/>
      <c r="H98" s="47"/>
      <c r="I98" s="47"/>
    </row>
    <row r="99" spans="2:9" ht="41.25" customHeight="1" x14ac:dyDescent="0.25">
      <c r="B99" s="1"/>
      <c r="C99" s="2"/>
      <c r="D99" s="3"/>
      <c r="E99" s="48"/>
      <c r="F99" s="49"/>
      <c r="G99" s="47"/>
      <c r="H99" s="47"/>
      <c r="I99" s="47"/>
    </row>
    <row r="100" spans="2:9" ht="41.25" customHeight="1" x14ac:dyDescent="0.25">
      <c r="B100" s="1"/>
      <c r="C100" s="2"/>
      <c r="D100" s="3"/>
      <c r="E100" s="48"/>
      <c r="F100" s="49"/>
      <c r="G100" s="47"/>
      <c r="H100" s="47"/>
      <c r="I100" s="47"/>
    </row>
    <row r="101" spans="2:9" ht="41.25" customHeight="1" x14ac:dyDescent="0.25">
      <c r="B101" s="1"/>
      <c r="C101" s="2"/>
      <c r="D101" s="3"/>
      <c r="E101" s="48"/>
      <c r="F101" s="49"/>
      <c r="G101" s="47"/>
      <c r="H101" s="47"/>
      <c r="I101" s="47"/>
    </row>
    <row r="102" spans="2:9" ht="41.25" customHeight="1" x14ac:dyDescent="0.25">
      <c r="B102" s="1"/>
      <c r="C102" s="2"/>
      <c r="D102" s="3"/>
      <c r="E102" s="48"/>
      <c r="F102" s="49"/>
      <c r="G102" s="47"/>
      <c r="H102" s="47"/>
      <c r="I102" s="47"/>
    </row>
    <row r="103" spans="2:9" ht="41.25" customHeight="1" x14ac:dyDescent="0.25">
      <c r="B103" s="1"/>
      <c r="C103" s="2"/>
      <c r="D103" s="3"/>
      <c r="E103" s="48"/>
      <c r="F103" s="49"/>
      <c r="G103" s="47"/>
      <c r="H103" s="47"/>
      <c r="I103" s="47"/>
    </row>
    <row r="104" spans="2:9" ht="41.25" customHeight="1" x14ac:dyDescent="0.25">
      <c r="B104" s="1"/>
      <c r="C104" s="2"/>
      <c r="D104" s="3"/>
      <c r="E104" s="48"/>
      <c r="F104" s="49"/>
      <c r="G104" s="47"/>
      <c r="H104" s="47"/>
      <c r="I104" s="47"/>
    </row>
    <row r="105" spans="2:9" ht="41.25" customHeight="1" x14ac:dyDescent="0.25">
      <c r="B105" s="1"/>
      <c r="C105" s="2"/>
      <c r="D105" s="3"/>
      <c r="E105" s="48"/>
      <c r="F105" s="49"/>
      <c r="G105" s="47"/>
      <c r="H105" s="47"/>
      <c r="I105" s="47"/>
    </row>
  </sheetData>
  <sheetProtection algorithmName="SHA-512" hashValue="Mh2cRFN2cnhhD40luGYzYWgXtOGmm4lLlaA2UZ6Ifo0JJfn5oQzad5jRi+aj1fzMPr9/tY0/kVvS1R4IBZOQkg==" saltValue="+RpjhlPT0SuBlhqWEMke6g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6:AB16 AE16:AH18">
    <cfRule type="expression" dxfId="7" priority="6">
      <formula>AND(E16&lt;&gt;"", ISERROR(MATCH(E16,$B$75:$B$105,0)))</formula>
    </cfRule>
  </conditionalFormatting>
  <conditionalFormatting sqref="E13:AH15">
    <cfRule type="expression" dxfId="6" priority="4">
      <formula>AND(E13&lt;&gt;"", ISERROR(MATCH(E13,$B$75:$B$105,0)))</formula>
    </cfRule>
  </conditionalFormatting>
  <conditionalFormatting sqref="M11">
    <cfRule type="expression" dxfId="4" priority="10">
      <formula>E$12="S"</formula>
    </cfRule>
  </conditionalFormatting>
  <conditionalFormatting sqref="S17:AD17">
    <cfRule type="expression" dxfId="3" priority="1">
      <formula>AND(S17&lt;&gt;"", ISERROR(MATCH(S17,$B$75:$B$105,0)))</formula>
    </cfRule>
  </conditionalFormatting>
  <conditionalFormatting sqref="AC16:AD17">
    <cfRule type="expression" dxfId="2" priority="3">
      <formula>AND(AC16&lt;&gt;"", ISERROR(MATCH(AC16,$B$75:$B$105,0)))</formula>
    </cfRule>
  </conditionalFormatting>
  <conditionalFormatting sqref="AI13:AI18">
    <cfRule type="expression" dxfId="1" priority="7">
      <formula>AND(AI13&lt;&gt;"", ISERROR(MATCH(AI13,$B$75:$B$105,0)))</formula>
    </cfRule>
  </conditionalFormatting>
  <conditionalFormatting sqref="AJ13:AK18 E19:AK72 E17:R18 T18:V18 AD18">
    <cfRule type="expression" dxfId="0" priority="9">
      <formula>AND(E13&lt;&gt;"", ISERROR(MATCH(E13,$B$75:$B$105,0)))</formula>
    </cfRule>
  </conditionalFormatting>
  <dataValidations count="1">
    <dataValidation type="list" allowBlank="1" showInputMessage="1" showErrorMessage="1" sqref="E13:AK16 E17:S17 X17:AK17 E19:AK72 AD18:AK18 E18:R18 T18:V18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000000-000E-0000-0000-000001000000}">
            <xm:f>IF(OR(E$12="D", E$12="S"), TRUE, AND(E$11&lt;&gt;"", COUNTIF(FESTIVOS!$A$2:$A$200,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E11:AK12 AJ13:AK18 E19:AK72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9" sqref="F9"/>
    </sheetView>
  </sheetViews>
  <sheetFormatPr baseColWidth="10" defaultColWidth="9" defaultRowHeight="15.75" x14ac:dyDescent="0.25"/>
  <sheetData>
    <row r="1" spans="1:5" ht="25.5" customHeight="1" x14ac:dyDescent="0.25">
      <c r="A1" s="6" t="s">
        <v>84</v>
      </c>
      <c r="B1">
        <v>1</v>
      </c>
      <c r="C1">
        <v>2</v>
      </c>
      <c r="D1">
        <v>3</v>
      </c>
      <c r="E1">
        <v>4</v>
      </c>
    </row>
    <row r="2" spans="1:5" x14ac:dyDescent="0.25">
      <c r="A2" s="4">
        <v>45658</v>
      </c>
    </row>
    <row r="3" spans="1:5" x14ac:dyDescent="0.25">
      <c r="A3" s="4">
        <v>45663</v>
      </c>
    </row>
    <row r="4" spans="1:5" x14ac:dyDescent="0.25">
      <c r="A4" s="4">
        <v>45740</v>
      </c>
    </row>
    <row r="5" spans="1:5" x14ac:dyDescent="0.25">
      <c r="A5" s="4">
        <v>45764</v>
      </c>
    </row>
    <row r="6" spans="1:5" x14ac:dyDescent="0.25">
      <c r="A6" s="4">
        <v>45765</v>
      </c>
    </row>
    <row r="7" spans="1:5" x14ac:dyDescent="0.25">
      <c r="A7" s="4">
        <v>45778</v>
      </c>
    </row>
    <row r="8" spans="1:5" x14ac:dyDescent="0.25">
      <c r="A8" s="4">
        <v>45810</v>
      </c>
    </row>
    <row r="9" spans="1:5" x14ac:dyDescent="0.25">
      <c r="A9" s="4">
        <v>45831</v>
      </c>
    </row>
    <row r="10" spans="1:5" x14ac:dyDescent="0.25">
      <c r="A10" s="4">
        <v>45838</v>
      </c>
    </row>
    <row r="11" spans="1:5" x14ac:dyDescent="0.25">
      <c r="A11" s="4">
        <v>45876</v>
      </c>
    </row>
    <row r="12" spans="1:5" x14ac:dyDescent="0.25">
      <c r="A12" s="4">
        <v>45887</v>
      </c>
    </row>
    <row r="13" spans="1:5" x14ac:dyDescent="0.25">
      <c r="A13" s="4">
        <v>45943</v>
      </c>
    </row>
    <row r="14" spans="1:5" x14ac:dyDescent="0.25">
      <c r="A14" s="4">
        <v>45964</v>
      </c>
    </row>
    <row r="15" spans="1:5" x14ac:dyDescent="0.25">
      <c r="A15" s="4">
        <v>45978</v>
      </c>
    </row>
    <row r="16" spans="1:5" x14ac:dyDescent="0.25">
      <c r="A16" s="4">
        <v>45999</v>
      </c>
    </row>
    <row r="17" spans="1:1" x14ac:dyDescent="0.25">
      <c r="A17" s="4">
        <v>46016</v>
      </c>
    </row>
    <row r="18" spans="1:1" x14ac:dyDescent="0.25">
      <c r="A18" s="5">
        <v>46023</v>
      </c>
    </row>
    <row r="19" spans="1:1" x14ac:dyDescent="0.25">
      <c r="A19" s="5">
        <v>46034</v>
      </c>
    </row>
    <row r="20" spans="1:1" x14ac:dyDescent="0.25">
      <c r="A20" s="36">
        <v>46104</v>
      </c>
    </row>
    <row r="21" spans="1:1" x14ac:dyDescent="0.25">
      <c r="A21" s="36">
        <v>46114</v>
      </c>
    </row>
    <row r="22" spans="1:1" x14ac:dyDescent="0.25">
      <c r="A22" s="36">
        <v>46115</v>
      </c>
    </row>
    <row r="23" spans="1:1" x14ac:dyDescent="0.25">
      <c r="A23" s="36">
        <v>46143</v>
      </c>
    </row>
    <row r="24" spans="1:1" x14ac:dyDescent="0.25">
      <c r="A24" s="36">
        <v>46160</v>
      </c>
    </row>
    <row r="25" spans="1:1" x14ac:dyDescent="0.25">
      <c r="A25" s="36">
        <v>46181</v>
      </c>
    </row>
    <row r="26" spans="1:1" x14ac:dyDescent="0.25">
      <c r="A26" s="36">
        <v>46188</v>
      </c>
    </row>
    <row r="27" spans="1:1" x14ac:dyDescent="0.25">
      <c r="A27" s="36">
        <v>46202</v>
      </c>
    </row>
    <row r="28" spans="1:1" x14ac:dyDescent="0.25">
      <c r="A28" s="36">
        <v>46223</v>
      </c>
    </row>
    <row r="29" spans="1:1" x14ac:dyDescent="0.25">
      <c r="A29" s="36">
        <v>46241</v>
      </c>
    </row>
    <row r="30" spans="1:1" x14ac:dyDescent="0.25">
      <c r="A30" s="36">
        <v>46251</v>
      </c>
    </row>
    <row r="31" spans="1:1" x14ac:dyDescent="0.25">
      <c r="A31" s="36">
        <v>46307</v>
      </c>
    </row>
    <row r="32" spans="1:1" x14ac:dyDescent="0.25">
      <c r="A32" s="36">
        <v>46328</v>
      </c>
    </row>
    <row r="33" spans="1:1" x14ac:dyDescent="0.25">
      <c r="A33" s="36">
        <v>46342</v>
      </c>
    </row>
    <row r="34" spans="1:1" x14ac:dyDescent="0.25">
      <c r="A34" s="36">
        <v>46388</v>
      </c>
    </row>
    <row r="35" spans="1:1" x14ac:dyDescent="0.25">
      <c r="A35" s="36">
        <v>46398</v>
      </c>
    </row>
    <row r="36" spans="1:1" x14ac:dyDescent="0.25">
      <c r="A36" s="36">
        <v>46468</v>
      </c>
    </row>
    <row r="37" spans="1:1" x14ac:dyDescent="0.25">
      <c r="A37" s="36">
        <v>46471</v>
      </c>
    </row>
    <row r="38" spans="1:1" x14ac:dyDescent="0.25">
      <c r="A38" s="36">
        <v>46472</v>
      </c>
    </row>
    <row r="39" spans="1:1" x14ac:dyDescent="0.25">
      <c r="A39" s="36">
        <v>46508</v>
      </c>
    </row>
    <row r="40" spans="1:1" x14ac:dyDescent="0.25">
      <c r="A40" s="36">
        <v>46517</v>
      </c>
    </row>
    <row r="41" spans="1:1" x14ac:dyDescent="0.25">
      <c r="A41" s="36">
        <v>46538</v>
      </c>
    </row>
    <row r="42" spans="1:1" x14ac:dyDescent="0.25">
      <c r="A42" s="36">
        <v>46545</v>
      </c>
    </row>
    <row r="43" spans="1:1" x14ac:dyDescent="0.25">
      <c r="A43" s="36">
        <v>46573</v>
      </c>
    </row>
    <row r="44" spans="1:1" x14ac:dyDescent="0.25">
      <c r="A44" s="36">
        <v>46588</v>
      </c>
    </row>
    <row r="45" spans="1:1" x14ac:dyDescent="0.25">
      <c r="A45" s="36">
        <v>46606</v>
      </c>
    </row>
    <row r="46" spans="1:1" x14ac:dyDescent="0.25">
      <c r="A46" s="36">
        <v>46615</v>
      </c>
    </row>
    <row r="47" spans="1:1" x14ac:dyDescent="0.25">
      <c r="A47" s="36">
        <v>46678</v>
      </c>
    </row>
    <row r="48" spans="1:1" x14ac:dyDescent="0.25">
      <c r="A48" s="36">
        <v>46692</v>
      </c>
    </row>
    <row r="49" spans="1:1" x14ac:dyDescent="0.25">
      <c r="A49" s="36">
        <v>46706</v>
      </c>
    </row>
    <row r="50" spans="1:1" x14ac:dyDescent="0.25">
      <c r="A50" s="36">
        <v>46729</v>
      </c>
    </row>
    <row r="51" spans="1:1" x14ac:dyDescent="0.25">
      <c r="A51" s="36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LÍDER HOSPITALIZACIÓN</cp:lastModifiedBy>
  <dcterms:created xsi:type="dcterms:W3CDTF">2024-12-18T21:33:15Z</dcterms:created>
  <dcterms:modified xsi:type="dcterms:W3CDTF">2026-05-25T19:15:09Z</dcterms:modified>
  <cp:category/>
</cp:coreProperties>
</file>