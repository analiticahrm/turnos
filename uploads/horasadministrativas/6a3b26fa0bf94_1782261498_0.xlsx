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2CD504FC-AC87-4736-B16B-65314B7FEE0C}" xr6:coauthVersionLast="47" xr6:coauthVersionMax="47" xr10:uidLastSave="{00000000-0000-0000-0000-000000000000}"/>
  <bookViews>
    <workbookView xWindow="-108" yWindow="-108" windowWidth="23256" windowHeight="12456" xr2:uid="{481DF33C-799D-4FEA-A3CC-A4340025CB13}"/>
  </bookViews>
  <sheets>
    <sheet name="FORMATO EV" sheetId="1" r:id="rId1"/>
    <sheet name="INSTRUCCIONES QL" sheetId="2" r:id="rId2"/>
  </sheets>
  <definedNames>
    <definedName name="_xlnm.Print_Area" localSheetId="0">'FORMATO EV'!$A$1:$M$39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tc={5FEC90D3-B791-413F-8EC5-E3C148958A96}</author>
    <author>tc={4ED1127E-2210-4C5B-8D67-7B94C5DBC58D}</author>
    <author>tc={C8FBE8E1-703D-49D9-9E7F-90897C45F266}</author>
  </authors>
  <commentList>
    <comment ref="J9" authorId="0" shapeId="0" xr:uid="{5FEC90D3-B791-413F-8EC5-E3C148958A9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Busca medir la magnitud del efecto que la acción de mejora ha tenido en el proceso o resultado deseado. </t>
        </r>
      </text>
    </comment>
    <comment ref="K9" authorId="1" shapeId="0" xr:uid="{4ED1127E-2210-4C5B-8D67-7B94C5DBC58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Busca evalúar la relación entre los recursos invertidos (tiempo, dinero, esfuerzo) y los resultados obtenidos. </t>
        </r>
      </text>
    </comment>
    <comment ref="L9" authorId="2" shapeId="0" xr:uid="{C8FBE8E1-703D-49D9-9E7F-90897C45F26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Busca medir la capacidad de la acción de mejora para mantener sus efectos positivos a largo plazo. </t>
        </r>
      </text>
    </comment>
  </commentList>
</comments>
</file>

<file path=xl/sharedStrings.xml><?xml version="1.0" encoding="utf-8"?>
<sst xmlns="http://schemas.openxmlformats.org/spreadsheetml/2006/main" count="64" uniqueCount="63">
  <si>
    <t>ITEM</t>
  </si>
  <si>
    <t>ACCIÓN DE MEJORA</t>
  </si>
  <si>
    <t>RESPONSABLE DE LA EJECUCIÓN</t>
  </si>
  <si>
    <t>PRODUCTO O SOPORTE DE LA MEJORA</t>
  </si>
  <si>
    <t>IMPACTO</t>
  </si>
  <si>
    <t>EFICIENCIA</t>
  </si>
  <si>
    <t>SOSTENIBILIDAD</t>
  </si>
  <si>
    <t>FECHA PROGRAMADA PARA LA REALIZACIÓN DE LA ACCIÓN</t>
  </si>
  <si>
    <t>FECHA DE REAL DE LA FINALIZACIÓN DE LA ACCIÓN</t>
  </si>
  <si>
    <t>HOSPITAL REGIONAL DE MONIQUIRÁ E.S.E</t>
  </si>
  <si>
    <t>PROCESO: CALIDAD</t>
  </si>
  <si>
    <t>SUBPROCESO: AUDITORÍA PARA EL MEJORAMIENTO</t>
  </si>
  <si>
    <t>CÓDIGO:</t>
  </si>
  <si>
    <t>VERSIÓN:</t>
  </si>
  <si>
    <t>FECHA EN LA QUE SE ESTABLECE LA ACCIÓN</t>
  </si>
  <si>
    <t>CUMPLIMIENTO (DIAS)</t>
  </si>
  <si>
    <t>Impacto</t>
  </si>
  <si>
    <t>Este adjetivo mide la magnitud del efecto que la acción de mejora ha tenido en el proceso o resultado deseado</t>
  </si>
  <si>
    <t>Un puntaje alto (8-10) indicaría que la acción ha generado un cambio significativo y positivo</t>
  </si>
  <si>
    <t>Un puntaje bajo (1-3) señalaría que el impacto ha sido mínimo o nulo.</t>
  </si>
  <si>
    <t>Por ejemplo: ¿Cuánto ha mejorado la satisfacción del cliente? ¿Cuánto se han reducido los tiempos de espera?</t>
  </si>
  <si>
    <t>Eficiencia</t>
  </si>
  <si>
    <t>Este adjetivo evalúa la relación entre los recursos invertidos (tiempo, dinero, esfuerzo) y los resultados obtenidos.</t>
  </si>
  <si>
    <t>Un puntaje alto (8-10) indicaría que la acción ha sido muy eficiente, logrando un gran impacto con pocos recursos.</t>
  </si>
  <si>
    <t>Un puntaje bajo (1-3) señalaría que la acción ha sido ineficiente, requiriendo muchos recursos para un impacto limitado.</t>
  </si>
  <si>
    <t>Por ejemplo: ¿Cuánto tiempo se invirtió en relación a la mejora obtenida? ¿Se cumplió el presupuesto establecido?</t>
  </si>
  <si>
    <t>Este adjetivo mide la capacidad de la acción de mejora para mantener sus efectos positivos a largo plazo.</t>
  </si>
  <si>
    <t>Un puntaje alto (8-10) indicaría que la acción ha generado cambios duraderos y que se han establecido mecanismos para asegurar su continuidad</t>
  </si>
  <si>
    <t>Un puntaje bajo (1-3) señalaría que los efectos de la acción son temporales o que no se han implementado medidas para garantizar su sostenibilidad.</t>
  </si>
  <si>
    <t>Por ejemplo: ¿Se han establecido nuevos procedimientos o capacitaciones para mantener la mejora? ¿Se han definido responsables de seguimiento?</t>
  </si>
  <si>
    <t>Sostenibilidad</t>
  </si>
  <si>
    <t>Caracteristicas de los lineamientos de calificación para evaluar acciones de mejora</t>
  </si>
  <si>
    <t>PUNTAJE DE LAS ACCIONES</t>
  </si>
  <si>
    <t>INSTRUCCIONES</t>
  </si>
  <si>
    <t>ÁREA / DEPENDENCIA:</t>
  </si>
  <si>
    <t>FECHA:</t>
  </si>
  <si>
    <t>GC-A-F-001</t>
  </si>
  <si>
    <t>HALLAZGO</t>
  </si>
  <si>
    <t>FORMATO PLAN DE MEJORA CORRECTIVO</t>
  </si>
  <si>
    <t>V02-2025</t>
  </si>
  <si>
    <t>No se evidencian soportes formales de asignación de recursos para el mantenimiento y fortalecimiento de la relación docencia-servicio.</t>
  </si>
  <si>
    <t>Gestionar y documentar la asignación de recursos institucionales destinados al fortalecimiento de la relación docencia-servicio (infraestructura, insumos académicos recursos administrativos).</t>
  </si>
  <si>
    <t>Acta institucional de asignación de recursos, presupuesto o plan operativo anual que incluya recursos para docencia servicio.</t>
  </si>
  <si>
    <t>No se cuenta con estudio actualizado de capacidad instalada y capacidad utilizada para docencia servicio por servicio habilitado.</t>
  </si>
  <si>
    <t>Realizar actualización del estudio de capacidad instalada y capacidad utilizada para el desarrollo de prácticas formativas en los servicios habilitados.</t>
  </si>
  <si>
    <t>Documento técnico del estudio de capacidad instalada para docencia servicio por servicio habilitado.</t>
  </si>
  <si>
    <t>Reglamento de prácticas formativas requiere actualización conforme a normativa vigente</t>
  </si>
  <si>
    <t>Actualizar y formalizar el reglamento de estudiantes y prácticas formativas del Hospital acorde al modelo de evaluación de escenarios docencia-servicio.</t>
  </si>
  <si>
    <t>Documento reglamento actualizado y acto administrativo de adopción.</t>
  </si>
  <si>
    <t>No se evidencia un sistema organizado de gestión documental para la relación docencia servicio.</t>
  </si>
  <si>
    <t>Diseñar y organizar un repositorio institucional para la gestión documental de docencia-servicio que incluya actas de comité, planes de práctica, pólizas, afiliaciones, reglamentos, guías, protocolos y documentos relacionados.</t>
  </si>
  <si>
    <t>No se cuenta con modelo institucional documentado de autoevaluación de la relación docencia servicio.</t>
  </si>
  <si>
    <t>Diseñar e implementar el modelo institucional de autoevaluación de la relación docencia-servicio alineado con el modelo de evaluación de escenarios de práctica del Ministerio de Salud.</t>
  </si>
  <si>
    <t>No se evidencia plan estructurado de formación docente para personal asistencial con funciones docentes.</t>
  </si>
  <si>
    <t>Diseñar e implementar un plan de formación en docencia universitaria y educación continuada disciplinaria dirigido al personal asistencial que cumple funciones docentes.</t>
  </si>
  <si>
    <t>Academia e Investigación / Talento Humano</t>
  </si>
  <si>
    <t>Plan institucional de formación docente y registros de capacitación.</t>
  </si>
  <si>
    <t>Planeación/Academia e Investigación/Calidad</t>
  </si>
  <si>
    <t>Planeación</t>
  </si>
  <si>
    <t>Academia e Investigación</t>
  </si>
  <si>
    <t>Subgerencia administrativa</t>
  </si>
  <si>
    <t>Repositorio documental organizado (carpeta institucional digital o plataforma institucional).</t>
  </si>
  <si>
    <t>Documento del modelo de autoevaluación y actas de implementación.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</si>
</sst>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0" fillId="2" borderId="11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1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4" borderId="7" xfId="1" applyFill="1" applyBorder="1" applyAlignment="1">
      <alignment horizontal="center" vertical="center"/>
    </xf>
    <xf numFmtId="0" fontId="5" fillId="4" borderId="22" xfId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2">
    <cellStyle name="Hipervínculo" xfId="1" builtinId="8"/>
    <cellStyle name="Normal" xfId="0" builtinId="0"/>
  </cellStyles>
  <dxfs count="6"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358296</xdr:colOff>
      <xdr:row>0</xdr:row>
      <xdr:rowOff>33649</xdr:rowOff>
    </xdr:from>
    <xdr:to>
      <xdr:col>1</xdr:col>
      <xdr:colOff>1455576</xdr:colOff>
      <xdr:row>3</xdr:row>
      <xdr:rowOff>213671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AEF705-64F4-9DFB-0D1A-64E380F2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296" y="33649"/>
          <a:ext cx="1664892" cy="9264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Mario Gonzalez Ulloa" id="{072BAD64-AD76-4681-A3BF-67B387F2B5DE}" userId="00158973d9b22b97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5-03-26T21:29:03.93" personId="{072BAD64-AD76-4681-A3BF-67B387F2B5DE}" id="{5FEC90D3-B791-413F-8EC5-E3C148958A96}">
    <text xml:space="preserve">Busca medir la magnitud del efecto que la acción de mejora ha tenido en el proceso o resultado deseado. </text>
  </threadedComment>
  <threadedComment ref="K9" dT="2025-03-26T21:29:27.39" personId="{072BAD64-AD76-4681-A3BF-67B387F2B5DE}" id="{4ED1127E-2210-4C5B-8D67-7B94C5DBC58D}">
    <text xml:space="preserve">Busca evalúar la relación entre los recursos invertidos (tiempo, dinero, esfuerzo) y los resultados obtenidos. </text>
  </threadedComment>
  <threadedComment ref="L9" dT="2025-03-26T21:29:57.63" personId="{072BAD64-AD76-4681-A3BF-67B387F2B5DE}" id="{C8FBE8E1-703D-49D9-9E7F-90897C45F266}">
    <text xml:space="preserve">Busca medir la capacidad de la acción de mejora para mantener sus efectos positivos a largo plazo.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5D6B-ABC6-4545-A001-E001150BEF87}">
  <sheetPr>
    <pageSetUpPr fitToPage="1"/>
  </sheetPr>
  <dimension ref="A1:M1048576"/>
  <sheetViews>
    <sheetView showGridLines="0" tabSelected="1" topLeftCell="A9" zoomScale="80" zoomScaleNormal="80" workbookViewId="0">
      <selection activeCell="I15" sqref="I15"/>
    </sheetView>
  </sheetViews>
  <sheetFormatPr baseColWidth="10" defaultRowHeight="13.8"/>
  <cols>
    <col min="1" max="1" width="8.19921875" style="2" customWidth="1"/>
    <col min="2" max="2" width="27.59765625" customWidth="1"/>
    <col min="3" max="3" width="27.69921875" customWidth="1"/>
    <col min="4" max="4" width="20.19921875" style="4" customWidth="1"/>
    <col min="5" max="5" width="28.59765625" customWidth="1"/>
    <col min="6" max="7" width="19.8984375" style="4" customWidth="1"/>
    <col min="8" max="8" width="7.296875" style="5" customWidth="1"/>
    <col min="9" max="9" width="24.69921875" customWidth="1"/>
    <col min="10" max="11" width="4.8984375" customWidth="1"/>
    <col min="12" max="12" width="5" customWidth="1"/>
    <col min="13" max="13" width="13.59765625" style="2" customWidth="1"/>
    <col min="16" max="16" width="17.8984375" customWidth="1"/>
  </cols>
  <sheetData>
    <row r="1" spans="1:13" ht="19.8" customHeight="1">
      <c r="A1" s="25"/>
      <c r="B1" s="25"/>
      <c r="C1" s="26" t="s">
        <v>9</v>
      </c>
      <c r="D1" s="27"/>
      <c r="E1" s="27"/>
      <c r="F1" s="27"/>
      <c r="G1" s="27"/>
      <c r="H1" s="27"/>
      <c r="I1" s="28"/>
      <c r="J1" s="26" t="s">
        <v>12</v>
      </c>
      <c r="K1" s="27"/>
      <c r="L1" s="27"/>
      <c r="M1" s="28"/>
    </row>
    <row r="2" spans="1:13" ht="19.8" customHeight="1">
      <c r="A2" s="25"/>
      <c r="B2" s="25"/>
      <c r="C2" s="26" t="s">
        <v>38</v>
      </c>
      <c r="D2" s="27"/>
      <c r="E2" s="27"/>
      <c r="F2" s="27"/>
      <c r="G2" s="27"/>
      <c r="H2" s="27"/>
      <c r="I2" s="28"/>
      <c r="J2" s="29" t="s">
        <v>36</v>
      </c>
      <c r="K2" s="30"/>
      <c r="L2" s="30"/>
      <c r="M2" s="31"/>
    </row>
    <row r="3" spans="1:13" ht="19.8" customHeight="1">
      <c r="A3" s="25"/>
      <c r="B3" s="25"/>
      <c r="C3" s="26" t="s">
        <v>10</v>
      </c>
      <c r="D3" s="27"/>
      <c r="E3" s="27"/>
      <c r="F3" s="27"/>
      <c r="G3" s="27"/>
      <c r="H3" s="27"/>
      <c r="I3" s="28"/>
      <c r="J3" s="26" t="s">
        <v>13</v>
      </c>
      <c r="K3" s="27"/>
      <c r="L3" s="27"/>
      <c r="M3" s="28"/>
    </row>
    <row r="4" spans="1:13" ht="19.8" customHeight="1">
      <c r="A4" s="25"/>
      <c r="B4" s="25"/>
      <c r="C4" s="26" t="s">
        <v>11</v>
      </c>
      <c r="D4" s="27"/>
      <c r="E4" s="27"/>
      <c r="F4" s="27"/>
      <c r="G4" s="27"/>
      <c r="H4" s="27"/>
      <c r="I4" s="28"/>
      <c r="J4" s="29" t="s">
        <v>39</v>
      </c>
      <c r="K4" s="30"/>
      <c r="L4" s="30"/>
      <c r="M4" s="31"/>
    </row>
    <row r="5" spans="1:13" ht="9" customHeight="1">
      <c r="A5" s="21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3" ht="16.8" customHeight="1">
      <c r="A6" s="22"/>
      <c r="B6" s="19" t="s">
        <v>34</v>
      </c>
      <c r="C6" s="24"/>
      <c r="D6" s="24"/>
      <c r="E6" s="24"/>
      <c r="F6"/>
      <c r="G6" s="19" t="s">
        <v>35</v>
      </c>
      <c r="H6" s="24"/>
      <c r="I6" s="24"/>
      <c r="J6" s="2"/>
      <c r="K6" s="2"/>
      <c r="L6" s="2"/>
      <c r="M6" s="20"/>
    </row>
    <row r="7" spans="1:13" ht="9" customHeight="1">
      <c r="A7" s="22"/>
      <c r="B7" s="2"/>
      <c r="D7"/>
      <c r="F7"/>
      <c r="G7"/>
      <c r="H7"/>
      <c r="J7" s="2"/>
      <c r="K7" s="2"/>
      <c r="L7" s="2"/>
      <c r="M7" s="20"/>
    </row>
    <row r="8" spans="1:13" ht="19.8" customHeight="1">
      <c r="A8" s="23"/>
      <c r="B8" s="18"/>
      <c r="C8" s="18"/>
      <c r="D8" s="18"/>
      <c r="E8" s="18"/>
      <c r="F8" s="18"/>
      <c r="G8" s="18"/>
      <c r="H8" s="18"/>
      <c r="I8" s="18"/>
      <c r="J8" s="32" t="s">
        <v>33</v>
      </c>
      <c r="K8" s="32"/>
      <c r="L8" s="32"/>
      <c r="M8" s="33"/>
    </row>
    <row r="9" spans="1:13" s="3" customFormat="1" ht="72.599999999999994" customHeight="1">
      <c r="A9" s="11" t="s">
        <v>0</v>
      </c>
      <c r="B9" s="11" t="s">
        <v>37</v>
      </c>
      <c r="C9" s="11" t="s">
        <v>1</v>
      </c>
      <c r="D9" s="11" t="s">
        <v>14</v>
      </c>
      <c r="E9" s="11" t="s">
        <v>2</v>
      </c>
      <c r="F9" s="11" t="s">
        <v>7</v>
      </c>
      <c r="G9" s="11" t="s">
        <v>8</v>
      </c>
      <c r="H9" s="12" t="s">
        <v>15</v>
      </c>
      <c r="I9" s="11" t="s">
        <v>3</v>
      </c>
      <c r="J9" s="13" t="s">
        <v>4</v>
      </c>
      <c r="K9" s="13" t="s">
        <v>5</v>
      </c>
      <c r="L9" s="13" t="s">
        <v>6</v>
      </c>
      <c r="M9" s="11" t="s">
        <v>32</v>
      </c>
    </row>
    <row r="10" spans="1:13" ht="109.2" customHeight="1">
      <c r="A10" s="6">
        <v>1</v>
      </c>
      <c r="B10" s="42" t="s">
        <v>40</v>
      </c>
      <c r="C10" s="43" t="s">
        <v>41</v>
      </c>
      <c r="D10" s="8">
        <v>46140</v>
      </c>
      <c r="E10" s="7" t="s">
        <v>60</v>
      </c>
      <c r="F10" s="8">
        <v>46203</v>
      </c>
      <c r="G10" s="8"/>
      <c r="H10" s="9">
        <f>+_xlfn.DAYS(F10,G10)</f>
        <v>46203</v>
      </c>
      <c r="I10" s="42" t="s">
        <v>42</v>
      </c>
      <c r="J10" s="7"/>
      <c r="K10" s="7"/>
      <c r="L10" s="7"/>
      <c r="M10" s="10">
        <f>+J10*K10*L10</f>
        <v>0</v>
      </c>
    </row>
    <row r="11" spans="1:13" ht="99" customHeight="1">
      <c r="A11" s="6">
        <v>2</v>
      </c>
      <c r="B11" s="44" t="s">
        <v>43</v>
      </c>
      <c r="C11" s="42" t="s">
        <v>44</v>
      </c>
      <c r="D11" s="8">
        <v>46140</v>
      </c>
      <c r="E11" s="7" t="s">
        <v>59</v>
      </c>
      <c r="F11" s="8">
        <v>46172</v>
      </c>
      <c r="G11" s="8">
        <v>46172</v>
      </c>
      <c r="H11" s="9">
        <f t="shared" ref="H11:H39" si="0">+_xlfn.DAYS(F11,G11)</f>
        <v>0</v>
      </c>
      <c r="I11" s="42" t="s">
        <v>45</v>
      </c>
      <c r="J11" s="7"/>
      <c r="K11" s="7"/>
      <c r="L11" s="7"/>
      <c r="M11" s="10">
        <f t="shared" ref="M11:M39" si="1">+J11*K11*L11</f>
        <v>0</v>
      </c>
    </row>
    <row r="12" spans="1:13" ht="85.8" customHeight="1">
      <c r="A12" s="6">
        <v>3</v>
      </c>
      <c r="B12" s="42" t="s">
        <v>46</v>
      </c>
      <c r="C12" s="42" t="s">
        <v>47</v>
      </c>
      <c r="D12" s="8">
        <v>46140</v>
      </c>
      <c r="E12" s="7" t="s">
        <v>59</v>
      </c>
      <c r="F12" s="8">
        <v>46172</v>
      </c>
      <c r="G12" s="8">
        <v>46172</v>
      </c>
      <c r="H12" s="9">
        <f t="shared" si="0"/>
        <v>0</v>
      </c>
      <c r="I12" s="42" t="s">
        <v>48</v>
      </c>
      <c r="J12" s="7"/>
      <c r="K12" s="7"/>
      <c r="L12" s="7"/>
      <c r="M12" s="10">
        <f t="shared" si="1"/>
        <v>0</v>
      </c>
    </row>
    <row r="13" spans="1:13" ht="69.599999999999994" customHeight="1">
      <c r="A13" s="6">
        <v>4</v>
      </c>
      <c r="B13" s="42" t="s">
        <v>49</v>
      </c>
      <c r="C13" s="42" t="s">
        <v>50</v>
      </c>
      <c r="D13" s="8">
        <v>46140</v>
      </c>
      <c r="E13" s="7" t="s">
        <v>58</v>
      </c>
      <c r="F13" s="8">
        <v>46264</v>
      </c>
      <c r="G13" s="8"/>
      <c r="H13" s="9">
        <f t="shared" si="0"/>
        <v>46264</v>
      </c>
      <c r="I13" s="42" t="s">
        <v>61</v>
      </c>
      <c r="J13" s="7"/>
      <c r="K13" s="7"/>
      <c r="L13" s="7"/>
      <c r="M13" s="10">
        <f t="shared" si="1"/>
        <v>0</v>
      </c>
    </row>
    <row r="14" spans="1:13" ht="96.6" customHeight="1">
      <c r="A14" s="6">
        <v>5</v>
      </c>
      <c r="B14" s="42" t="s">
        <v>51</v>
      </c>
      <c r="C14" s="42" t="s">
        <v>52</v>
      </c>
      <c r="D14" s="8"/>
      <c r="E14" s="42" t="s">
        <v>57</v>
      </c>
      <c r="F14" s="8"/>
      <c r="G14" s="8"/>
      <c r="H14" s="9">
        <f t="shared" si="0"/>
        <v>0</v>
      </c>
      <c r="I14" s="42" t="s">
        <v>62</v>
      </c>
      <c r="J14" s="7"/>
      <c r="K14" s="7"/>
      <c r="L14" s="7"/>
      <c r="M14" s="10">
        <f t="shared" si="1"/>
        <v>0</v>
      </c>
    </row>
    <row r="15" spans="1:13" ht="100.2" customHeight="1">
      <c r="A15" s="6">
        <v>6</v>
      </c>
      <c r="B15" s="42" t="s">
        <v>53</v>
      </c>
      <c r="C15" s="42" t="s">
        <v>54</v>
      </c>
      <c r="D15" s="8"/>
      <c r="E15" s="42" t="s">
        <v>55</v>
      </c>
      <c r="F15" s="8"/>
      <c r="G15" s="8"/>
      <c r="H15" s="9">
        <f t="shared" si="0"/>
        <v>0</v>
      </c>
      <c r="I15" s="42" t="s">
        <v>56</v>
      </c>
      <c r="J15" s="7"/>
      <c r="K15" s="7"/>
      <c r="L15" s="7"/>
      <c r="M15" s="10">
        <f t="shared" si="1"/>
        <v>0</v>
      </c>
    </row>
    <row r="16" spans="1:13" ht="20.399999999999999" customHeight="1">
      <c r="A16" s="6">
        <v>7</v>
      </c>
      <c r="B16" s="7"/>
      <c r="C16" s="7"/>
      <c r="D16" s="8"/>
      <c r="E16" s="7"/>
      <c r="F16" s="8"/>
      <c r="G16" s="8"/>
      <c r="H16" s="9">
        <f t="shared" si="0"/>
        <v>0</v>
      </c>
      <c r="I16" s="7"/>
      <c r="J16" s="7"/>
      <c r="K16" s="7"/>
      <c r="L16" s="7"/>
      <c r="M16" s="10">
        <f t="shared" si="1"/>
        <v>0</v>
      </c>
    </row>
    <row r="17" spans="1:13" ht="20.399999999999999" customHeight="1">
      <c r="A17" s="6">
        <v>8</v>
      </c>
      <c r="B17" s="7"/>
      <c r="C17" s="7"/>
      <c r="D17" s="8"/>
      <c r="E17" s="7"/>
      <c r="F17" s="8"/>
      <c r="G17" s="8"/>
      <c r="H17" s="9">
        <f t="shared" si="0"/>
        <v>0</v>
      </c>
      <c r="I17" s="7"/>
      <c r="J17" s="7"/>
      <c r="K17" s="7"/>
      <c r="L17" s="7"/>
      <c r="M17" s="10">
        <f t="shared" si="1"/>
        <v>0</v>
      </c>
    </row>
    <row r="18" spans="1:13" ht="20.399999999999999" customHeight="1">
      <c r="A18" s="6">
        <v>9</v>
      </c>
      <c r="B18" s="7"/>
      <c r="C18" s="7"/>
      <c r="D18" s="8"/>
      <c r="E18" s="7"/>
      <c r="F18" s="8"/>
      <c r="G18" s="8"/>
      <c r="H18" s="9">
        <f t="shared" si="0"/>
        <v>0</v>
      </c>
      <c r="I18" s="7"/>
      <c r="J18" s="7"/>
      <c r="K18" s="7"/>
      <c r="L18" s="7"/>
      <c r="M18" s="10">
        <f t="shared" si="1"/>
        <v>0</v>
      </c>
    </row>
    <row r="19" spans="1:13" ht="20.399999999999999" customHeight="1">
      <c r="A19" s="6">
        <v>10</v>
      </c>
      <c r="B19" s="7"/>
      <c r="C19" s="7"/>
      <c r="D19" s="8"/>
      <c r="E19" s="7"/>
      <c r="F19" s="8"/>
      <c r="G19" s="8"/>
      <c r="H19" s="9">
        <f t="shared" si="0"/>
        <v>0</v>
      </c>
      <c r="I19" s="7"/>
      <c r="J19" s="7"/>
      <c r="K19" s="7"/>
      <c r="L19" s="7"/>
      <c r="M19" s="10">
        <f t="shared" si="1"/>
        <v>0</v>
      </c>
    </row>
    <row r="20" spans="1:13" ht="20.399999999999999" customHeight="1">
      <c r="A20" s="6">
        <v>11</v>
      </c>
      <c r="B20" s="7"/>
      <c r="C20" s="7"/>
      <c r="D20" s="8"/>
      <c r="E20" s="7"/>
      <c r="F20" s="8"/>
      <c r="G20" s="8"/>
      <c r="H20" s="9">
        <f t="shared" si="0"/>
        <v>0</v>
      </c>
      <c r="I20" s="7"/>
      <c r="J20" s="7"/>
      <c r="K20" s="7"/>
      <c r="L20" s="7"/>
      <c r="M20" s="10">
        <f t="shared" si="1"/>
        <v>0</v>
      </c>
    </row>
    <row r="21" spans="1:13" ht="20.399999999999999" customHeight="1">
      <c r="A21" s="6">
        <v>12</v>
      </c>
      <c r="B21" s="7"/>
      <c r="C21" s="7"/>
      <c r="D21" s="8"/>
      <c r="E21" s="7"/>
      <c r="F21" s="8"/>
      <c r="G21" s="8"/>
      <c r="H21" s="9">
        <f t="shared" si="0"/>
        <v>0</v>
      </c>
      <c r="I21" s="7"/>
      <c r="J21" s="7"/>
      <c r="K21" s="7"/>
      <c r="L21" s="7"/>
      <c r="M21" s="10">
        <f t="shared" si="1"/>
        <v>0</v>
      </c>
    </row>
    <row r="22" spans="1:13" ht="20.399999999999999" customHeight="1">
      <c r="A22" s="6">
        <v>13</v>
      </c>
      <c r="B22" s="7"/>
      <c r="C22" s="7"/>
      <c r="D22" s="8"/>
      <c r="E22" s="7"/>
      <c r="F22" s="8"/>
      <c r="G22" s="8"/>
      <c r="H22" s="9">
        <f t="shared" si="0"/>
        <v>0</v>
      </c>
      <c r="I22" s="7"/>
      <c r="J22" s="7"/>
      <c r="K22" s="7"/>
      <c r="L22" s="7"/>
      <c r="M22" s="10">
        <f t="shared" si="1"/>
        <v>0</v>
      </c>
    </row>
    <row r="23" spans="1:13" ht="20.399999999999999" customHeight="1">
      <c r="A23" s="6">
        <v>14</v>
      </c>
      <c r="B23" s="7"/>
      <c r="C23" s="7"/>
      <c r="D23" s="8"/>
      <c r="E23" s="7"/>
      <c r="F23" s="8"/>
      <c r="G23" s="8"/>
      <c r="H23" s="9">
        <f t="shared" si="0"/>
        <v>0</v>
      </c>
      <c r="I23" s="7"/>
      <c r="J23" s="7"/>
      <c r="K23" s="7"/>
      <c r="L23" s="7"/>
      <c r="M23" s="10">
        <f t="shared" si="1"/>
        <v>0</v>
      </c>
    </row>
    <row r="24" spans="1:13" ht="20.399999999999999" customHeight="1">
      <c r="A24" s="6">
        <v>15</v>
      </c>
      <c r="B24" s="7"/>
      <c r="C24" s="7"/>
      <c r="D24" s="8"/>
      <c r="E24" s="7"/>
      <c r="F24" s="8"/>
      <c r="G24" s="8"/>
      <c r="H24" s="9">
        <f t="shared" si="0"/>
        <v>0</v>
      </c>
      <c r="I24" s="7"/>
      <c r="J24" s="7"/>
      <c r="K24" s="7"/>
      <c r="L24" s="7"/>
      <c r="M24" s="10">
        <f t="shared" si="1"/>
        <v>0</v>
      </c>
    </row>
    <row r="25" spans="1:13" ht="20.399999999999999" customHeight="1">
      <c r="A25" s="6">
        <v>16</v>
      </c>
      <c r="B25" s="7"/>
      <c r="C25" s="7"/>
      <c r="D25" s="8"/>
      <c r="E25" s="7"/>
      <c r="F25" s="8"/>
      <c r="G25" s="8"/>
      <c r="H25" s="9">
        <f t="shared" si="0"/>
        <v>0</v>
      </c>
      <c r="I25" s="7"/>
      <c r="J25" s="7"/>
      <c r="K25" s="7"/>
      <c r="L25" s="7"/>
      <c r="M25" s="10">
        <f t="shared" si="1"/>
        <v>0</v>
      </c>
    </row>
    <row r="26" spans="1:13" ht="20.399999999999999" customHeight="1">
      <c r="A26" s="6">
        <v>17</v>
      </c>
      <c r="B26" s="7"/>
      <c r="C26" s="7"/>
      <c r="D26" s="8"/>
      <c r="E26" s="7"/>
      <c r="F26" s="8"/>
      <c r="G26" s="8"/>
      <c r="H26" s="9">
        <f t="shared" si="0"/>
        <v>0</v>
      </c>
      <c r="I26" s="7"/>
      <c r="J26" s="7"/>
      <c r="K26" s="7"/>
      <c r="L26" s="7"/>
      <c r="M26" s="10">
        <f t="shared" si="1"/>
        <v>0</v>
      </c>
    </row>
    <row r="27" spans="1:13" ht="20.399999999999999" customHeight="1">
      <c r="A27" s="6">
        <v>18</v>
      </c>
      <c r="B27" s="7"/>
      <c r="C27" s="7"/>
      <c r="D27" s="8"/>
      <c r="E27" s="7"/>
      <c r="F27" s="8"/>
      <c r="G27" s="8"/>
      <c r="H27" s="9">
        <f t="shared" si="0"/>
        <v>0</v>
      </c>
      <c r="I27" s="7"/>
      <c r="J27" s="7"/>
      <c r="K27" s="7"/>
      <c r="L27" s="7"/>
      <c r="M27" s="10">
        <f t="shared" si="1"/>
        <v>0</v>
      </c>
    </row>
    <row r="28" spans="1:13" ht="20.399999999999999" customHeight="1">
      <c r="A28" s="6">
        <v>19</v>
      </c>
      <c r="B28" s="7"/>
      <c r="C28" s="7"/>
      <c r="D28" s="8"/>
      <c r="E28" s="7"/>
      <c r="F28" s="8"/>
      <c r="G28" s="8"/>
      <c r="H28" s="9">
        <f t="shared" si="0"/>
        <v>0</v>
      </c>
      <c r="I28" s="7"/>
      <c r="J28" s="7"/>
      <c r="K28" s="7"/>
      <c r="L28" s="7"/>
      <c r="M28" s="10">
        <f t="shared" si="1"/>
        <v>0</v>
      </c>
    </row>
    <row r="29" spans="1:13" ht="20.399999999999999" customHeight="1">
      <c r="A29" s="6">
        <v>20</v>
      </c>
      <c r="B29" s="7"/>
      <c r="C29" s="7"/>
      <c r="D29" s="8"/>
      <c r="E29" s="7"/>
      <c r="F29" s="8"/>
      <c r="G29" s="8"/>
      <c r="H29" s="9">
        <f t="shared" si="0"/>
        <v>0</v>
      </c>
      <c r="I29" s="7"/>
      <c r="J29" s="7"/>
      <c r="K29" s="7"/>
      <c r="L29" s="7"/>
      <c r="M29" s="10">
        <f t="shared" si="1"/>
        <v>0</v>
      </c>
    </row>
    <row r="30" spans="1:13" ht="20.399999999999999" customHeight="1">
      <c r="A30" s="6">
        <v>21</v>
      </c>
      <c r="B30" s="7"/>
      <c r="C30" s="7"/>
      <c r="D30" s="8"/>
      <c r="E30" s="7"/>
      <c r="F30" s="8"/>
      <c r="G30" s="8"/>
      <c r="H30" s="9">
        <f t="shared" si="0"/>
        <v>0</v>
      </c>
      <c r="I30" s="7"/>
      <c r="J30" s="7"/>
      <c r="K30" s="7"/>
      <c r="L30" s="7"/>
      <c r="M30" s="10">
        <f t="shared" si="1"/>
        <v>0</v>
      </c>
    </row>
    <row r="31" spans="1:13" ht="20.399999999999999" customHeight="1">
      <c r="A31" s="6">
        <v>22</v>
      </c>
      <c r="B31" s="7"/>
      <c r="C31" s="7"/>
      <c r="D31" s="8"/>
      <c r="E31" s="7"/>
      <c r="F31" s="8"/>
      <c r="G31" s="8"/>
      <c r="H31" s="9">
        <f t="shared" si="0"/>
        <v>0</v>
      </c>
      <c r="I31" s="7"/>
      <c r="J31" s="7"/>
      <c r="K31" s="7"/>
      <c r="L31" s="7"/>
      <c r="M31" s="10">
        <f t="shared" si="1"/>
        <v>0</v>
      </c>
    </row>
    <row r="32" spans="1:13" ht="20.399999999999999" customHeight="1">
      <c r="A32" s="6">
        <v>23</v>
      </c>
      <c r="B32" s="7"/>
      <c r="C32" s="7"/>
      <c r="D32" s="8"/>
      <c r="E32" s="7"/>
      <c r="F32" s="8"/>
      <c r="G32" s="8"/>
      <c r="H32" s="9">
        <f t="shared" si="0"/>
        <v>0</v>
      </c>
      <c r="I32" s="7"/>
      <c r="J32" s="7"/>
      <c r="K32" s="7"/>
      <c r="L32" s="7"/>
      <c r="M32" s="10">
        <f t="shared" si="1"/>
        <v>0</v>
      </c>
    </row>
    <row r="33" spans="1:13" ht="20.399999999999999" customHeight="1">
      <c r="A33" s="6">
        <v>24</v>
      </c>
      <c r="B33" s="7"/>
      <c r="C33" s="7"/>
      <c r="D33" s="8"/>
      <c r="E33" s="7"/>
      <c r="F33" s="8"/>
      <c r="G33" s="8"/>
      <c r="H33" s="9">
        <f t="shared" si="0"/>
        <v>0</v>
      </c>
      <c r="I33" s="7"/>
      <c r="J33" s="7"/>
      <c r="K33" s="7"/>
      <c r="L33" s="7"/>
      <c r="M33" s="10">
        <f t="shared" si="1"/>
        <v>0</v>
      </c>
    </row>
    <row r="34" spans="1:13" ht="20.399999999999999" customHeight="1">
      <c r="A34" s="6">
        <v>25</v>
      </c>
      <c r="B34" s="7"/>
      <c r="C34" s="7"/>
      <c r="D34" s="8"/>
      <c r="E34" s="7"/>
      <c r="F34" s="8"/>
      <c r="G34" s="8"/>
      <c r="H34" s="9">
        <f t="shared" si="0"/>
        <v>0</v>
      </c>
      <c r="I34" s="7"/>
      <c r="J34" s="7"/>
      <c r="K34" s="7"/>
      <c r="L34" s="7"/>
      <c r="M34" s="10">
        <f t="shared" si="1"/>
        <v>0</v>
      </c>
    </row>
    <row r="35" spans="1:13" ht="20.399999999999999" customHeight="1">
      <c r="A35" s="6">
        <v>26</v>
      </c>
      <c r="B35" s="7"/>
      <c r="C35" s="7"/>
      <c r="D35" s="8"/>
      <c r="E35" s="7"/>
      <c r="F35" s="8"/>
      <c r="G35" s="8"/>
      <c r="H35" s="9">
        <f t="shared" si="0"/>
        <v>0</v>
      </c>
      <c r="I35" s="7"/>
      <c r="J35" s="7"/>
      <c r="K35" s="7"/>
      <c r="L35" s="7"/>
      <c r="M35" s="10">
        <f t="shared" si="1"/>
        <v>0</v>
      </c>
    </row>
    <row r="36" spans="1:13" ht="20.399999999999999" customHeight="1">
      <c r="A36" s="6">
        <v>27</v>
      </c>
      <c r="B36" s="7"/>
      <c r="C36" s="7"/>
      <c r="D36" s="8"/>
      <c r="E36" s="7"/>
      <c r="F36" s="8"/>
      <c r="G36" s="8"/>
      <c r="H36" s="9">
        <f t="shared" si="0"/>
        <v>0</v>
      </c>
      <c r="I36" s="7"/>
      <c r="J36" s="7"/>
      <c r="K36" s="7"/>
      <c r="L36" s="7"/>
      <c r="M36" s="10">
        <f t="shared" si="1"/>
        <v>0</v>
      </c>
    </row>
    <row r="37" spans="1:13" ht="20.399999999999999" customHeight="1">
      <c r="A37" s="6">
        <v>28</v>
      </c>
      <c r="B37" s="7"/>
      <c r="C37" s="7"/>
      <c r="D37" s="8"/>
      <c r="E37" s="7"/>
      <c r="F37" s="8"/>
      <c r="G37" s="8"/>
      <c r="H37" s="9">
        <f t="shared" si="0"/>
        <v>0</v>
      </c>
      <c r="I37" s="7"/>
      <c r="J37" s="7"/>
      <c r="K37" s="7"/>
      <c r="L37" s="7"/>
      <c r="M37" s="10">
        <f t="shared" si="1"/>
        <v>0</v>
      </c>
    </row>
    <row r="38" spans="1:13" ht="20.399999999999999" customHeight="1">
      <c r="A38" s="6">
        <v>29</v>
      </c>
      <c r="B38" s="7"/>
      <c r="C38" s="7"/>
      <c r="D38" s="8"/>
      <c r="E38" s="7"/>
      <c r="F38" s="8"/>
      <c r="G38" s="8"/>
      <c r="H38" s="9">
        <f t="shared" si="0"/>
        <v>0</v>
      </c>
      <c r="I38" s="7"/>
      <c r="J38" s="7"/>
      <c r="K38" s="7"/>
      <c r="L38" s="7"/>
      <c r="M38" s="10">
        <f t="shared" si="1"/>
        <v>0</v>
      </c>
    </row>
    <row r="39" spans="1:13" ht="20.399999999999999" customHeight="1">
      <c r="A39" s="6">
        <v>30</v>
      </c>
      <c r="B39" s="7"/>
      <c r="C39" s="7"/>
      <c r="D39" s="8"/>
      <c r="E39" s="7"/>
      <c r="F39" s="8"/>
      <c r="G39" s="8"/>
      <c r="H39" s="9">
        <f t="shared" si="0"/>
        <v>0</v>
      </c>
      <c r="I39" s="7"/>
      <c r="J39" s="7"/>
      <c r="K39" s="7"/>
      <c r="L39" s="7"/>
      <c r="M39" s="10">
        <f t="shared" si="1"/>
        <v>0</v>
      </c>
    </row>
    <row r="1048576" spans="7:7">
      <c r="G1048576" s="8">
        <v>46172</v>
      </c>
    </row>
  </sheetData>
  <mergeCells count="14">
    <mergeCell ref="A5:A8"/>
    <mergeCell ref="C6:E6"/>
    <mergeCell ref="H6:I6"/>
    <mergeCell ref="A1:B4"/>
    <mergeCell ref="J1:M1"/>
    <mergeCell ref="J2:M2"/>
    <mergeCell ref="J3:M3"/>
    <mergeCell ref="J4:M4"/>
    <mergeCell ref="J8:M8"/>
    <mergeCell ref="C1:I1"/>
    <mergeCell ref="C2:I2"/>
    <mergeCell ref="C3:I3"/>
    <mergeCell ref="C4:I4"/>
    <mergeCell ref="B5:M5"/>
  </mergeCells>
  <conditionalFormatting sqref="H10:H104857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M10:M1048576">
    <cfRule type="cellIs" dxfId="3" priority="4" operator="equal">
      <formula>0</formula>
    </cfRule>
    <cfRule type="cellIs" dxfId="2" priority="5" operator="between">
      <formula>751</formula>
      <formula>1000</formula>
    </cfRule>
    <cfRule type="cellIs" dxfId="1" priority="6" operator="between">
      <formula>401</formula>
      <formula>750</formula>
    </cfRule>
    <cfRule type="cellIs" dxfId="0" priority="7" operator="between">
      <formula>1</formula>
      <formula>400</formula>
    </cfRule>
  </conditionalFormatting>
  <dataValidations count="1">
    <dataValidation type="list" allowBlank="1" showInputMessage="1" showErrorMessage="1" sqref="J10:L1048576" xr:uid="{9BF4877D-B874-40A8-AAEC-10B44BF873C8}">
      <formula1>"1,2,3,4,5,6,7,8,9,10"</formula1>
    </dataValidation>
  </dataValidations>
  <hyperlinks>
    <hyperlink ref="J8:L8" location="'INSTRUCCIONES QL'!A1" display="INSTRUCCIONES" xr:uid="{19DF9F2C-69C4-42B4-ADBE-ED08BB4C2FB8}"/>
  </hyperlinks>
  <pageMargins left="0.7" right="0.7" top="0.75" bottom="0.75" header="0.3" footer="0.3"/>
  <pageSetup scale="5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1611-F82F-4BA2-AA45-B0BD4E754E95}">
  <dimension ref="A1:B14"/>
  <sheetViews>
    <sheetView workbookViewId="0"/>
  </sheetViews>
  <sheetFormatPr baseColWidth="10" defaultRowHeight="13.8"/>
  <cols>
    <col min="1" max="1" width="21.59765625" customWidth="1"/>
    <col min="2" max="2" width="69.3984375" style="1" customWidth="1"/>
  </cols>
  <sheetData>
    <row r="1" spans="1:2" ht="14.4" thickBot="1"/>
    <row r="2" spans="1:2" ht="18" thickBot="1">
      <c r="A2" s="36" t="s">
        <v>31</v>
      </c>
      <c r="B2" s="37"/>
    </row>
    <row r="3" spans="1:2" ht="27.6">
      <c r="A3" s="38" t="s">
        <v>16</v>
      </c>
      <c r="B3" s="17" t="s">
        <v>17</v>
      </c>
    </row>
    <row r="4" spans="1:2" ht="27.6">
      <c r="A4" s="39"/>
      <c r="B4" s="14" t="s">
        <v>18</v>
      </c>
    </row>
    <row r="5" spans="1:2">
      <c r="A5" s="39"/>
      <c r="B5" s="14" t="s">
        <v>19</v>
      </c>
    </row>
    <row r="6" spans="1:2" ht="28.2" thickBot="1">
      <c r="A6" s="40"/>
      <c r="B6" s="15" t="s">
        <v>20</v>
      </c>
    </row>
    <row r="7" spans="1:2" ht="27.6">
      <c r="A7" s="38" t="s">
        <v>21</v>
      </c>
      <c r="B7" s="17" t="s">
        <v>22</v>
      </c>
    </row>
    <row r="8" spans="1:2" ht="27.6">
      <c r="A8" s="39"/>
      <c r="B8" s="14" t="s">
        <v>23</v>
      </c>
    </row>
    <row r="9" spans="1:2" ht="27.6">
      <c r="A9" s="39"/>
      <c r="B9" s="14" t="s">
        <v>24</v>
      </c>
    </row>
    <row r="10" spans="1:2" ht="28.2" thickBot="1">
      <c r="A10" s="40"/>
      <c r="B10" s="15" t="s">
        <v>25</v>
      </c>
    </row>
    <row r="11" spans="1:2" ht="27.6">
      <c r="A11" s="41" t="s">
        <v>30</v>
      </c>
      <c r="B11" s="16" t="s">
        <v>26</v>
      </c>
    </row>
    <row r="12" spans="1:2" ht="27.6">
      <c r="A12" s="39"/>
      <c r="B12" s="14" t="s">
        <v>27</v>
      </c>
    </row>
    <row r="13" spans="1:2" ht="27.6">
      <c r="A13" s="39"/>
      <c r="B13" s="14" t="s">
        <v>28</v>
      </c>
    </row>
    <row r="14" spans="1:2" ht="28.2" thickBot="1">
      <c r="A14" s="40"/>
      <c r="B14" s="15" t="s">
        <v>29</v>
      </c>
    </row>
  </sheetData>
  <mergeCells count="4">
    <mergeCell ref="A2:B2"/>
    <mergeCell ref="A3:A6"/>
    <mergeCell ref="A7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EV</vt:lpstr>
      <vt:lpstr>INSTRUCCIONES QL</vt:lpstr>
      <vt:lpstr>'FORMATO EV'!Área_de_impresión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Gonzalez Ulloa</dc:creator>
  <cp:lastModifiedBy>LEIDY TOLEDO ROJAS</cp:lastModifiedBy>
  <cp:lastPrinted>2025-03-26T21:39:29Z</cp:lastPrinted>
  <dcterms:created xsi:type="dcterms:W3CDTF">2025-03-26T19:17:13Z</dcterms:created>
  <dcterms:modified xsi:type="dcterms:W3CDTF">2026-04-28T11:07:05Z</dcterms:modified>
</cp:coreProperties>
</file>