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s Camilo\Desktop\"/>
    </mc:Choice>
  </mc:AlternateContent>
  <xr:revisionPtr revIDLastSave="0" documentId="13_ncr:1_{E478305C-CBC6-4B6D-8F24-15E940956998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OFFSET(TURNOS!$B$81, 0, 0, COUNTIF(TURNOS!$B$81:$B$1006, "&lt;&gt;"))</definedName>
  </definedNames>
  <calcPr calcId="191029"/>
</workbook>
</file>

<file path=xl/calcChain.xml><?xml version="1.0" encoding="utf-8"?>
<calcChain xmlns="http://schemas.openxmlformats.org/spreadsheetml/2006/main">
  <c r="AL23" i="1" l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4" i="1"/>
  <c r="AL22" i="1"/>
  <c r="AL20" i="1"/>
  <c r="AL19" i="1"/>
  <c r="AL17" i="1"/>
  <c r="AL15" i="1"/>
  <c r="AL13" i="1"/>
</calcChain>
</file>

<file path=xl/sharedStrings.xml><?xml version="1.0" encoding="utf-8"?>
<sst xmlns="http://schemas.openxmlformats.org/spreadsheetml/2006/main" count="205" uniqueCount="91">
  <si>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</si>
  <si>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</si>
  <si>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</si>
  <si>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</si>
  <si>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</si>
  <si>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</si>
  <si>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</si>
  <si>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</si>
  <si>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</si>
  <si>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</si>
  <si>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</si>
  <si>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</si>
  <si>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</si>
  <si>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</si>
  <si>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</si>
  <si>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Marzo</t>
  </si>
  <si>
    <t>AÑO:</t>
  </si>
  <si>
    <t>ÁREA:</t>
  </si>
  <si>
    <t>UNIDAD DE CUIDADOS INTENSIVOS</t>
  </si>
  <si>
    <t>Todas</t>
  </si>
  <si>
    <t>NOMBRE DEL PROFESIONAL</t>
  </si>
  <si>
    <t>DOCUMENTO</t>
  </si>
  <si>
    <t>Total Horas</t>
  </si>
  <si>
    <t>D</t>
  </si>
  <si>
    <t>L</t>
  </si>
  <si>
    <t>M</t>
  </si>
  <si>
    <t>J</t>
  </si>
  <si>
    <t>V</t>
  </si>
  <si>
    <t>S</t>
  </si>
  <si>
    <t>RODRIGUEZ GUTIERREZ ANDRES CAMILO</t>
  </si>
  <si>
    <t>ORDOÑEZ BASTIDAS EDGAR ANDRES</t>
  </si>
  <si>
    <t>SANCHEZ CASTILLO FABIAN ANDRES</t>
  </si>
  <si>
    <t>GONZALEZ VILLAMIZAR GERMAN RICARDO</t>
  </si>
  <si>
    <t>LOPEZ MORA OSCAR MAURICIO</t>
  </si>
  <si>
    <t>MORALES PEREZ JUAN CAMILO</t>
  </si>
  <si>
    <t>GONZALEZ OJEDA CARLOS ARTURO</t>
  </si>
  <si>
    <t>KATERINE JOHANA ESTRADA FIGUEROA</t>
  </si>
  <si>
    <t>OBSERVACIONES</t>
  </si>
  <si>
    <t>COD</t>
  </si>
  <si>
    <t>HORAS</t>
  </si>
  <si>
    <t>TOTAL HORAS</t>
  </si>
  <si>
    <t>ACTIVIDAD</t>
  </si>
  <si>
    <t>07:00:00 a 19:00:00</t>
  </si>
  <si>
    <t>DIA</t>
  </si>
  <si>
    <t>D/A</t>
  </si>
  <si>
    <t>DIA  ANESTESIOLOGIA</t>
  </si>
  <si>
    <t>D/M</t>
  </si>
  <si>
    <t>DIA MEDICINA INTERNA</t>
  </si>
  <si>
    <t>APROBÓ
KARIN MILENA GAMBA</t>
  </si>
  <si>
    <t>D/U</t>
  </si>
  <si>
    <t>DIA  URGENCIOLOGIA</t>
  </si>
  <si>
    <t>07:00:00 a 13:00:00</t>
  </si>
  <si>
    <t>M/M</t>
  </si>
  <si>
    <t>MAÑANA MEDICINA INTERNA</t>
  </si>
  <si>
    <t>M/N</t>
  </si>
  <si>
    <t>07:00:00 a 13:00:00
19:00:00 a 07:00:00</t>
  </si>
  <si>
    <t>6.0
12.0</t>
  </si>
  <si>
    <t>MAÑANA
NOCHE</t>
  </si>
  <si>
    <t>M/N/M</t>
  </si>
  <si>
    <t>MAÑANA MEDICINA INTERNA
NOCHE MEDICINA INTERNA</t>
  </si>
  <si>
    <t>M/N/U</t>
  </si>
  <si>
    <t>19:00:00 a 07:00:00
07:00:00 a 13:00:00</t>
  </si>
  <si>
    <t>12.0
6.0</t>
  </si>
  <si>
    <t>NOCHE URGENCIOLOGIA
MAÑANA URGENCIOLOGIA</t>
  </si>
  <si>
    <t>M/U</t>
  </si>
  <si>
    <t>MAÑANA URGENCIOLOGIA</t>
  </si>
  <si>
    <t>N</t>
  </si>
  <si>
    <t>19:00:00 a 07:00:00</t>
  </si>
  <si>
    <t>NOCHE</t>
  </si>
  <si>
    <t>N/A</t>
  </si>
  <si>
    <t>NOCHE  ANESTESIOLOGIA</t>
  </si>
  <si>
    <t>N/M</t>
  </si>
  <si>
    <t>NOCHE MEDICINA INTERNA</t>
  </si>
  <si>
    <t>N/U</t>
  </si>
  <si>
    <t>NOCHE URGENCIOLOGIA</t>
  </si>
  <si>
    <t>T</t>
  </si>
  <si>
    <t>13:00:00 a 19:00:00</t>
  </si>
  <si>
    <t>TARDE</t>
  </si>
  <si>
    <t>T/M</t>
  </si>
  <si>
    <t>TARDE MEDICINA INTERNA</t>
  </si>
  <si>
    <t>T/N</t>
  </si>
  <si>
    <t>13:00:00 a 19:00:00
19:00:00 a 07:00:00</t>
  </si>
  <si>
    <t>TARDE
NOCHE</t>
  </si>
  <si>
    <t>T/N/M</t>
  </si>
  <si>
    <t>TARDE MEDICINA INTERNA
NOCHE MEDICINA INTERNA</t>
  </si>
  <si>
    <t>T/N/U</t>
  </si>
  <si>
    <t>19:00:00 a 07:00:00
13:00:00 a 19:00:00</t>
  </si>
  <si>
    <t>NOCHE URGENCIOLOGIA
TARDE URGENCIOLOGIA</t>
  </si>
  <si>
    <t>T/U</t>
  </si>
  <si>
    <t>TARDE URGENCIOLOGIA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</si>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</sst>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Calibri"/>
      <scheme val="minor"/>
    </font>
    <font>
      <sz val="10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wrapText="1"/>
      <protection hidden="1"/>
    </xf>
    <xf numFmtId="0" fontId="9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164" fontId="2" fillId="0" borderId="3" xfId="0" applyNumberFormat="1" applyFont="1" applyBorder="1" applyAlignment="1" applyProtection="1">
      <alignment horizontal="center" vertical="center" wrapText="1"/>
      <protection hidden="1"/>
    </xf>
    <xf numFmtId="0" fontId="10" fillId="2" borderId="1" xfId="0" applyFont="1" applyFill="1" applyBorder="1" applyAlignment="1" applyProtection="1">
      <alignment vertical="top" wrapText="1"/>
      <protection hidden="1"/>
    </xf>
    <xf numFmtId="0" fontId="10" fillId="2" borderId="11" xfId="0" applyFont="1" applyFill="1" applyBorder="1" applyAlignment="1" applyProtection="1">
      <alignment vertical="top" wrapText="1"/>
      <protection hidden="1"/>
    </xf>
    <xf numFmtId="0" fontId="10" fillId="2" borderId="2" xfId="0" applyFont="1" applyFill="1" applyBorder="1" applyAlignment="1" applyProtection="1">
      <alignment vertical="top" wrapText="1"/>
      <protection hidden="1"/>
    </xf>
    <xf numFmtId="0" fontId="11" fillId="0" borderId="12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Protection="1">
      <protection hidden="1"/>
    </xf>
    <xf numFmtId="0" fontId="8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14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Protection="1">
      <protection hidden="1"/>
    </xf>
    <xf numFmtId="0" fontId="4" fillId="0" borderId="16" xfId="0" applyFont="1" applyBorder="1" applyProtection="1"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8" xfId="0" applyFont="1" applyBorder="1" applyProtection="1"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3" fillId="0" borderId="19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20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5" fillId="0" borderId="22" xfId="0" applyFont="1" applyBorder="1" applyAlignment="1" applyProtection="1">
      <alignment horizontal="center" vertical="center" wrapText="1"/>
      <protection hidden="1"/>
    </xf>
    <xf numFmtId="0" fontId="5" fillId="0" borderId="23" xfId="0" applyFont="1" applyBorder="1" applyAlignment="1" applyProtection="1">
      <alignment horizontal="center" vertical="center" wrapText="1"/>
      <protection hidden="1"/>
    </xf>
    <xf numFmtId="0" fontId="5" fillId="0" borderId="24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8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51">
  <autoFilter ref="A1:A51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1"/>
  <sheetViews>
    <sheetView tabSelected="1" zoomScale="63" zoomScaleNormal="63" workbookViewId="0">
      <pane xSplit="4" ySplit="12" topLeftCell="E13" activePane="bottomRight" state="frozen"/>
      <selection pane="topRight"/>
      <selection pane="bottomLeft"/>
      <selection pane="bottomRight" activeCell="A26" sqref="A26:XFD26"/>
    </sheetView>
  </sheetViews>
  <sheetFormatPr baseColWidth="10" defaultColWidth="9.3984375" defaultRowHeight="15.6" x14ac:dyDescent="0.3"/>
  <cols>
    <col min="1" max="2" width="9.3984375" style="11"/>
    <col min="3" max="3" width="30.69921875" style="11" customWidth="1"/>
    <col min="4" max="4" width="21.09765625" style="11" customWidth="1"/>
    <col min="5" max="37" width="8.09765625" style="11" customWidth="1"/>
    <col min="38" max="38" width="11.19921875" style="11" customWidth="1"/>
    <col min="39" max="39" width="9.3984375" style="11"/>
  </cols>
  <sheetData>
    <row r="1" spans="2:40" ht="16.5" customHeight="1" x14ac:dyDescent="0.3"/>
    <row r="2" spans="2:40" ht="18" customHeight="1" x14ac:dyDescent="0.3">
      <c r="C2" s="12"/>
      <c r="D2" s="45" t="s">
        <v>0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58" t="s">
        <v>1</v>
      </c>
      <c r="AD2" s="59"/>
      <c r="AE2" s="59"/>
      <c r="AF2" s="59"/>
      <c r="AG2" s="59"/>
      <c r="AH2" s="59"/>
      <c r="AI2" s="60"/>
    </row>
    <row r="3" spans="2:40" x14ac:dyDescent="0.3">
      <c r="C3" s="12"/>
      <c r="D3" s="13" t="s">
        <v>2</v>
      </c>
      <c r="E3" s="54" t="s">
        <v>3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1" t="s">
        <v>4</v>
      </c>
      <c r="AD3" s="52"/>
      <c r="AE3" s="52"/>
      <c r="AF3" s="52"/>
      <c r="AG3" s="52"/>
      <c r="AH3" s="52"/>
      <c r="AI3" s="53"/>
    </row>
    <row r="4" spans="2:40" x14ac:dyDescent="0.3">
      <c r="C4" s="14" t="s">
        <v>5</v>
      </c>
      <c r="D4" s="15" t="s">
        <v>6</v>
      </c>
      <c r="E4" s="54" t="s">
        <v>7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1" t="s">
        <v>8</v>
      </c>
      <c r="AD4" s="52"/>
      <c r="AE4" s="52"/>
      <c r="AF4" s="52"/>
      <c r="AG4" s="52"/>
      <c r="AH4" s="52"/>
      <c r="AI4" s="53"/>
    </row>
    <row r="5" spans="2:40" x14ac:dyDescent="0.3">
      <c r="C5" s="14">
        <v>38</v>
      </c>
      <c r="D5" s="15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2"/>
      <c r="AD5" s="52"/>
      <c r="AE5" s="52"/>
      <c r="AF5" s="52"/>
      <c r="AG5" s="52"/>
      <c r="AH5" s="52"/>
      <c r="AI5" s="53"/>
    </row>
    <row r="6" spans="2:40" x14ac:dyDescent="0.3">
      <c r="C6" s="14"/>
      <c r="D6" s="13" t="s">
        <v>9</v>
      </c>
      <c r="E6" s="54" t="s">
        <v>10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1">
        <v>1</v>
      </c>
      <c r="AD6" s="52"/>
      <c r="AE6" s="52"/>
      <c r="AF6" s="52"/>
      <c r="AG6" s="52"/>
      <c r="AH6" s="52"/>
      <c r="AI6" s="53"/>
    </row>
    <row r="7" spans="2:40" ht="16.5" customHeight="1" x14ac:dyDescent="0.3">
      <c r="C7" s="12"/>
      <c r="D7" s="16" t="s">
        <v>11</v>
      </c>
      <c r="E7" s="54" t="s">
        <v>12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5" t="s">
        <v>13</v>
      </c>
      <c r="AD7" s="56"/>
      <c r="AE7" s="56"/>
      <c r="AF7" s="56"/>
      <c r="AG7" s="56"/>
      <c r="AH7" s="56"/>
      <c r="AI7" s="57"/>
    </row>
    <row r="8" spans="2:40" ht="16.5" customHeight="1" x14ac:dyDescent="0.3">
      <c r="C8" s="1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18"/>
      <c r="AH8" s="18"/>
      <c r="AI8" s="18"/>
    </row>
    <row r="9" spans="2:40" ht="16.5" customHeight="1" x14ac:dyDescent="0.3">
      <c r="C9" s="20"/>
      <c r="D9" s="21"/>
      <c r="E9" s="65" t="s">
        <v>14</v>
      </c>
      <c r="F9" s="65"/>
      <c r="G9" s="65"/>
      <c r="H9" s="65" t="s">
        <v>15</v>
      </c>
      <c r="I9" s="65"/>
      <c r="J9" s="65"/>
      <c r="K9" s="65"/>
      <c r="L9" s="65"/>
      <c r="M9" s="65"/>
      <c r="N9" s="65"/>
      <c r="O9" s="65" t="s">
        <v>16</v>
      </c>
      <c r="P9" s="65"/>
      <c r="Q9" s="65"/>
      <c r="R9" s="65">
        <v>2026</v>
      </c>
      <c r="S9" s="65"/>
      <c r="T9" s="65"/>
      <c r="U9" s="65"/>
      <c r="V9" s="65"/>
      <c r="W9" s="22" t="s">
        <v>17</v>
      </c>
      <c r="X9" s="72" t="s">
        <v>18</v>
      </c>
      <c r="Y9" s="73"/>
      <c r="Z9" s="73"/>
      <c r="AA9" s="73"/>
      <c r="AB9" s="73"/>
      <c r="AC9" s="73"/>
      <c r="AD9" s="74"/>
      <c r="AE9" s="72" t="s">
        <v>19</v>
      </c>
      <c r="AF9" s="73"/>
      <c r="AG9" s="73"/>
      <c r="AH9" s="73"/>
      <c r="AI9" s="75"/>
    </row>
    <row r="10" spans="2:40" ht="16.5" customHeight="1" x14ac:dyDescent="0.3"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19"/>
      <c r="S10" s="19"/>
      <c r="T10" s="23"/>
      <c r="U10" s="23"/>
      <c r="V10" s="23"/>
      <c r="W10" s="23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2:40" x14ac:dyDescent="0.3">
      <c r="C11" s="61" t="s">
        <v>20</v>
      </c>
      <c r="D11" s="63" t="s">
        <v>21</v>
      </c>
      <c r="E11" s="24">
        <v>1</v>
      </c>
      <c r="F11" s="24">
        <v>2</v>
      </c>
      <c r="G11" s="24">
        <v>3</v>
      </c>
      <c r="H11" s="24">
        <v>4</v>
      </c>
      <c r="I11" s="24">
        <v>5</v>
      </c>
      <c r="J11" s="24">
        <v>6</v>
      </c>
      <c r="K11" s="24">
        <v>7</v>
      </c>
      <c r="L11" s="24">
        <v>8</v>
      </c>
      <c r="M11" s="24">
        <v>9</v>
      </c>
      <c r="N11" s="24">
        <v>10</v>
      </c>
      <c r="O11" s="24">
        <v>11</v>
      </c>
      <c r="P11" s="24">
        <v>12</v>
      </c>
      <c r="Q11" s="24">
        <v>13</v>
      </c>
      <c r="R11" s="24">
        <v>14</v>
      </c>
      <c r="S11" s="24">
        <v>15</v>
      </c>
      <c r="T11" s="24">
        <v>16</v>
      </c>
      <c r="U11" s="24">
        <v>17</v>
      </c>
      <c r="V11" s="24">
        <v>18</v>
      </c>
      <c r="W11" s="24">
        <v>19</v>
      </c>
      <c r="X11" s="24">
        <v>20</v>
      </c>
      <c r="Y11" s="24">
        <v>21</v>
      </c>
      <c r="Z11" s="24">
        <v>22</v>
      </c>
      <c r="AA11" s="24">
        <v>23</v>
      </c>
      <c r="AB11" s="24">
        <v>24</v>
      </c>
      <c r="AC11" s="24">
        <v>25</v>
      </c>
      <c r="AD11" s="24">
        <v>26</v>
      </c>
      <c r="AE11" s="24">
        <v>27</v>
      </c>
      <c r="AF11" s="24">
        <v>28</v>
      </c>
      <c r="AG11" s="24">
        <v>29</v>
      </c>
      <c r="AH11" s="24">
        <v>30</v>
      </c>
      <c r="AI11" s="24">
        <v>31</v>
      </c>
      <c r="AJ11" s="24"/>
      <c r="AK11" s="24"/>
      <c r="AL11" s="25" t="s">
        <v>22</v>
      </c>
    </row>
    <row r="12" spans="2:40" x14ac:dyDescent="0.3">
      <c r="C12" s="62"/>
      <c r="D12" s="64"/>
      <c r="E12" s="24" t="s">
        <v>23</v>
      </c>
      <c r="F12" s="24" t="s">
        <v>24</v>
      </c>
      <c r="G12" s="24" t="s">
        <v>25</v>
      </c>
      <c r="H12" s="24" t="s">
        <v>25</v>
      </c>
      <c r="I12" s="24" t="s">
        <v>26</v>
      </c>
      <c r="J12" s="24" t="s">
        <v>27</v>
      </c>
      <c r="K12" s="24" t="s">
        <v>28</v>
      </c>
      <c r="L12" s="24" t="s">
        <v>23</v>
      </c>
      <c r="M12" s="24" t="s">
        <v>24</v>
      </c>
      <c r="N12" s="24" t="s">
        <v>25</v>
      </c>
      <c r="O12" s="24" t="s">
        <v>25</v>
      </c>
      <c r="P12" s="24" t="s">
        <v>26</v>
      </c>
      <c r="Q12" s="24" t="s">
        <v>27</v>
      </c>
      <c r="R12" s="24" t="s">
        <v>28</v>
      </c>
      <c r="S12" s="24" t="s">
        <v>23</v>
      </c>
      <c r="T12" s="24" t="s">
        <v>24</v>
      </c>
      <c r="U12" s="24" t="s">
        <v>25</v>
      </c>
      <c r="V12" s="24" t="s">
        <v>25</v>
      </c>
      <c r="W12" s="24" t="s">
        <v>26</v>
      </c>
      <c r="X12" s="24" t="s">
        <v>27</v>
      </c>
      <c r="Y12" s="24" t="s">
        <v>28</v>
      </c>
      <c r="Z12" s="24" t="s">
        <v>23</v>
      </c>
      <c r="AA12" s="24" t="s">
        <v>24</v>
      </c>
      <c r="AB12" s="24" t="s">
        <v>25</v>
      </c>
      <c r="AC12" s="24" t="s">
        <v>25</v>
      </c>
      <c r="AD12" s="24" t="s">
        <v>26</v>
      </c>
      <c r="AE12" s="24" t="s">
        <v>27</v>
      </c>
      <c r="AF12" s="24" t="s">
        <v>28</v>
      </c>
      <c r="AG12" s="24" t="s">
        <v>23</v>
      </c>
      <c r="AH12" s="24" t="s">
        <v>24</v>
      </c>
      <c r="AI12" s="24" t="s">
        <v>25</v>
      </c>
      <c r="AJ12" s="24"/>
      <c r="AK12" s="24"/>
      <c r="AL12" s="26"/>
    </row>
    <row r="13" spans="2:40" x14ac:dyDescent="0.3">
      <c r="B13" s="36">
        <v>1</v>
      </c>
      <c r="C13" s="37" t="s">
        <v>29</v>
      </c>
      <c r="D13" s="38">
        <v>80075647</v>
      </c>
      <c r="E13" s="7" t="s">
        <v>23</v>
      </c>
      <c r="F13" s="7" t="s">
        <v>23</v>
      </c>
      <c r="G13" s="7" t="s">
        <v>23</v>
      </c>
      <c r="H13" s="7" t="s">
        <v>23</v>
      </c>
      <c r="I13" s="7" t="s">
        <v>23</v>
      </c>
      <c r="J13" s="7" t="s">
        <v>23</v>
      </c>
      <c r="K13" s="7"/>
      <c r="L13" s="7"/>
      <c r="M13" s="7" t="s">
        <v>23</v>
      </c>
      <c r="N13" s="7" t="s">
        <v>23</v>
      </c>
      <c r="O13" s="7" t="s">
        <v>23</v>
      </c>
      <c r="P13" s="7" t="s">
        <v>23</v>
      </c>
      <c r="Q13" s="7" t="s">
        <v>23</v>
      </c>
      <c r="R13" s="7"/>
      <c r="S13" s="7"/>
      <c r="T13" s="7" t="s">
        <v>23</v>
      </c>
      <c r="U13" s="7" t="s">
        <v>23</v>
      </c>
      <c r="V13" s="7" t="s">
        <v>23</v>
      </c>
      <c r="W13" s="7" t="s">
        <v>25</v>
      </c>
      <c r="X13" s="7" t="s">
        <v>23</v>
      </c>
      <c r="Y13" s="7"/>
      <c r="Z13" s="7" t="s">
        <v>23</v>
      </c>
      <c r="AA13" s="7" t="s">
        <v>23</v>
      </c>
      <c r="AB13" s="7" t="s">
        <v>23</v>
      </c>
      <c r="AC13" s="7"/>
      <c r="AD13" s="7" t="s">
        <v>25</v>
      </c>
      <c r="AE13" s="7" t="s">
        <v>23</v>
      </c>
      <c r="AF13" s="7" t="s">
        <v>23</v>
      </c>
      <c r="AG13" s="7"/>
      <c r="AH13" s="7" t="s">
        <v>23</v>
      </c>
      <c r="AI13" s="7" t="s">
        <v>23</v>
      </c>
      <c r="AJ13" s="7"/>
      <c r="AK13" s="7"/>
      <c r="AL13" s="8">
        <f>IFERROR(VLOOKUP(E13,$B$81:$E$107,4,FALSE),0)+
IFERROR(VLOOKUP(F13,$B$81:$E$107,4,FALSE),0)+
IFERROR(VLOOKUP(G13,$B$81:$E$107,4,FALSE),0)+
IFERROR(VLOOKUP(H13,$B$81:$E$107,4,FALSE),0)+
IFERROR(VLOOKUP(I13,$B$81:$E$107,4,FALSE),0)+
IFERROR(VLOOKUP(J13,$B$81:$E$107,4,FALSE),0)+
IFERROR(VLOOKUP(K13,$B$81:$E$107,4,FALSE),0)+
IFERROR(VLOOKUP(L13,$B$81:$E$107,4,FALSE),0)+
IFERROR(VLOOKUP(M13,$B$81:$E$107,4,FALSE),0)+
IFERROR(VLOOKUP(N13,$B$81:$E$107,4,FALSE),0)+
IFERROR(VLOOKUP(O13,$B$81:$E$107,4,FALSE),0)+
IFERROR(VLOOKUP(P13,$B$81:$E$107,4,FALSE),0)+
IFERROR(VLOOKUP(Q13,$B$81:$E$107,4,FALSE),0)+
IFERROR(VLOOKUP(R13,$B$81:$E$107,4,FALSE),0)+
IFERROR(VLOOKUP(S13,$B$81:$E$107,4,FALSE),0)+
IFERROR(VLOOKUP(T13,$B$81:$E$107,4,FALSE),0)+
IFERROR(VLOOKUP(U13,$B$81:$E$107,4,FALSE),0)+
IFERROR(VLOOKUP(V13,$B$81:$E$107,4,FALSE),0)+
IFERROR(VLOOKUP(W13,$B$81:$E$107,4,FALSE),0)+
IFERROR(VLOOKUP(X13,$B$81:$E$107,4,FALSE),0)+
IFERROR(VLOOKUP(Y13,$B$81:$E$107,4,FALSE),0)+
IFERROR(VLOOKUP(Z13,$B$81:$E$107,4,FALSE),0)+
IFERROR(VLOOKUP(AA13,$B$81:$E$107,4,FALSE),0)+
IFERROR(VLOOKUP(AB13,$B$81:$E$107,4,FALSE),0)+
IFERROR(VLOOKUP(AC13,$B$81:$E$107,4,FALSE),0)+
IFERROR(VLOOKUP(AD13,$B$81:$E$107,4,FALSE),0)+
IFERROR(VLOOKUP(AE13,$B$81:$E$107,4,FALSE),0)+
IFERROR(VLOOKUP(AF13,$B$81:$E$107,4,FALSE),0)+
IFERROR(VLOOKUP(AG13,$B$81:$E$107,4,FALSE),0)+
IFERROR(VLOOKUP(AH13,$B$81:$E$107,4,FALSE),0)+
IFERROR(VLOOKUP(AI13,$B$81:$E$107,4,FALSE),0)+
IFERROR(VLOOKUP(AJ13,$B$81:$E$107,4,FALSE),0)</f>
        <v>276</v>
      </c>
      <c r="AM13" s="9"/>
      <c r="AN13" s="9"/>
    </row>
    <row r="14" spans="2:40" x14ac:dyDescent="0.3">
      <c r="B14" s="36"/>
      <c r="C14" s="37" t="s">
        <v>29</v>
      </c>
      <c r="D14" s="38">
        <v>80075647</v>
      </c>
      <c r="E14" s="7"/>
      <c r="F14" s="7" t="s">
        <v>66</v>
      </c>
      <c r="G14" s="7"/>
      <c r="H14" s="7"/>
      <c r="I14" s="7" t="s">
        <v>66</v>
      </c>
      <c r="J14" s="7"/>
      <c r="K14" s="7"/>
      <c r="L14" s="7"/>
      <c r="M14" s="7" t="s">
        <v>66</v>
      </c>
      <c r="N14" s="7"/>
      <c r="O14" s="7"/>
      <c r="P14" s="7" t="s">
        <v>66</v>
      </c>
      <c r="Q14" s="7"/>
      <c r="R14" s="7"/>
      <c r="S14" s="7"/>
      <c r="T14" s="7" t="s">
        <v>66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 t="s">
        <v>66</v>
      </c>
      <c r="AG14" s="7"/>
      <c r="AH14" s="7" t="s">
        <v>66</v>
      </c>
      <c r="AI14" s="7"/>
      <c r="AJ14" s="7"/>
      <c r="AK14" s="7"/>
      <c r="AL14" s="8">
        <v>84</v>
      </c>
      <c r="AM14" s="9"/>
      <c r="AN14" s="9"/>
    </row>
    <row r="15" spans="2:40" x14ac:dyDescent="0.3">
      <c r="B15" s="36">
        <v>2</v>
      </c>
      <c r="C15" s="37" t="s">
        <v>30</v>
      </c>
      <c r="D15" s="38">
        <v>94543440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 t="s">
        <v>23</v>
      </c>
      <c r="AH15" s="7"/>
      <c r="AI15" s="7"/>
      <c r="AJ15" s="7"/>
      <c r="AK15" s="7"/>
      <c r="AL15" s="8">
        <f>IFERROR(VLOOKUP(E15,$B$81:$E$107,4,FALSE),0)+
IFERROR(VLOOKUP(F15,$B$81:$E$107,4,FALSE),0)+
IFERROR(VLOOKUP(G15,$B$81:$E$107,4,FALSE),0)+
IFERROR(VLOOKUP(H15,$B$81:$E$107,4,FALSE),0)+
IFERROR(VLOOKUP(I15,$B$81:$E$107,4,FALSE),0)+
IFERROR(VLOOKUP(J15,$B$81:$E$107,4,FALSE),0)+
IFERROR(VLOOKUP(K15,$B$81:$E$107,4,FALSE),0)+
IFERROR(VLOOKUP(L15,$B$81:$E$107,4,FALSE),0)+
IFERROR(VLOOKUP(M15,$B$81:$E$107,4,FALSE),0)+
IFERROR(VLOOKUP(N15,$B$81:$E$107,4,FALSE),0)+
IFERROR(VLOOKUP(O15,$B$81:$E$107,4,FALSE),0)+
IFERROR(VLOOKUP(P15,$B$81:$E$107,4,FALSE),0)+
IFERROR(VLOOKUP(Q15,$B$81:$E$107,4,FALSE),0)+
IFERROR(VLOOKUP(R15,$B$81:$E$107,4,FALSE),0)+
IFERROR(VLOOKUP(S15,$B$81:$E$107,4,FALSE),0)+
IFERROR(VLOOKUP(T15,$B$81:$E$107,4,FALSE),0)+
IFERROR(VLOOKUP(U15,$B$81:$E$107,4,FALSE),0)+
IFERROR(VLOOKUP(V15,$B$81:$E$107,4,FALSE),0)+
IFERROR(VLOOKUP(W15,$B$81:$E$107,4,FALSE),0)+
IFERROR(VLOOKUP(X15,$B$81:$E$107,4,FALSE),0)+
IFERROR(VLOOKUP(Y15,$B$81:$E$107,4,FALSE),0)+
IFERROR(VLOOKUP(Z15,$B$81:$E$107,4,FALSE),0)+
IFERROR(VLOOKUP(AA15,$B$81:$E$107,4,FALSE),0)+
IFERROR(VLOOKUP(AB15,$B$81:$E$107,4,FALSE),0)+
IFERROR(VLOOKUP(AC15,$B$81:$E$107,4,FALSE),0)+
IFERROR(VLOOKUP(AD15,$B$81:$E$107,4,FALSE),0)+
IFERROR(VLOOKUP(AE15,$B$81:$E$107,4,FALSE),0)+
IFERROR(VLOOKUP(AF15,$B$81:$E$107,4,FALSE),0)+
IFERROR(VLOOKUP(AG15,$B$81:$E$107,4,FALSE),0)+
IFERROR(VLOOKUP(AH15,$B$81:$E$107,4,FALSE),0)+
IFERROR(VLOOKUP(AI15,$B$81:$E$107,4,FALSE),0)+
IFERROR(VLOOKUP(AJ15,$B$81:$E$107,4,FALSE),0)</f>
        <v>12</v>
      </c>
      <c r="AM15" s="9"/>
      <c r="AN15" s="9"/>
    </row>
    <row r="16" spans="2:40" x14ac:dyDescent="0.3">
      <c r="B16" s="36"/>
      <c r="C16" s="37" t="s">
        <v>30</v>
      </c>
      <c r="D16" s="38">
        <v>94543440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 t="s">
        <v>66</v>
      </c>
      <c r="AH16" s="7"/>
      <c r="AI16" s="7"/>
      <c r="AJ16" s="7"/>
      <c r="AK16" s="7"/>
      <c r="AL16" s="8">
        <v>12</v>
      </c>
      <c r="AM16" s="9"/>
      <c r="AN16" s="9"/>
    </row>
    <row r="17" spans="2:40" x14ac:dyDescent="0.3">
      <c r="B17" s="36">
        <v>3</v>
      </c>
      <c r="C17" s="37" t="s">
        <v>31</v>
      </c>
      <c r="D17" s="38">
        <v>1049610828</v>
      </c>
      <c r="E17" s="7" t="s">
        <v>71</v>
      </c>
      <c r="F17" s="7"/>
      <c r="G17" s="7" t="s">
        <v>71</v>
      </c>
      <c r="H17" s="7"/>
      <c r="I17" s="7"/>
      <c r="J17" s="7"/>
      <c r="K17" s="7"/>
      <c r="L17" s="7" t="s">
        <v>46</v>
      </c>
      <c r="M17" s="7"/>
      <c r="N17" s="7" t="s">
        <v>71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>
        <f>IFERROR(VLOOKUP(E17,$B$81:$E$107,4,FALSE),0)+
IFERROR(VLOOKUP(F17,$B$81:$E$107,4,FALSE),0)+
IFERROR(VLOOKUP(G17,$B$81:$E$107,4,FALSE),0)+
IFERROR(VLOOKUP(H17,$B$81:$E$107,4,FALSE),0)+
IFERROR(VLOOKUP(I17,$B$81:$E$107,4,FALSE),0)+
IFERROR(VLOOKUP(J17,$B$81:$E$107,4,FALSE),0)+
IFERROR(VLOOKUP(K17,$B$81:$E$107,4,FALSE),0)+
IFERROR(VLOOKUP(L17,$B$81:$E$107,4,FALSE),0)+
IFERROR(VLOOKUP(M17,$B$81:$E$107,4,FALSE),0)+
IFERROR(VLOOKUP(N17,$B$81:$E$107,4,FALSE),0)+
IFERROR(VLOOKUP(O17,$B$81:$E$107,4,FALSE),0)+
IFERROR(VLOOKUP(P17,$B$81:$E$107,4,FALSE),0)+
IFERROR(VLOOKUP(Q17,$B$81:$E$107,4,FALSE),0)+
IFERROR(VLOOKUP(R17,$B$81:$E$107,4,FALSE),0)+
IFERROR(VLOOKUP(S17,$B$81:$E$107,4,FALSE),0)+
IFERROR(VLOOKUP(T17,$B$81:$E$107,4,FALSE),0)+
IFERROR(VLOOKUP(U17,$B$81:$E$107,4,FALSE),0)+
IFERROR(VLOOKUP(V17,$B$81:$E$107,4,FALSE),0)+
IFERROR(VLOOKUP(W17,$B$81:$E$107,4,FALSE),0)+
IFERROR(VLOOKUP(X17,$B$81:$E$107,4,FALSE),0)+
IFERROR(VLOOKUP(Y17,$B$81:$E$107,4,FALSE),0)+
IFERROR(VLOOKUP(Z17,$B$81:$E$107,4,FALSE),0)+
IFERROR(VLOOKUP(AA17,$B$81:$E$107,4,FALSE),0)+
IFERROR(VLOOKUP(AB17,$B$81:$E$107,4,FALSE),0)+
IFERROR(VLOOKUP(AC17,$B$81:$E$107,4,FALSE),0)+
IFERROR(VLOOKUP(AD17,$B$81:$E$107,4,FALSE),0)+
IFERROR(VLOOKUP(AE17,$B$81:$E$107,4,FALSE),0)+
IFERROR(VLOOKUP(AF17,$B$81:$E$107,4,FALSE),0)+
IFERROR(VLOOKUP(AG17,$B$81:$E$107,4,FALSE),0)+
IFERROR(VLOOKUP(AH17,$B$81:$E$107,4,FALSE),0)+
IFERROR(VLOOKUP(AI17,$B$81:$E$107,4,FALSE),0)+
IFERROR(VLOOKUP(AJ17,$B$81:$E$107,4,FALSE),0)</f>
        <v>48</v>
      </c>
      <c r="AM17" s="9"/>
      <c r="AN17" s="9"/>
    </row>
    <row r="18" spans="2:40" x14ac:dyDescent="0.3">
      <c r="B18" s="36"/>
      <c r="C18" s="37" t="s">
        <v>31</v>
      </c>
      <c r="D18" s="38">
        <v>1049610828</v>
      </c>
      <c r="E18" s="7"/>
      <c r="F18" s="7"/>
      <c r="G18" s="7"/>
      <c r="H18" s="7"/>
      <c r="I18" s="7"/>
      <c r="J18" s="7"/>
      <c r="K18" s="7"/>
      <c r="L18" s="7" t="s">
        <v>71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8">
        <v>12</v>
      </c>
      <c r="AM18" s="9"/>
      <c r="AN18" s="9"/>
    </row>
    <row r="19" spans="2:40" ht="15.75" customHeight="1" x14ac:dyDescent="0.3">
      <c r="B19" s="36">
        <v>4</v>
      </c>
      <c r="C19" s="37" t="s">
        <v>32</v>
      </c>
      <c r="D19" s="38">
        <v>1136879384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 t="s">
        <v>69</v>
      </c>
      <c r="V19" s="7"/>
      <c r="W19" s="7"/>
      <c r="X19" s="7"/>
      <c r="Y19" s="7"/>
      <c r="Z19" s="7"/>
      <c r="AA19" s="7"/>
      <c r="AB19" s="7" t="s">
        <v>69</v>
      </c>
      <c r="AC19" s="7"/>
      <c r="AD19" s="7"/>
      <c r="AE19" s="7"/>
      <c r="AF19" s="7"/>
      <c r="AG19" s="7"/>
      <c r="AH19" s="7"/>
      <c r="AI19" s="7" t="s">
        <v>69</v>
      </c>
      <c r="AJ19" s="7"/>
      <c r="AK19" s="7"/>
      <c r="AL19" s="8">
        <f>IFERROR(VLOOKUP(E19,$B$81:$E$107,4,FALSE),0)+
IFERROR(VLOOKUP(F19,$B$81:$E$107,4,FALSE),0)+
IFERROR(VLOOKUP(G19,$B$81:$E$107,4,FALSE),0)+
IFERROR(VLOOKUP(H19,$B$81:$E$107,4,FALSE),0)+
IFERROR(VLOOKUP(I19,$B$81:$E$107,4,FALSE),0)+
IFERROR(VLOOKUP(J19,$B$81:$E$107,4,FALSE),0)+
IFERROR(VLOOKUP(K19,$B$81:$E$107,4,FALSE),0)+
IFERROR(VLOOKUP(L19,$B$81:$E$107,4,FALSE),0)+
IFERROR(VLOOKUP(M19,$B$81:$E$107,4,FALSE),0)+
IFERROR(VLOOKUP(N19,$B$81:$E$107,4,FALSE),0)+
IFERROR(VLOOKUP(O19,$B$81:$E$107,4,FALSE),0)+
IFERROR(VLOOKUP(P19,$B$81:$E$107,4,FALSE),0)+
IFERROR(VLOOKUP(Q19,$B$81:$E$107,4,FALSE),0)+
IFERROR(VLOOKUP(R19,$B$81:$E$107,4,FALSE),0)+
IFERROR(VLOOKUP(S19,$B$81:$E$107,4,FALSE),0)+
IFERROR(VLOOKUP(T19,$B$81:$E$107,4,FALSE),0)+
IFERROR(VLOOKUP(U19,$B$81:$E$107,4,FALSE),0)+
IFERROR(VLOOKUP(V19,$B$81:$E$107,4,FALSE),0)+
IFERROR(VLOOKUP(W19,$B$81:$E$107,4,FALSE),0)+
IFERROR(VLOOKUP(X19,$B$81:$E$107,4,FALSE),0)+
IFERROR(VLOOKUP(Y19,$B$81:$E$107,4,FALSE),0)+
IFERROR(VLOOKUP(Z19,$B$81:$E$107,4,FALSE),0)+
IFERROR(VLOOKUP(AA19,$B$81:$E$107,4,FALSE),0)+
IFERROR(VLOOKUP(AB19,$B$81:$E$107,4,FALSE),0)+
IFERROR(VLOOKUP(AC19,$B$81:$E$107,4,FALSE),0)+
IFERROR(VLOOKUP(AD19,$B$81:$E$107,4,FALSE),0)+
IFERROR(VLOOKUP(AE19,$B$81:$E$107,4,FALSE),0)+
IFERROR(VLOOKUP(AF19,$B$81:$E$107,4,FALSE),0)+
IFERROR(VLOOKUP(AG19,$B$81:$E$107,4,FALSE),0)+
IFERROR(VLOOKUP(AH19,$B$81:$E$107,4,FALSE),0)+
IFERROR(VLOOKUP(AI19,$B$81:$E$107,4,FALSE),0)+
IFERROR(VLOOKUP(AJ19,$B$81:$E$107,4,FALSE),0)</f>
        <v>36</v>
      </c>
      <c r="AM19" s="9"/>
      <c r="AN19" s="9"/>
    </row>
    <row r="20" spans="2:40" ht="15.75" customHeight="1" x14ac:dyDescent="0.3">
      <c r="B20" s="36">
        <v>5</v>
      </c>
      <c r="C20" s="37" t="s">
        <v>33</v>
      </c>
      <c r="D20" s="37">
        <v>1054678655</v>
      </c>
      <c r="E20" s="7"/>
      <c r="F20" s="7"/>
      <c r="G20" s="7"/>
      <c r="H20" s="7"/>
      <c r="I20" s="7"/>
      <c r="J20" s="7"/>
      <c r="K20" s="7" t="s">
        <v>46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>IFERROR(VLOOKUP(E20,$B$81:$E$107,4,FALSE),0)+
IFERROR(VLOOKUP(F20,$B$81:$E$107,4,FALSE),0)+
IFERROR(VLOOKUP(G20,$B$81:$E$107,4,FALSE),0)+
IFERROR(VLOOKUP(H20,$B$81:$E$107,4,FALSE),0)+
IFERROR(VLOOKUP(I20,$B$81:$E$107,4,FALSE),0)+
IFERROR(VLOOKUP(J20,$B$81:$E$107,4,FALSE),0)+
IFERROR(VLOOKUP(K20,$B$81:$E$107,4,FALSE),0)+
IFERROR(VLOOKUP(L20,$B$81:$E$107,4,FALSE),0)+
IFERROR(VLOOKUP(M20,$B$81:$E$107,4,FALSE),0)+
IFERROR(VLOOKUP(N20,$B$81:$E$107,4,FALSE),0)+
IFERROR(VLOOKUP(O20,$B$81:$E$107,4,FALSE),0)+
IFERROR(VLOOKUP(P20,$B$81:$E$107,4,FALSE),0)+
IFERROR(VLOOKUP(Q20,$B$81:$E$107,4,FALSE),0)+
IFERROR(VLOOKUP(R20,$B$81:$E$107,4,FALSE),0)+
IFERROR(VLOOKUP(S20,$B$81:$E$107,4,FALSE),0)+
IFERROR(VLOOKUP(T20,$B$81:$E$107,4,FALSE),0)+
IFERROR(VLOOKUP(U20,$B$81:$E$107,4,FALSE),0)+
IFERROR(VLOOKUP(V20,$B$81:$E$107,4,FALSE),0)+
IFERROR(VLOOKUP(W20,$B$81:$E$107,4,FALSE),0)+
IFERROR(VLOOKUP(X20,$B$81:$E$107,4,FALSE),0)+
IFERROR(VLOOKUP(Y20,$B$81:$E$107,4,FALSE),0)+
IFERROR(VLOOKUP(Z20,$B$81:$E$107,4,FALSE),0)+
IFERROR(VLOOKUP(AA20,$B$81:$E$107,4,FALSE),0)+
IFERROR(VLOOKUP(AB20,$B$81:$E$107,4,FALSE),0)+
IFERROR(VLOOKUP(AC20,$B$81:$E$107,4,FALSE),0)+
IFERROR(VLOOKUP(AD20,$B$81:$E$107,4,FALSE),0)+
IFERROR(VLOOKUP(AE20,$B$81:$E$107,4,FALSE),0)+
IFERROR(VLOOKUP(AF20,$B$81:$E$107,4,FALSE),0)+
IFERROR(VLOOKUP(AG20,$B$81:$E$107,4,FALSE),0)+
IFERROR(VLOOKUP(AH20,$B$81:$E$107,4,FALSE),0)+
IFERROR(VLOOKUP(AI20,$B$81:$E$107,4,FALSE),0)+
IFERROR(VLOOKUP(AJ20,$B$81:$E$107,4,FALSE),0)</f>
        <v>12</v>
      </c>
      <c r="AM20" s="9"/>
      <c r="AN20" s="9"/>
    </row>
    <row r="21" spans="2:40" ht="15.75" customHeight="1" x14ac:dyDescent="0.3">
      <c r="B21" s="36"/>
      <c r="C21" s="37" t="s">
        <v>33</v>
      </c>
      <c r="D21" s="37">
        <v>1054678655</v>
      </c>
      <c r="E21" s="7"/>
      <c r="F21" s="7"/>
      <c r="G21" s="7"/>
      <c r="H21" s="7"/>
      <c r="I21" s="7"/>
      <c r="J21" s="7"/>
      <c r="K21" s="7" t="s">
        <v>71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v>12</v>
      </c>
      <c r="AM21" s="9"/>
      <c r="AN21" s="9"/>
    </row>
    <row r="22" spans="2:40" ht="15.75" customHeight="1" x14ac:dyDescent="0.3">
      <c r="B22" s="36">
        <v>6</v>
      </c>
      <c r="C22" s="37" t="s">
        <v>34</v>
      </c>
      <c r="D22" s="37">
        <v>1018434161</v>
      </c>
      <c r="E22" s="7"/>
      <c r="F22" s="7"/>
      <c r="G22" s="7"/>
      <c r="H22" s="7" t="s">
        <v>73</v>
      </c>
      <c r="I22" s="7"/>
      <c r="J22" s="7" t="s">
        <v>73</v>
      </c>
      <c r="K22" s="7"/>
      <c r="L22" s="7"/>
      <c r="M22" s="7"/>
      <c r="N22" s="7"/>
      <c r="O22" s="7" t="s">
        <v>73</v>
      </c>
      <c r="P22" s="7"/>
      <c r="Q22" s="7" t="s">
        <v>73</v>
      </c>
      <c r="R22" s="7" t="s">
        <v>49</v>
      </c>
      <c r="S22" s="7" t="s">
        <v>49</v>
      </c>
      <c r="T22" s="7"/>
      <c r="U22" s="7"/>
      <c r="V22" s="7" t="s">
        <v>73</v>
      </c>
      <c r="W22" s="7"/>
      <c r="X22" s="7" t="s">
        <v>73</v>
      </c>
      <c r="Y22" s="7"/>
      <c r="Z22" s="7"/>
      <c r="AA22" s="7"/>
      <c r="AB22" s="7"/>
      <c r="AC22" s="7" t="s">
        <v>73</v>
      </c>
      <c r="AD22" s="7"/>
      <c r="AE22" s="7" t="s">
        <v>73</v>
      </c>
      <c r="AF22" s="7"/>
      <c r="AG22" s="7"/>
      <c r="AH22" s="7"/>
      <c r="AI22" s="7"/>
      <c r="AJ22" s="7"/>
      <c r="AK22" s="7"/>
      <c r="AL22" s="8">
        <f t="shared" ref="AL22:AL50" si="0">IFERROR(VLOOKUP(E22,$B$81:$E$107,4,FALSE),0)+
IFERROR(VLOOKUP(F22,$B$81:$E$107,4,FALSE),0)+
IFERROR(VLOOKUP(G22,$B$81:$E$107,4,FALSE),0)+
IFERROR(VLOOKUP(H22,$B$81:$E$107,4,FALSE),0)+
IFERROR(VLOOKUP(I22,$B$81:$E$107,4,FALSE),0)+
IFERROR(VLOOKUP(J22,$B$81:$E$107,4,FALSE),0)+
IFERROR(VLOOKUP(K22,$B$81:$E$107,4,FALSE),0)+
IFERROR(VLOOKUP(L22,$B$81:$E$107,4,FALSE),0)+
IFERROR(VLOOKUP(M22,$B$81:$E$107,4,FALSE),0)+
IFERROR(VLOOKUP(N22,$B$81:$E$107,4,FALSE),0)+
IFERROR(VLOOKUP(O22,$B$81:$E$107,4,FALSE),0)+
IFERROR(VLOOKUP(P22,$B$81:$E$107,4,FALSE),0)+
IFERROR(VLOOKUP(Q22,$B$81:$E$107,4,FALSE),0)+
IFERROR(VLOOKUP(R22,$B$81:$E$107,4,FALSE),0)+
IFERROR(VLOOKUP(S22,$B$81:$E$107,4,FALSE),0)+
IFERROR(VLOOKUP(T22,$B$81:$E$107,4,FALSE),0)+
IFERROR(VLOOKUP(U22,$B$81:$E$107,4,FALSE),0)+
IFERROR(VLOOKUP(V22,$B$81:$E$107,4,FALSE),0)+
IFERROR(VLOOKUP(W22,$B$81:$E$107,4,FALSE),0)+
IFERROR(VLOOKUP(X22,$B$81:$E$107,4,FALSE),0)+
IFERROR(VLOOKUP(Y22,$B$81:$E$107,4,FALSE),0)+
IFERROR(VLOOKUP(Z22,$B$81:$E$107,4,FALSE),0)+
IFERROR(VLOOKUP(AA22,$B$81:$E$107,4,FALSE),0)+
IFERROR(VLOOKUP(AB22,$B$81:$E$107,4,FALSE),0)+
IFERROR(VLOOKUP(AC22,$B$81:$E$107,4,FALSE),0)+
IFERROR(VLOOKUP(AD22,$B$81:$E$107,4,FALSE),0)+
IFERROR(VLOOKUP(AE22,$B$81:$E$107,4,FALSE),0)+
IFERROR(VLOOKUP(AF22,$B$81:$E$107,4,FALSE),0)+
IFERROR(VLOOKUP(AG22,$B$81:$E$107,4,FALSE),0)+
IFERROR(VLOOKUP(AH22,$B$81:$E$107,4,FALSE),0)+
IFERROR(VLOOKUP(AI22,$B$81:$E$107,4,FALSE),0)+
IFERROR(VLOOKUP(AJ22,$B$81:$E$107,4,FALSE),0)</f>
        <v>120</v>
      </c>
      <c r="AM22" s="9"/>
      <c r="AN22" s="9"/>
    </row>
    <row r="23" spans="2:40" ht="15.75" customHeight="1" x14ac:dyDescent="0.3">
      <c r="B23" s="36"/>
      <c r="C23" s="37" t="s">
        <v>34</v>
      </c>
      <c r="D23" s="37">
        <v>1018434161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 t="s">
        <v>73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 t="shared" si="0"/>
        <v>12</v>
      </c>
      <c r="AM23" s="9"/>
      <c r="AN23" s="9"/>
    </row>
    <row r="24" spans="2:40" ht="15.75" customHeight="1" x14ac:dyDescent="0.3">
      <c r="B24" s="36">
        <v>7</v>
      </c>
      <c r="C24" s="37" t="s">
        <v>35</v>
      </c>
      <c r="D24" s="37">
        <v>1032418522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 t="s">
        <v>71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 t="shared" si="0"/>
        <v>12</v>
      </c>
      <c r="AM24" s="9"/>
      <c r="AN24" s="9"/>
    </row>
    <row r="25" spans="2:40" ht="15.75" customHeight="1" x14ac:dyDescent="0.3">
      <c r="B25" s="36"/>
      <c r="C25" s="37" t="s">
        <v>35</v>
      </c>
      <c r="D25" s="37">
        <v>1032418522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/>
      <c r="AM25" s="9"/>
      <c r="AN25" s="9"/>
    </row>
    <row r="26" spans="2:40" ht="15.75" customHeight="1" x14ac:dyDescent="0.3">
      <c r="B26" s="36">
        <v>8</v>
      </c>
      <c r="C26" s="37" t="s">
        <v>36</v>
      </c>
      <c r="D26" s="37">
        <v>1067837079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 t="s">
        <v>80</v>
      </c>
      <c r="X26" s="7"/>
      <c r="Y26" s="7" t="s">
        <v>23</v>
      </c>
      <c r="Z26" s="7" t="s">
        <v>66</v>
      </c>
      <c r="AA26" s="7" t="s">
        <v>66</v>
      </c>
      <c r="AB26" s="7"/>
      <c r="AC26" s="7" t="s">
        <v>23</v>
      </c>
      <c r="AD26" s="7" t="s">
        <v>80</v>
      </c>
      <c r="AE26" s="7"/>
      <c r="AF26" s="7"/>
      <c r="AG26" s="7"/>
      <c r="AH26" s="7"/>
      <c r="AI26" s="7"/>
      <c r="AJ26" s="7"/>
      <c r="AK26" s="7"/>
      <c r="AL26" s="8">
        <f t="shared" si="0"/>
        <v>84</v>
      </c>
      <c r="AM26" s="9"/>
      <c r="AN26" s="9"/>
    </row>
    <row r="27" spans="2:40" ht="15.75" customHeight="1" x14ac:dyDescent="0.3">
      <c r="B27" s="36">
        <v>9</v>
      </c>
      <c r="C27" s="37" t="s">
        <v>36</v>
      </c>
      <c r="D27" s="37">
        <v>1067837079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 t="s">
        <v>66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 t="shared" si="0"/>
        <v>12</v>
      </c>
      <c r="AM27" s="9"/>
      <c r="AN27" s="9"/>
    </row>
    <row r="28" spans="2:40" ht="15.75" customHeight="1" x14ac:dyDescent="0.3">
      <c r="B28" s="36">
        <v>10</v>
      </c>
      <c r="C28" s="37"/>
      <c r="D28" s="3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 t="shared" si="0"/>
        <v>0</v>
      </c>
      <c r="AM28" s="9"/>
      <c r="AN28" s="9"/>
    </row>
    <row r="29" spans="2:40" ht="15.75" customHeight="1" x14ac:dyDescent="0.3">
      <c r="B29" s="36">
        <v>11</v>
      </c>
      <c r="C29" s="37"/>
      <c r="D29" s="3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 t="shared" si="0"/>
        <v>0</v>
      </c>
      <c r="AM29" s="9"/>
      <c r="AN29" s="9"/>
    </row>
    <row r="30" spans="2:40" ht="15.75" customHeight="1" x14ac:dyDescent="0.3">
      <c r="B30" s="36">
        <v>12</v>
      </c>
      <c r="C30" s="37"/>
      <c r="D30" s="3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 t="shared" si="0"/>
        <v>0</v>
      </c>
      <c r="AM30" s="9"/>
      <c r="AN30" s="9"/>
    </row>
    <row r="31" spans="2:40" ht="15.75" customHeight="1" x14ac:dyDescent="0.3">
      <c r="B31" s="36">
        <v>13</v>
      </c>
      <c r="C31" s="37"/>
      <c r="D31" s="3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 t="shared" si="0"/>
        <v>0</v>
      </c>
      <c r="AM31" s="9"/>
      <c r="AN31" s="9"/>
    </row>
    <row r="32" spans="2:40" ht="15.75" customHeight="1" x14ac:dyDescent="0.3">
      <c r="B32" s="36">
        <v>14</v>
      </c>
      <c r="C32" s="37"/>
      <c r="D32" s="3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 t="shared" si="0"/>
        <v>0</v>
      </c>
      <c r="AM32" s="9"/>
      <c r="AN32" s="9"/>
    </row>
    <row r="33" spans="2:40" ht="15.75" customHeight="1" x14ac:dyDescent="0.3">
      <c r="B33" s="36">
        <v>15</v>
      </c>
      <c r="C33" s="37"/>
      <c r="D33" s="3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 t="shared" si="0"/>
        <v>0</v>
      </c>
      <c r="AM33" s="9"/>
      <c r="AN33" s="9"/>
    </row>
    <row r="34" spans="2:40" ht="15.75" customHeight="1" x14ac:dyDescent="0.3">
      <c r="B34" s="36">
        <v>16</v>
      </c>
      <c r="C34" s="37"/>
      <c r="D34" s="3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 t="shared" si="0"/>
        <v>0</v>
      </c>
      <c r="AM34" s="9"/>
      <c r="AN34" s="9"/>
    </row>
    <row r="35" spans="2:40" ht="15.75" customHeight="1" x14ac:dyDescent="0.3">
      <c r="B35" s="36">
        <v>17</v>
      </c>
      <c r="C35" s="37"/>
      <c r="D35" s="3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 t="shared" si="0"/>
        <v>0</v>
      </c>
      <c r="AM35" s="9"/>
      <c r="AN35" s="9"/>
    </row>
    <row r="36" spans="2:40" ht="15.75" customHeight="1" x14ac:dyDescent="0.3">
      <c r="B36" s="36">
        <v>18</v>
      </c>
      <c r="C36" s="37"/>
      <c r="D36" s="3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 t="shared" si="0"/>
        <v>0</v>
      </c>
      <c r="AM36" s="9"/>
      <c r="AN36" s="9"/>
    </row>
    <row r="37" spans="2:40" ht="15.75" customHeight="1" x14ac:dyDescent="0.3">
      <c r="B37" s="36">
        <v>19</v>
      </c>
      <c r="C37" s="37"/>
      <c r="D37" s="3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 t="shared" si="0"/>
        <v>0</v>
      </c>
      <c r="AM37" s="9"/>
      <c r="AN37" s="9"/>
    </row>
    <row r="38" spans="2:40" ht="15.75" customHeight="1" x14ac:dyDescent="0.3">
      <c r="B38" s="36">
        <v>20</v>
      </c>
      <c r="C38" s="37"/>
      <c r="D38" s="3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 t="shared" si="0"/>
        <v>0</v>
      </c>
      <c r="AM38" s="9"/>
      <c r="AN38" s="9"/>
    </row>
    <row r="39" spans="2:40" ht="15.75" customHeight="1" x14ac:dyDescent="0.3">
      <c r="B39" s="36">
        <v>21</v>
      </c>
      <c r="C39" s="37"/>
      <c r="D39" s="3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 t="shared" si="0"/>
        <v>0</v>
      </c>
      <c r="AM39" s="9"/>
      <c r="AN39" s="9"/>
    </row>
    <row r="40" spans="2:40" ht="15.75" customHeight="1" x14ac:dyDescent="0.3">
      <c r="B40" s="36">
        <v>22</v>
      </c>
      <c r="C40" s="37"/>
      <c r="D40" s="3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 t="shared" si="0"/>
        <v>0</v>
      </c>
      <c r="AM40" s="9"/>
      <c r="AN40" s="9"/>
    </row>
    <row r="41" spans="2:40" ht="15.75" customHeight="1" x14ac:dyDescent="0.3">
      <c r="B41" s="36">
        <v>23</v>
      </c>
      <c r="C41" s="37"/>
      <c r="D41" s="3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 t="shared" si="0"/>
        <v>0</v>
      </c>
      <c r="AM41" s="9"/>
      <c r="AN41" s="9"/>
    </row>
    <row r="42" spans="2:40" ht="15.75" customHeight="1" x14ac:dyDescent="0.3">
      <c r="B42" s="36">
        <v>24</v>
      </c>
      <c r="C42" s="37"/>
      <c r="D42" s="3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 t="shared" si="0"/>
        <v>0</v>
      </c>
      <c r="AM42" s="9"/>
      <c r="AN42" s="9"/>
    </row>
    <row r="43" spans="2:40" ht="15.75" customHeight="1" x14ac:dyDescent="0.3">
      <c r="B43" s="36">
        <v>25</v>
      </c>
      <c r="C43" s="37"/>
      <c r="D43" s="3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 t="shared" si="0"/>
        <v>0</v>
      </c>
      <c r="AM43" s="9"/>
      <c r="AN43" s="9"/>
    </row>
    <row r="44" spans="2:40" ht="15.75" customHeight="1" x14ac:dyDescent="0.3">
      <c r="B44" s="36">
        <v>26</v>
      </c>
      <c r="C44" s="37"/>
      <c r="D44" s="3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 t="shared" si="0"/>
        <v>0</v>
      </c>
      <c r="AM44" s="9"/>
      <c r="AN44" s="9"/>
    </row>
    <row r="45" spans="2:40" ht="15.75" customHeight="1" x14ac:dyDescent="0.3">
      <c r="B45" s="36">
        <v>27</v>
      </c>
      <c r="C45" s="37"/>
      <c r="D45" s="3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 t="shared" si="0"/>
        <v>0</v>
      </c>
      <c r="AM45" s="9"/>
      <c r="AN45" s="9"/>
    </row>
    <row r="46" spans="2:40" ht="15.75" customHeight="1" x14ac:dyDescent="0.3">
      <c r="B46" s="36">
        <v>28</v>
      </c>
      <c r="C46" s="37"/>
      <c r="D46" s="3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 t="shared" si="0"/>
        <v>0</v>
      </c>
      <c r="AM46" s="9"/>
      <c r="AN46" s="9"/>
    </row>
    <row r="47" spans="2:40" ht="15.75" customHeight="1" x14ac:dyDescent="0.3">
      <c r="B47" s="36">
        <v>29</v>
      </c>
      <c r="C47" s="37"/>
      <c r="D47" s="3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 t="shared" si="0"/>
        <v>0</v>
      </c>
      <c r="AM47" s="9"/>
      <c r="AN47" s="9"/>
    </row>
    <row r="48" spans="2:40" ht="15.75" customHeight="1" x14ac:dyDescent="0.3">
      <c r="B48" s="36">
        <v>30</v>
      </c>
      <c r="C48" s="37"/>
      <c r="D48" s="3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 t="shared" si="0"/>
        <v>0</v>
      </c>
      <c r="AM48" s="9"/>
      <c r="AN48" s="9"/>
    </row>
    <row r="49" spans="2:40" ht="15.75" customHeight="1" x14ac:dyDescent="0.3">
      <c r="B49" s="36">
        <v>31</v>
      </c>
      <c r="C49" s="37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 t="shared" si="0"/>
        <v>0</v>
      </c>
      <c r="AM49" s="9"/>
      <c r="AN49" s="9"/>
    </row>
    <row r="50" spans="2:40" ht="15.75" customHeight="1" x14ac:dyDescent="0.3">
      <c r="B50" s="36">
        <v>32</v>
      </c>
      <c r="C50" s="37"/>
      <c r="D50" s="3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 t="shared" si="0"/>
        <v>0</v>
      </c>
      <c r="AM50" s="9"/>
      <c r="AN50" s="9"/>
    </row>
    <row r="51" spans="2:40" ht="15.75" customHeight="1" x14ac:dyDescent="0.3">
      <c r="B51" s="36">
        <v>33</v>
      </c>
      <c r="C51" s="37"/>
      <c r="D51" s="3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 t="shared" ref="AL51:AL78" si="1">IFERROR(VLOOKUP(E51,$B$81:$E$107,4,FALSE),0)+
IFERROR(VLOOKUP(F51,$B$81:$E$107,4,FALSE),0)+
IFERROR(VLOOKUP(G51,$B$81:$E$107,4,FALSE),0)+
IFERROR(VLOOKUP(H51,$B$81:$E$107,4,FALSE),0)+
IFERROR(VLOOKUP(I51,$B$81:$E$107,4,FALSE),0)+
IFERROR(VLOOKUP(J51,$B$81:$E$107,4,FALSE),0)+
IFERROR(VLOOKUP(K51,$B$81:$E$107,4,FALSE),0)+
IFERROR(VLOOKUP(L51,$B$81:$E$107,4,FALSE),0)+
IFERROR(VLOOKUP(M51,$B$81:$E$107,4,FALSE),0)+
IFERROR(VLOOKUP(N51,$B$81:$E$107,4,FALSE),0)+
IFERROR(VLOOKUP(O51,$B$81:$E$107,4,FALSE),0)+
IFERROR(VLOOKUP(P51,$B$81:$E$107,4,FALSE),0)+
IFERROR(VLOOKUP(Q51,$B$81:$E$107,4,FALSE),0)+
IFERROR(VLOOKUP(R51,$B$81:$E$107,4,FALSE),0)+
IFERROR(VLOOKUP(S51,$B$81:$E$107,4,FALSE),0)+
IFERROR(VLOOKUP(T51,$B$81:$E$107,4,FALSE),0)+
IFERROR(VLOOKUP(U51,$B$81:$E$107,4,FALSE),0)+
IFERROR(VLOOKUP(V51,$B$81:$E$107,4,FALSE),0)+
IFERROR(VLOOKUP(W51,$B$81:$E$107,4,FALSE),0)+
IFERROR(VLOOKUP(X51,$B$81:$E$107,4,FALSE),0)+
IFERROR(VLOOKUP(Y51,$B$81:$E$107,4,FALSE),0)+
IFERROR(VLOOKUP(Z51,$B$81:$E$107,4,FALSE),0)+
IFERROR(VLOOKUP(AA51,$B$81:$E$107,4,FALSE),0)+
IFERROR(VLOOKUP(AB51,$B$81:$E$107,4,FALSE),0)+
IFERROR(VLOOKUP(AC51,$B$81:$E$107,4,FALSE),0)+
IFERROR(VLOOKUP(AD51,$B$81:$E$107,4,FALSE),0)+
IFERROR(VLOOKUP(AE51,$B$81:$E$107,4,FALSE),0)+
IFERROR(VLOOKUP(AF51,$B$81:$E$107,4,FALSE),0)+
IFERROR(VLOOKUP(AG51,$B$81:$E$107,4,FALSE),0)+
IFERROR(VLOOKUP(AH51,$B$81:$E$107,4,FALSE),0)+
IFERROR(VLOOKUP(AI51,$B$81:$E$107,4,FALSE),0)+
IFERROR(VLOOKUP(AJ51,$B$81:$E$107,4,FALSE),0)</f>
        <v>0</v>
      </c>
      <c r="AM51" s="9"/>
      <c r="AN51" s="9"/>
    </row>
    <row r="52" spans="2:40" ht="15.75" customHeight="1" x14ac:dyDescent="0.3">
      <c r="B52" s="36">
        <v>34</v>
      </c>
      <c r="C52" s="37"/>
      <c r="D52" s="3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 t="shared" si="1"/>
        <v>0</v>
      </c>
      <c r="AM52" s="9"/>
      <c r="AN52" s="9"/>
    </row>
    <row r="53" spans="2:40" ht="15.75" customHeight="1" x14ac:dyDescent="0.3">
      <c r="B53" s="36">
        <v>35</v>
      </c>
      <c r="C53" s="37"/>
      <c r="D53" s="3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 t="shared" si="1"/>
        <v>0</v>
      </c>
      <c r="AM53" s="9"/>
      <c r="AN53" s="9"/>
    </row>
    <row r="54" spans="2:40" ht="15.75" customHeight="1" x14ac:dyDescent="0.3">
      <c r="B54" s="36">
        <v>36</v>
      </c>
      <c r="C54" s="37"/>
      <c r="D54" s="3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 t="shared" si="1"/>
        <v>0</v>
      </c>
      <c r="AM54" s="9"/>
      <c r="AN54" s="9"/>
    </row>
    <row r="55" spans="2:40" ht="15.75" customHeight="1" x14ac:dyDescent="0.3">
      <c r="B55" s="36">
        <v>37</v>
      </c>
      <c r="C55" s="37"/>
      <c r="D55" s="3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 t="shared" si="1"/>
        <v>0</v>
      </c>
      <c r="AM55" s="9"/>
      <c r="AN55" s="9"/>
    </row>
    <row r="56" spans="2:40" ht="15.75" customHeight="1" x14ac:dyDescent="0.3">
      <c r="B56" s="36">
        <v>38</v>
      </c>
      <c r="C56" s="37"/>
      <c r="D56" s="3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 t="shared" si="1"/>
        <v>0</v>
      </c>
      <c r="AM56" s="9"/>
      <c r="AN56" s="9"/>
    </row>
    <row r="57" spans="2:40" ht="15.75" customHeight="1" x14ac:dyDescent="0.3">
      <c r="B57" s="36">
        <v>39</v>
      </c>
      <c r="C57" s="37"/>
      <c r="D57" s="3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 t="shared" si="1"/>
        <v>0</v>
      </c>
      <c r="AM57" s="9"/>
      <c r="AN57" s="9"/>
    </row>
    <row r="58" spans="2:40" ht="15.75" customHeight="1" x14ac:dyDescent="0.3">
      <c r="B58" s="36">
        <v>40</v>
      </c>
      <c r="C58" s="37"/>
      <c r="D58" s="3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 t="shared" si="1"/>
        <v>0</v>
      </c>
      <c r="AM58" s="9"/>
      <c r="AN58" s="9"/>
    </row>
    <row r="59" spans="2:40" ht="15.75" customHeight="1" x14ac:dyDescent="0.3">
      <c r="B59" s="36">
        <v>41</v>
      </c>
      <c r="C59" s="37"/>
      <c r="D59" s="3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 t="shared" si="1"/>
        <v>0</v>
      </c>
      <c r="AM59" s="9"/>
      <c r="AN59" s="9"/>
    </row>
    <row r="60" spans="2:40" ht="15.75" customHeight="1" x14ac:dyDescent="0.3">
      <c r="B60" s="36">
        <v>42</v>
      </c>
      <c r="C60" s="37"/>
      <c r="D60" s="3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 t="shared" si="1"/>
        <v>0</v>
      </c>
      <c r="AM60" s="9"/>
      <c r="AN60" s="9"/>
    </row>
    <row r="61" spans="2:40" ht="15.75" customHeight="1" x14ac:dyDescent="0.3">
      <c r="B61" s="36">
        <v>43</v>
      </c>
      <c r="C61" s="37"/>
      <c r="D61" s="3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 t="shared" si="1"/>
        <v>0</v>
      </c>
      <c r="AM61" s="9"/>
      <c r="AN61" s="9"/>
    </row>
    <row r="62" spans="2:40" ht="15.75" customHeight="1" x14ac:dyDescent="0.3">
      <c r="B62" s="36">
        <v>44</v>
      </c>
      <c r="C62" s="37"/>
      <c r="D62" s="3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 t="shared" si="1"/>
        <v>0</v>
      </c>
      <c r="AM62" s="9"/>
      <c r="AN62" s="9"/>
    </row>
    <row r="63" spans="2:40" ht="15.75" customHeight="1" x14ac:dyDescent="0.3">
      <c r="B63" s="36">
        <v>45</v>
      </c>
      <c r="C63" s="37"/>
      <c r="D63" s="3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 t="shared" si="1"/>
        <v>0</v>
      </c>
      <c r="AM63" s="9"/>
      <c r="AN63" s="9"/>
    </row>
    <row r="64" spans="2:40" ht="15.75" customHeight="1" x14ac:dyDescent="0.3">
      <c r="B64" s="36">
        <v>46</v>
      </c>
      <c r="C64" s="37"/>
      <c r="D64" s="3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 t="shared" si="1"/>
        <v>0</v>
      </c>
      <c r="AM64" s="9"/>
      <c r="AN64" s="9"/>
    </row>
    <row r="65" spans="2:40" ht="15.75" customHeight="1" x14ac:dyDescent="0.3">
      <c r="B65" s="36">
        <v>47</v>
      </c>
      <c r="C65" s="37"/>
      <c r="D65" s="3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 t="shared" si="1"/>
        <v>0</v>
      </c>
      <c r="AM65" s="9"/>
      <c r="AN65" s="9"/>
    </row>
    <row r="66" spans="2:40" ht="15.75" customHeight="1" x14ac:dyDescent="0.3">
      <c r="B66" s="36">
        <v>48</v>
      </c>
      <c r="C66" s="37"/>
      <c r="D66" s="3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 t="shared" si="1"/>
        <v>0</v>
      </c>
      <c r="AM66" s="9"/>
      <c r="AN66" s="9"/>
    </row>
    <row r="67" spans="2:40" ht="15.75" customHeight="1" x14ac:dyDescent="0.3">
      <c r="B67" s="36">
        <v>49</v>
      </c>
      <c r="C67" s="37"/>
      <c r="D67" s="3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 t="shared" si="1"/>
        <v>0</v>
      </c>
      <c r="AM67" s="9"/>
      <c r="AN67" s="9"/>
    </row>
    <row r="68" spans="2:40" ht="15.75" customHeight="1" x14ac:dyDescent="0.3">
      <c r="B68" s="36">
        <v>50</v>
      </c>
      <c r="C68" s="37"/>
      <c r="D68" s="3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 t="shared" si="1"/>
        <v>0</v>
      </c>
      <c r="AM68" s="9"/>
      <c r="AN68" s="9"/>
    </row>
    <row r="69" spans="2:40" ht="15.75" customHeight="1" x14ac:dyDescent="0.3">
      <c r="B69" s="36">
        <v>51</v>
      </c>
      <c r="C69" s="37"/>
      <c r="D69" s="3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 t="shared" si="1"/>
        <v>0</v>
      </c>
      <c r="AM69" s="9"/>
      <c r="AN69" s="9"/>
    </row>
    <row r="70" spans="2:40" ht="15.75" customHeight="1" x14ac:dyDescent="0.3">
      <c r="B70" s="36">
        <v>52</v>
      </c>
      <c r="C70" s="37"/>
      <c r="D70" s="3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 t="shared" si="1"/>
        <v>0</v>
      </c>
      <c r="AM70" s="9"/>
      <c r="AN70" s="9"/>
    </row>
    <row r="71" spans="2:40" ht="15.75" customHeight="1" x14ac:dyDescent="0.3">
      <c r="B71" s="36">
        <v>53</v>
      </c>
      <c r="C71" s="3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 t="shared" si="1"/>
        <v>0</v>
      </c>
      <c r="AM71" s="9"/>
      <c r="AN71" s="9"/>
    </row>
    <row r="72" spans="2:40" ht="15.75" customHeight="1" x14ac:dyDescent="0.3">
      <c r="B72" s="36">
        <v>54</v>
      </c>
      <c r="C72" s="37"/>
      <c r="D72" s="3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8">
        <f t="shared" si="1"/>
        <v>0</v>
      </c>
      <c r="AM72" s="9"/>
      <c r="AN72" s="9"/>
    </row>
    <row r="73" spans="2:40" ht="15.75" customHeight="1" x14ac:dyDescent="0.3">
      <c r="B73" s="36">
        <v>55</v>
      </c>
      <c r="C73" s="37"/>
      <c r="D73" s="3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8">
        <f t="shared" si="1"/>
        <v>0</v>
      </c>
      <c r="AM73" s="9"/>
      <c r="AN73" s="9"/>
    </row>
    <row r="74" spans="2:40" ht="15.75" customHeight="1" x14ac:dyDescent="0.3">
      <c r="B74" s="36">
        <v>56</v>
      </c>
      <c r="C74" s="37"/>
      <c r="D74" s="3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8">
        <f t="shared" si="1"/>
        <v>0</v>
      </c>
      <c r="AM74" s="9"/>
      <c r="AN74" s="9"/>
    </row>
    <row r="75" spans="2:40" ht="15.75" customHeight="1" x14ac:dyDescent="0.3">
      <c r="B75" s="36">
        <v>57</v>
      </c>
      <c r="C75" s="37"/>
      <c r="D75" s="3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8">
        <f t="shared" si="1"/>
        <v>0</v>
      </c>
      <c r="AM75" s="9"/>
      <c r="AN75" s="9"/>
    </row>
    <row r="76" spans="2:40" ht="15.75" customHeight="1" x14ac:dyDescent="0.3">
      <c r="B76" s="36">
        <v>58</v>
      </c>
      <c r="C76" s="37"/>
      <c r="D76" s="3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8">
        <f t="shared" si="1"/>
        <v>0</v>
      </c>
      <c r="AM76" s="9"/>
      <c r="AN76" s="9"/>
    </row>
    <row r="77" spans="2:40" ht="15.75" customHeight="1" x14ac:dyDescent="0.3">
      <c r="B77" s="39">
        <v>59</v>
      </c>
      <c r="C77" s="40"/>
      <c r="D77" s="4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8">
        <f t="shared" si="1"/>
        <v>0</v>
      </c>
      <c r="AM77" s="9"/>
      <c r="AN77" s="9"/>
    </row>
    <row r="78" spans="2:40" ht="15.75" customHeight="1" x14ac:dyDescent="0.3">
      <c r="B78" s="36">
        <v>60</v>
      </c>
      <c r="C78" s="37"/>
      <c r="D78" s="37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8">
        <f t="shared" si="1"/>
        <v>0</v>
      </c>
      <c r="AM78" s="9"/>
      <c r="AN78" s="9"/>
    </row>
    <row r="79" spans="2:40" ht="16.5" customHeight="1" x14ac:dyDescent="0.3">
      <c r="K79" s="66" t="s">
        <v>37</v>
      </c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8"/>
    </row>
    <row r="80" spans="2:40" x14ac:dyDescent="0.3">
      <c r="B80" s="27" t="s">
        <v>38</v>
      </c>
      <c r="C80" s="28" t="s">
        <v>39</v>
      </c>
      <c r="D80" s="29" t="s">
        <v>39</v>
      </c>
      <c r="E80" s="76" t="s">
        <v>40</v>
      </c>
      <c r="F80" s="77"/>
      <c r="G80" s="78" t="s">
        <v>41</v>
      </c>
      <c r="H80" s="78"/>
      <c r="I80" s="78"/>
      <c r="K80" s="69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1"/>
    </row>
    <row r="81" spans="2:35" ht="41.25" customHeight="1" x14ac:dyDescent="0.3">
      <c r="B81" s="1" t="s">
        <v>23</v>
      </c>
      <c r="C81" s="2" t="s">
        <v>42</v>
      </c>
      <c r="D81" s="3">
        <v>12</v>
      </c>
      <c r="E81" s="43">
        <v>12</v>
      </c>
      <c r="F81" s="44"/>
      <c r="G81" s="42" t="s">
        <v>43</v>
      </c>
      <c r="H81" s="42"/>
      <c r="I81" s="42"/>
      <c r="K81" s="4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50"/>
    </row>
    <row r="82" spans="2:35" ht="41.25" customHeight="1" x14ac:dyDescent="0.3">
      <c r="B82" s="1" t="s">
        <v>44</v>
      </c>
      <c r="C82" s="2" t="s">
        <v>42</v>
      </c>
      <c r="D82" s="3">
        <v>12</v>
      </c>
      <c r="E82" s="43">
        <v>12</v>
      </c>
      <c r="F82" s="44"/>
      <c r="G82" s="42" t="s">
        <v>45</v>
      </c>
      <c r="H82" s="42"/>
      <c r="I82" s="42"/>
      <c r="U82" s="30"/>
      <c r="V82" s="30"/>
      <c r="W82" s="30"/>
      <c r="X82" s="30"/>
      <c r="Y82" s="31"/>
      <c r="Z82" s="31"/>
    </row>
    <row r="83" spans="2:35" ht="41.25" customHeight="1" x14ac:dyDescent="0.4">
      <c r="B83" s="1" t="s">
        <v>46</v>
      </c>
      <c r="C83" s="2" t="s">
        <v>42</v>
      </c>
      <c r="D83" s="3">
        <v>12</v>
      </c>
      <c r="E83" s="43">
        <v>12</v>
      </c>
      <c r="F83" s="44"/>
      <c r="G83" s="42" t="s">
        <v>47</v>
      </c>
      <c r="H83" s="42"/>
      <c r="I83" s="42"/>
      <c r="U83" s="47" t="s">
        <v>48</v>
      </c>
      <c r="V83" s="47"/>
      <c r="W83" s="47"/>
      <c r="X83" s="47"/>
      <c r="Y83" s="47"/>
      <c r="Z83" s="47"/>
    </row>
    <row r="84" spans="2:35" ht="41.25" customHeight="1" x14ac:dyDescent="0.4">
      <c r="B84" s="1" t="s">
        <v>49</v>
      </c>
      <c r="C84" s="2" t="s">
        <v>42</v>
      </c>
      <c r="D84" s="3">
        <v>12</v>
      </c>
      <c r="E84" s="43">
        <v>12</v>
      </c>
      <c r="F84" s="44"/>
      <c r="G84" s="42" t="s">
        <v>50</v>
      </c>
      <c r="H84" s="42"/>
      <c r="I84" s="42"/>
      <c r="U84" s="32"/>
      <c r="V84" s="33"/>
      <c r="W84" s="34"/>
    </row>
    <row r="85" spans="2:35" ht="41.25" customHeight="1" x14ac:dyDescent="0.3">
      <c r="B85" s="1" t="s">
        <v>25</v>
      </c>
      <c r="C85" s="2" t="s">
        <v>51</v>
      </c>
      <c r="D85" s="3">
        <v>6</v>
      </c>
      <c r="E85" s="43">
        <v>6</v>
      </c>
      <c r="F85" s="44"/>
      <c r="G85" s="42" t="s">
        <v>43</v>
      </c>
      <c r="H85" s="42"/>
      <c r="I85" s="42"/>
    </row>
    <row r="86" spans="2:35" ht="41.25" customHeight="1" x14ac:dyDescent="0.3">
      <c r="B86" s="1" t="s">
        <v>52</v>
      </c>
      <c r="C86" s="2" t="s">
        <v>51</v>
      </c>
      <c r="D86" s="3">
        <v>6</v>
      </c>
      <c r="E86" s="43">
        <v>6</v>
      </c>
      <c r="F86" s="44"/>
      <c r="G86" s="42" t="s">
        <v>53</v>
      </c>
      <c r="H86" s="42"/>
      <c r="I86" s="42"/>
    </row>
    <row r="87" spans="2:35" ht="41.25" customHeight="1" x14ac:dyDescent="0.3">
      <c r="B87" s="1" t="s">
        <v>54</v>
      </c>
      <c r="C87" s="2" t="s">
        <v>55</v>
      </c>
      <c r="D87" s="3" t="s">
        <v>56</v>
      </c>
      <c r="E87" s="43">
        <v>18</v>
      </c>
      <c r="F87" s="44"/>
      <c r="G87" s="42" t="s">
        <v>57</v>
      </c>
      <c r="H87" s="42"/>
      <c r="I87" s="42"/>
    </row>
    <row r="88" spans="2:35" ht="41.25" customHeight="1" x14ac:dyDescent="0.3">
      <c r="B88" s="1" t="s">
        <v>58</v>
      </c>
      <c r="C88" s="2" t="s">
        <v>55</v>
      </c>
      <c r="D88" s="3" t="s">
        <v>56</v>
      </c>
      <c r="E88" s="43">
        <v>18</v>
      </c>
      <c r="F88" s="44"/>
      <c r="G88" s="42" t="s">
        <v>59</v>
      </c>
      <c r="H88" s="42"/>
      <c r="I88" s="42"/>
    </row>
    <row r="89" spans="2:35" ht="41.25" customHeight="1" x14ac:dyDescent="0.3">
      <c r="B89" s="1" t="s">
        <v>60</v>
      </c>
      <c r="C89" s="2" t="s">
        <v>61</v>
      </c>
      <c r="D89" s="3" t="s">
        <v>62</v>
      </c>
      <c r="E89" s="43">
        <v>18</v>
      </c>
      <c r="F89" s="44"/>
      <c r="G89" s="42" t="s">
        <v>63</v>
      </c>
      <c r="H89" s="42"/>
      <c r="I89" s="42"/>
    </row>
    <row r="90" spans="2:35" ht="41.25" customHeight="1" x14ac:dyDescent="0.3">
      <c r="B90" s="1" t="s">
        <v>64</v>
      </c>
      <c r="C90" s="2" t="s">
        <v>51</v>
      </c>
      <c r="D90" s="3">
        <v>6</v>
      </c>
      <c r="E90" s="43">
        <v>6</v>
      </c>
      <c r="F90" s="44"/>
      <c r="G90" s="42" t="s">
        <v>65</v>
      </c>
      <c r="H90" s="42"/>
      <c r="I90" s="42"/>
    </row>
    <row r="91" spans="2:35" ht="41.25" customHeight="1" x14ac:dyDescent="0.3">
      <c r="B91" s="1" t="s">
        <v>66</v>
      </c>
      <c r="C91" s="2" t="s">
        <v>67</v>
      </c>
      <c r="D91" s="3">
        <v>12</v>
      </c>
      <c r="E91" s="43">
        <v>12</v>
      </c>
      <c r="F91" s="44"/>
      <c r="G91" s="42" t="s">
        <v>68</v>
      </c>
      <c r="H91" s="42"/>
      <c r="I91" s="42"/>
    </row>
    <row r="92" spans="2:35" ht="41.25" customHeight="1" x14ac:dyDescent="0.3">
      <c r="B92" s="1" t="s">
        <v>69</v>
      </c>
      <c r="C92" s="2" t="s">
        <v>67</v>
      </c>
      <c r="D92" s="3">
        <v>12</v>
      </c>
      <c r="E92" s="43">
        <v>12</v>
      </c>
      <c r="F92" s="44"/>
      <c r="G92" s="42" t="s">
        <v>70</v>
      </c>
      <c r="H92" s="42"/>
      <c r="I92" s="42"/>
    </row>
    <row r="93" spans="2:35" ht="41.25" customHeight="1" x14ac:dyDescent="0.3">
      <c r="B93" s="1" t="s">
        <v>71</v>
      </c>
      <c r="C93" s="2" t="s">
        <v>67</v>
      </c>
      <c r="D93" s="3">
        <v>12</v>
      </c>
      <c r="E93" s="43">
        <v>12</v>
      </c>
      <c r="F93" s="44"/>
      <c r="G93" s="42" t="s">
        <v>72</v>
      </c>
      <c r="H93" s="42"/>
      <c r="I93" s="42"/>
    </row>
    <row r="94" spans="2:35" ht="41.25" customHeight="1" x14ac:dyDescent="0.3">
      <c r="B94" s="1" t="s">
        <v>73</v>
      </c>
      <c r="C94" s="2" t="s">
        <v>67</v>
      </c>
      <c r="D94" s="3">
        <v>12</v>
      </c>
      <c r="E94" s="43">
        <v>12</v>
      </c>
      <c r="F94" s="44"/>
      <c r="G94" s="42" t="s">
        <v>74</v>
      </c>
      <c r="H94" s="42"/>
      <c r="I94" s="42"/>
    </row>
    <row r="95" spans="2:35" ht="41.25" customHeight="1" x14ac:dyDescent="0.3">
      <c r="B95" s="1" t="s">
        <v>75</v>
      </c>
      <c r="C95" s="2" t="s">
        <v>76</v>
      </c>
      <c r="D95" s="3">
        <v>6</v>
      </c>
      <c r="E95" s="43">
        <v>6</v>
      </c>
      <c r="F95" s="44"/>
      <c r="G95" s="42" t="s">
        <v>77</v>
      </c>
      <c r="H95" s="42"/>
      <c r="I95" s="42"/>
    </row>
    <row r="96" spans="2:35" ht="41.25" customHeight="1" x14ac:dyDescent="0.3">
      <c r="B96" s="1" t="s">
        <v>78</v>
      </c>
      <c r="C96" s="2" t="s">
        <v>76</v>
      </c>
      <c r="D96" s="3">
        <v>6</v>
      </c>
      <c r="E96" s="43">
        <v>6</v>
      </c>
      <c r="F96" s="44"/>
      <c r="G96" s="42" t="s">
        <v>79</v>
      </c>
      <c r="H96" s="42"/>
      <c r="I96" s="42"/>
    </row>
    <row r="97" spans="1:9" ht="41.25" customHeight="1" x14ac:dyDescent="0.3">
      <c r="B97" s="1" t="s">
        <v>80</v>
      </c>
      <c r="C97" s="2" t="s">
        <v>81</v>
      </c>
      <c r="D97" s="3" t="s">
        <v>56</v>
      </c>
      <c r="E97" s="43">
        <v>18</v>
      </c>
      <c r="F97" s="44"/>
      <c r="G97" s="42" t="s">
        <v>82</v>
      </c>
      <c r="H97" s="42"/>
      <c r="I97" s="42"/>
    </row>
    <row r="98" spans="1:9" ht="41.25" customHeight="1" x14ac:dyDescent="0.3">
      <c r="A98" s="35"/>
      <c r="B98" s="1" t="s">
        <v>83</v>
      </c>
      <c r="C98" s="2" t="s">
        <v>81</v>
      </c>
      <c r="D98" s="3" t="s">
        <v>56</v>
      </c>
      <c r="E98" s="43">
        <v>18</v>
      </c>
      <c r="F98" s="44"/>
      <c r="G98" s="42" t="s">
        <v>84</v>
      </c>
      <c r="H98" s="42"/>
      <c r="I98" s="42"/>
    </row>
    <row r="99" spans="1:9" ht="41.25" customHeight="1" x14ac:dyDescent="0.3">
      <c r="B99" s="1" t="s">
        <v>85</v>
      </c>
      <c r="C99" s="2" t="s">
        <v>86</v>
      </c>
      <c r="D99" s="3" t="s">
        <v>62</v>
      </c>
      <c r="E99" s="43">
        <v>18</v>
      </c>
      <c r="F99" s="44"/>
      <c r="G99" s="42" t="s">
        <v>87</v>
      </c>
      <c r="H99" s="42"/>
      <c r="I99" s="42"/>
    </row>
    <row r="100" spans="1:9" ht="41.25" customHeight="1" x14ac:dyDescent="0.3">
      <c r="B100" s="1" t="s">
        <v>88</v>
      </c>
      <c r="C100" s="2" t="s">
        <v>76</v>
      </c>
      <c r="D100" s="3">
        <v>6</v>
      </c>
      <c r="E100" s="43">
        <v>6</v>
      </c>
      <c r="F100" s="44"/>
      <c r="G100" s="42" t="s">
        <v>89</v>
      </c>
      <c r="H100" s="42"/>
      <c r="I100" s="42"/>
    </row>
    <row r="101" spans="1:9" ht="41.25" customHeight="1" x14ac:dyDescent="0.3">
      <c r="B101" s="1"/>
      <c r="C101" s="2"/>
      <c r="D101" s="3"/>
      <c r="E101" s="43"/>
      <c r="F101" s="44"/>
      <c r="G101" s="42"/>
      <c r="H101" s="42"/>
      <c r="I101" s="42"/>
    </row>
    <row r="102" spans="1:9" ht="41.25" customHeight="1" x14ac:dyDescent="0.3">
      <c r="B102" s="1"/>
      <c r="C102" s="2"/>
      <c r="D102" s="3"/>
      <c r="E102" s="43"/>
      <c r="F102" s="44"/>
      <c r="G102" s="42"/>
      <c r="H102" s="42"/>
      <c r="I102" s="42"/>
    </row>
    <row r="103" spans="1:9" ht="41.25" customHeight="1" x14ac:dyDescent="0.3">
      <c r="B103" s="1"/>
      <c r="C103" s="2"/>
      <c r="D103" s="3"/>
      <c r="E103" s="43"/>
      <c r="F103" s="44"/>
      <c r="G103" s="42"/>
      <c r="H103" s="42"/>
      <c r="I103" s="42"/>
    </row>
    <row r="104" spans="1:9" ht="41.25" customHeight="1" x14ac:dyDescent="0.3">
      <c r="B104" s="1"/>
      <c r="C104" s="2"/>
      <c r="D104" s="3"/>
      <c r="E104" s="43"/>
      <c r="F104" s="44"/>
      <c r="G104" s="42"/>
      <c r="H104" s="42"/>
      <c r="I104" s="42"/>
    </row>
    <row r="105" spans="1:9" ht="41.25" customHeight="1" x14ac:dyDescent="0.3">
      <c r="B105" s="1"/>
      <c r="C105" s="2"/>
      <c r="D105" s="3"/>
      <c r="E105" s="43"/>
      <c r="F105" s="44"/>
      <c r="G105" s="42"/>
      <c r="H105" s="42"/>
      <c r="I105" s="42"/>
    </row>
    <row r="106" spans="1:9" ht="41.25" customHeight="1" x14ac:dyDescent="0.3">
      <c r="B106" s="1"/>
      <c r="C106" s="2"/>
      <c r="D106" s="3"/>
      <c r="E106" s="43"/>
      <c r="F106" s="44"/>
      <c r="G106" s="42"/>
      <c r="H106" s="42"/>
      <c r="I106" s="42"/>
    </row>
    <row r="107" spans="1:9" ht="41.25" customHeight="1" x14ac:dyDescent="0.3">
      <c r="B107" s="1"/>
      <c r="C107" s="2"/>
      <c r="D107" s="3"/>
      <c r="E107" s="43"/>
      <c r="F107" s="44"/>
      <c r="G107" s="42"/>
      <c r="H107" s="42"/>
      <c r="I107" s="42"/>
    </row>
    <row r="108" spans="1:9" ht="41.25" customHeight="1" x14ac:dyDescent="0.3">
      <c r="B108" s="1"/>
      <c r="C108" s="2"/>
      <c r="D108" s="3"/>
      <c r="E108" s="43"/>
      <c r="F108" s="44"/>
      <c r="G108" s="42"/>
      <c r="H108" s="42"/>
      <c r="I108" s="42"/>
    </row>
    <row r="109" spans="1:9" ht="41.25" customHeight="1" x14ac:dyDescent="0.3">
      <c r="B109" s="1"/>
      <c r="C109" s="2"/>
      <c r="D109" s="3"/>
      <c r="E109" s="43"/>
      <c r="F109" s="44"/>
      <c r="G109" s="42"/>
      <c r="H109" s="42"/>
      <c r="I109" s="42"/>
    </row>
    <row r="110" spans="1:9" ht="41.25" customHeight="1" x14ac:dyDescent="0.3">
      <c r="B110" s="1"/>
      <c r="C110" s="2"/>
      <c r="D110" s="3"/>
      <c r="E110" s="43"/>
      <c r="F110" s="44"/>
      <c r="G110" s="42"/>
      <c r="H110" s="42"/>
      <c r="I110" s="42"/>
    </row>
    <row r="111" spans="1:9" ht="41.25" customHeight="1" x14ac:dyDescent="0.3">
      <c r="B111" s="1"/>
      <c r="C111" s="2"/>
      <c r="D111" s="3"/>
      <c r="E111" s="43"/>
      <c r="F111" s="44"/>
      <c r="G111" s="42"/>
      <c r="H111" s="42"/>
      <c r="I111" s="42"/>
    </row>
  </sheetData>
  <sheetProtection algorithmName="SHA-512" hashValue="C4uudIV/MT4V5YeTabTRPEhecGvtHT3ze/l/mFckrmMJWsCun8NIM3+8ttcZ8mlfr/R2aYuo1TJRi6ClBloblg==" saltValue="IW03fd45iSfa0cZt9juC7A==" spinCount="100000" sheet="1" objects="1" scenarios="1" formatCells="0" insertRows="0" deleteRows="0"/>
  <mergeCells count="87">
    <mergeCell ref="E111:F111"/>
    <mergeCell ref="G111:I111"/>
    <mergeCell ref="E108:F108"/>
    <mergeCell ref="G108:I108"/>
    <mergeCell ref="E109:F109"/>
    <mergeCell ref="G109:I109"/>
    <mergeCell ref="E110:F110"/>
    <mergeCell ref="G110:I110"/>
    <mergeCell ref="G104:I104"/>
    <mergeCell ref="E101:F101"/>
    <mergeCell ref="G101:I101"/>
    <mergeCell ref="E102:F102"/>
    <mergeCell ref="G102:I102"/>
    <mergeCell ref="E103:F103"/>
    <mergeCell ref="G103:I103"/>
    <mergeCell ref="G99:I99"/>
    <mergeCell ref="G91:I91"/>
    <mergeCell ref="E92:F92"/>
    <mergeCell ref="G92:I92"/>
    <mergeCell ref="E93:F93"/>
    <mergeCell ref="E91:F91"/>
    <mergeCell ref="E94:F94"/>
    <mergeCell ref="C11:C12"/>
    <mergeCell ref="D11:D12"/>
    <mergeCell ref="E9:G9"/>
    <mergeCell ref="K79:AI79"/>
    <mergeCell ref="K80:AI80"/>
    <mergeCell ref="H9:N9"/>
    <mergeCell ref="O9:Q9"/>
    <mergeCell ref="R9:V9"/>
    <mergeCell ref="X9:AD9"/>
    <mergeCell ref="AE9:AI9"/>
    <mergeCell ref="E80:F80"/>
    <mergeCell ref="G80:I80"/>
    <mergeCell ref="D2:AB2"/>
    <mergeCell ref="U83:Z83"/>
    <mergeCell ref="K81:AI81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90:I90"/>
    <mergeCell ref="E81:F81"/>
    <mergeCell ref="E82:F82"/>
    <mergeCell ref="E83:F83"/>
    <mergeCell ref="E84:F84"/>
    <mergeCell ref="G81:I81"/>
    <mergeCell ref="G82:I82"/>
    <mergeCell ref="G83:I83"/>
    <mergeCell ref="G84:I84"/>
    <mergeCell ref="G85:I85"/>
    <mergeCell ref="E90:F90"/>
    <mergeCell ref="G86:I86"/>
    <mergeCell ref="G87:I87"/>
    <mergeCell ref="G88:I88"/>
    <mergeCell ref="G89:I89"/>
    <mergeCell ref="E85:F85"/>
    <mergeCell ref="E86:F86"/>
    <mergeCell ref="E87:F87"/>
    <mergeCell ref="E88:F88"/>
    <mergeCell ref="E89:F89"/>
    <mergeCell ref="E106:F106"/>
    <mergeCell ref="E98:F98"/>
    <mergeCell ref="E99:F99"/>
    <mergeCell ref="E104:F104"/>
    <mergeCell ref="G106:I106"/>
    <mergeCell ref="E107:F107"/>
    <mergeCell ref="G107:I107"/>
    <mergeCell ref="G93:I93"/>
    <mergeCell ref="G94:I94"/>
    <mergeCell ref="G95:I95"/>
    <mergeCell ref="G96:I96"/>
    <mergeCell ref="E105:F105"/>
    <mergeCell ref="G105:I105"/>
    <mergeCell ref="E95:F95"/>
    <mergeCell ref="E96:F96"/>
    <mergeCell ref="E97:F97"/>
    <mergeCell ref="G97:I97"/>
    <mergeCell ref="E100:F100"/>
    <mergeCell ref="G100:I100"/>
    <mergeCell ref="G98:I98"/>
  </mergeCells>
  <conditionalFormatting sqref="E13:AK78">
    <cfRule type="expression" dxfId="1" priority="2">
      <formula>AND(E13&lt;&gt;"", ISERROR(MATCH(E13,$B$81:$B$111,0)))</formula>
    </cfRule>
  </conditionalFormatting>
  <conditionalFormatting sqref="M11">
    <cfRule type="expression" dxfId="0" priority="3">
      <formula>E$12="S"</formula>
    </cfRule>
  </conditionalFormatting>
  <dataValidations count="1">
    <dataValidation type="list" allowBlank="1" showInputMessage="1" showErrorMessage="1" sqref="E13:AK78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IF(OR(E$12="D", E$12="S"), TRUE, AND(E$11&lt;&gt;"", COUNTIF(FESTIVOS!$A$2:$A$200, DATE(($R$9),MONTH(TEXT($H$9&amp;" 1","MMM D")), E$11))&gt;0))</xm:f>
            <x14:dxf>
              <fill>
                <patternFill>
                  <bgColor rgb="FF92D050"/>
                </patternFill>
              </fill>
            </x14:dxf>
          </x14:cfRule>
          <xm:sqref>E11:AK78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F9" sqref="F9"/>
    </sheetView>
  </sheetViews>
  <sheetFormatPr baseColWidth="10" defaultColWidth="8.69921875" defaultRowHeight="15.6" x14ac:dyDescent="0.3"/>
  <sheetData>
    <row r="1" spans="1:5" ht="25.5" customHeight="1" x14ac:dyDescent="0.3">
      <c r="A1" s="6" t="s">
        <v>90</v>
      </c>
      <c r="B1">
        <v>1</v>
      </c>
      <c r="C1">
        <v>2</v>
      </c>
      <c r="D1">
        <v>3</v>
      </c>
      <c r="E1">
        <v>4</v>
      </c>
    </row>
    <row r="2" spans="1:5" x14ac:dyDescent="0.3">
      <c r="A2" s="4">
        <v>45658</v>
      </c>
    </row>
    <row r="3" spans="1:5" x14ac:dyDescent="0.3">
      <c r="A3" s="4">
        <v>45663</v>
      </c>
    </row>
    <row r="4" spans="1:5" x14ac:dyDescent="0.3">
      <c r="A4" s="4">
        <v>45740</v>
      </c>
    </row>
    <row r="5" spans="1:5" x14ac:dyDescent="0.3">
      <c r="A5" s="4">
        <v>45764</v>
      </c>
    </row>
    <row r="6" spans="1:5" x14ac:dyDescent="0.3">
      <c r="A6" s="4">
        <v>45765</v>
      </c>
    </row>
    <row r="7" spans="1:5" x14ac:dyDescent="0.3">
      <c r="A7" s="4">
        <v>45778</v>
      </c>
    </row>
    <row r="8" spans="1:5" x14ac:dyDescent="0.3">
      <c r="A8" s="4">
        <v>45810</v>
      </c>
    </row>
    <row r="9" spans="1:5" x14ac:dyDescent="0.3">
      <c r="A9" s="4">
        <v>45831</v>
      </c>
    </row>
    <row r="10" spans="1:5" x14ac:dyDescent="0.3">
      <c r="A10" s="4">
        <v>45838</v>
      </c>
    </row>
    <row r="11" spans="1:5" x14ac:dyDescent="0.3">
      <c r="A11" s="4">
        <v>45876</v>
      </c>
    </row>
    <row r="12" spans="1:5" x14ac:dyDescent="0.3">
      <c r="A12" s="4">
        <v>45887</v>
      </c>
    </row>
    <row r="13" spans="1:5" x14ac:dyDescent="0.3">
      <c r="A13" s="4">
        <v>45943</v>
      </c>
    </row>
    <row r="14" spans="1:5" x14ac:dyDescent="0.3">
      <c r="A14" s="4">
        <v>45964</v>
      </c>
    </row>
    <row r="15" spans="1:5" x14ac:dyDescent="0.3">
      <c r="A15" s="4">
        <v>45978</v>
      </c>
    </row>
    <row r="16" spans="1:5" x14ac:dyDescent="0.3">
      <c r="A16" s="4">
        <v>45999</v>
      </c>
    </row>
    <row r="17" spans="1:1" x14ac:dyDescent="0.3">
      <c r="A17" s="4">
        <v>46016</v>
      </c>
    </row>
    <row r="18" spans="1:1" x14ac:dyDescent="0.3">
      <c r="A18" s="5">
        <v>46023</v>
      </c>
    </row>
    <row r="19" spans="1:1" x14ac:dyDescent="0.3">
      <c r="A19" s="5">
        <v>46034</v>
      </c>
    </row>
    <row r="20" spans="1:1" x14ac:dyDescent="0.3">
      <c r="A20" s="41">
        <v>46104</v>
      </c>
    </row>
    <row r="21" spans="1:1" x14ac:dyDescent="0.3">
      <c r="A21" s="41">
        <v>46114</v>
      </c>
    </row>
    <row r="22" spans="1:1" x14ac:dyDescent="0.3">
      <c r="A22" s="41">
        <v>46115</v>
      </c>
    </row>
    <row r="23" spans="1:1" x14ac:dyDescent="0.3">
      <c r="A23" s="41">
        <v>46143</v>
      </c>
    </row>
    <row r="24" spans="1:1" x14ac:dyDescent="0.3">
      <c r="A24" s="41">
        <v>46160</v>
      </c>
    </row>
    <row r="25" spans="1:1" x14ac:dyDescent="0.3">
      <c r="A25" s="41">
        <v>46181</v>
      </c>
    </row>
    <row r="26" spans="1:1" x14ac:dyDescent="0.3">
      <c r="A26" s="41">
        <v>46188</v>
      </c>
    </row>
    <row r="27" spans="1:1" x14ac:dyDescent="0.3">
      <c r="A27" s="41">
        <v>46202</v>
      </c>
    </row>
    <row r="28" spans="1:1" x14ac:dyDescent="0.3">
      <c r="A28" s="41">
        <v>46223</v>
      </c>
    </row>
    <row r="29" spans="1:1" x14ac:dyDescent="0.3">
      <c r="A29" s="41">
        <v>46241</v>
      </c>
    </row>
    <row r="30" spans="1:1" x14ac:dyDescent="0.3">
      <c r="A30" s="41">
        <v>46251</v>
      </c>
    </row>
    <row r="31" spans="1:1" x14ac:dyDescent="0.3">
      <c r="A31" s="41">
        <v>46307</v>
      </c>
    </row>
    <row r="32" spans="1:1" x14ac:dyDescent="0.3">
      <c r="A32" s="41">
        <v>46328</v>
      </c>
    </row>
    <row r="33" spans="1:1" x14ac:dyDescent="0.3">
      <c r="A33" s="41">
        <v>46342</v>
      </c>
    </row>
    <row r="34" spans="1:1" x14ac:dyDescent="0.3">
      <c r="A34" s="41">
        <v>46388</v>
      </c>
    </row>
    <row r="35" spans="1:1" x14ac:dyDescent="0.3">
      <c r="A35" s="41">
        <v>46398</v>
      </c>
    </row>
    <row r="36" spans="1:1" x14ac:dyDescent="0.3">
      <c r="A36" s="41">
        <v>46468</v>
      </c>
    </row>
    <row r="37" spans="1:1" x14ac:dyDescent="0.3">
      <c r="A37" s="41">
        <v>46471</v>
      </c>
    </row>
    <row r="38" spans="1:1" x14ac:dyDescent="0.3">
      <c r="A38" s="41">
        <v>46472</v>
      </c>
    </row>
    <row r="39" spans="1:1" x14ac:dyDescent="0.3">
      <c r="A39" s="41">
        <v>46508</v>
      </c>
    </row>
    <row r="40" spans="1:1" x14ac:dyDescent="0.3">
      <c r="A40" s="41">
        <v>46517</v>
      </c>
    </row>
    <row r="41" spans="1:1" x14ac:dyDescent="0.3">
      <c r="A41" s="41">
        <v>46538</v>
      </c>
    </row>
    <row r="42" spans="1:1" x14ac:dyDescent="0.3">
      <c r="A42" s="41">
        <v>46545</v>
      </c>
    </row>
    <row r="43" spans="1:1" x14ac:dyDescent="0.3">
      <c r="A43" s="41">
        <v>46573</v>
      </c>
    </row>
    <row r="44" spans="1:1" x14ac:dyDescent="0.3">
      <c r="A44" s="41">
        <v>46588</v>
      </c>
    </row>
    <row r="45" spans="1:1" x14ac:dyDescent="0.3">
      <c r="A45" s="41">
        <v>46606</v>
      </c>
    </row>
    <row r="46" spans="1:1" x14ac:dyDescent="0.3">
      <c r="A46" s="41">
        <v>46615</v>
      </c>
    </row>
    <row r="47" spans="1:1" x14ac:dyDescent="0.3">
      <c r="A47" s="41">
        <v>46678</v>
      </c>
    </row>
    <row r="48" spans="1:1" x14ac:dyDescent="0.3">
      <c r="A48" s="41">
        <v>46692</v>
      </c>
    </row>
    <row r="49" spans="1:1" x14ac:dyDescent="0.3">
      <c r="A49" s="41">
        <v>46706</v>
      </c>
    </row>
    <row r="50" spans="1:1" x14ac:dyDescent="0.3">
      <c r="A50" s="41">
        <v>46729</v>
      </c>
    </row>
    <row r="51" spans="1:1" x14ac:dyDescent="0.3">
      <c r="A51" s="41">
        <v>46746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Andres Camilo Rodriguez Gutierrez</cp:lastModifiedBy>
  <dcterms:created xsi:type="dcterms:W3CDTF">2024-12-18T21:33:15Z</dcterms:created>
  <dcterms:modified xsi:type="dcterms:W3CDTF">2026-02-20T14:37:26Z</dcterms:modified>
  <cp:category/>
</cp:coreProperties>
</file>