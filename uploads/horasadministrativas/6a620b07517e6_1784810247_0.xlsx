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idy\Documents\GUIAS DE PRÁCTICA CLÍNICA 2026\INFORMES GERENCIALES\"/>
    </mc:Choice>
  </mc:AlternateContent>
  <xr:revisionPtr revIDLastSave="0" documentId="13_ncr:1_{0145C520-EAA9-4ABA-A9E9-8C5115D24FE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iorización de GPC" sheetId="4" r:id="rId1"/>
    <sheet name="Cálculo de la muestra mensual" sheetId="3" r:id="rId2"/>
    <sheet name="Hoja1" sheetId="5" r:id="rId3"/>
  </sheets>
  <definedNames>
    <definedName name="_xlchart.v1.0" hidden="1">'Priorización de GPC'!$J$10:$J$19</definedName>
    <definedName name="_xlchart.v1.1" hidden="1">'Priorización de GPC'!$K$10:$K$19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" i="4" l="1"/>
  <c r="G15" i="3"/>
  <c r="G13" i="3"/>
  <c r="G17" i="3" l="1"/>
  <c r="K36" i="4"/>
  <c r="L11" i="4"/>
  <c r="L10" i="4" l="1"/>
  <c r="M10" i="4" s="1"/>
  <c r="L14" i="4"/>
  <c r="L17" i="4"/>
  <c r="L16" i="4"/>
  <c r="L15" i="4"/>
  <c r="L18" i="4"/>
  <c r="L19" i="4"/>
  <c r="L13" i="4"/>
  <c r="L12" i="4"/>
  <c r="M11" i="4" l="1"/>
  <c r="M12" i="4" s="1"/>
  <c r="M13" i="4" s="1"/>
  <c r="M14" i="4" s="1"/>
  <c r="M15" i="4" s="1"/>
  <c r="M16" i="4" s="1"/>
  <c r="M17" i="4" s="1"/>
  <c r="M18" i="4" s="1"/>
  <c r="M19" i="4" s="1"/>
</calcChain>
</file>

<file path=xl/sharedStrings.xml><?xml version="1.0" encoding="utf-8"?>
<sst xmlns="http://schemas.openxmlformats.org/spreadsheetml/2006/main" count="310" uniqueCount="84">
  <si>
    <t xml:space="preserve">                                                    E.S.E. HOSPITAL REGIONAL DE MONIQUIRA</t>
  </si>
  <si>
    <t>MACROPROCESO</t>
  </si>
  <si>
    <t>GESTIÓN DE CALIDAD</t>
  </si>
  <si>
    <t>SUBPROCESO</t>
  </si>
  <si>
    <t>AUDITORIA PARA EL MEJORAMIENTO</t>
  </si>
  <si>
    <t>TIPO DE DOCUMENTO</t>
  </si>
  <si>
    <t>FORMATO</t>
  </si>
  <si>
    <t>NOMBRE</t>
  </si>
  <si>
    <t xml:space="preserve">MEDICIÓN ADHERENCIA GUÍAS DE PRÁCTICA CLÍNICA Y PROTOCOLOS INSTITUCIONALES 2025 </t>
  </si>
  <si>
    <t>N</t>
  </si>
  <si>
    <t>Z alfa medios</t>
  </si>
  <si>
    <t>p</t>
  </si>
  <si>
    <t>Porcentaje adherentes</t>
  </si>
  <si>
    <t>q</t>
  </si>
  <si>
    <t>Porcentajes no adherentes</t>
  </si>
  <si>
    <t>e</t>
  </si>
  <si>
    <t>n</t>
  </si>
  <si>
    <t>muestra mensual</t>
  </si>
  <si>
    <t>MENSUAL</t>
  </si>
  <si>
    <t>BIMESTRAL</t>
  </si>
  <si>
    <t>TRIMESTRAL</t>
  </si>
  <si>
    <t>SEPSIS</t>
  </si>
  <si>
    <t>APENDICITIS</t>
  </si>
  <si>
    <t>PANCREATITIS</t>
  </si>
  <si>
    <t>HVDA</t>
  </si>
  <si>
    <t>THE</t>
  </si>
  <si>
    <t>HEMORRAGIA III TRIMESTRE</t>
  </si>
  <si>
    <t>Total por mes</t>
  </si>
  <si>
    <t>MEDICIÓN ADHERENCIA GUÍAS DE PRÁCTICA CLÍNICA Y PROTOCOLOS INSTITUCIONALES 2026</t>
  </si>
  <si>
    <t>FÓRMULA POBLACIONES FINITAS</t>
  </si>
  <si>
    <t>Morbilidad 2025</t>
  </si>
  <si>
    <t>LUMBAGO</t>
  </si>
  <si>
    <t>GLAUCOMA</t>
  </si>
  <si>
    <t>HIPERPLASIA DE LA PROSTATA</t>
  </si>
  <si>
    <t>INSUFICIENCIA VENOSA (CRONICA) (PERIFERICA)</t>
  </si>
  <si>
    <t xml:space="preserve">HIPERTENSION ARTERIAL ESENCIAL </t>
  </si>
  <si>
    <t xml:space="preserve">DIABETES MELLITUS </t>
  </si>
  <si>
    <t>IRA- VÍA AÉREA SUPERIOR</t>
  </si>
  <si>
    <t>GASTROENTERITIS Y COLITIS</t>
  </si>
  <si>
    <t>HIPOTIROIDISMO</t>
  </si>
  <si>
    <t>INFECCION DE VIAS URINARIAS, SITIO NO ESPECIFICADO</t>
  </si>
  <si>
    <t>N atenciones</t>
  </si>
  <si>
    <t>%individual</t>
  </si>
  <si>
    <t>%acumulado</t>
  </si>
  <si>
    <t>ok</t>
  </si>
  <si>
    <t>pendiente implementación</t>
  </si>
  <si>
    <t xml:space="preserve">HELICOBACTER </t>
  </si>
  <si>
    <t>GONARTROSIS</t>
  </si>
  <si>
    <t>EPOC URGENCIAS</t>
  </si>
  <si>
    <t>EPOC CONSULTA</t>
  </si>
  <si>
    <t>CRISIS HIPERTENSIVA - HTA URGENCIAS</t>
  </si>
  <si>
    <t>¿IMPLEMENTADA?</t>
  </si>
  <si>
    <t>EVALUACION</t>
  </si>
  <si>
    <t>CUATRIMESTRAL</t>
  </si>
  <si>
    <t>Mayo</t>
  </si>
  <si>
    <t>Enero</t>
  </si>
  <si>
    <t>Febrero</t>
  </si>
  <si>
    <t>Abril</t>
  </si>
  <si>
    <t>HTA</t>
  </si>
  <si>
    <t>Marzo</t>
  </si>
  <si>
    <t xml:space="preserve">Adherencia </t>
  </si>
  <si>
    <t>Gastroenteritis</t>
  </si>
  <si>
    <t>Adherencia</t>
  </si>
  <si>
    <t>DM2</t>
  </si>
  <si>
    <t>Apendicitis</t>
  </si>
  <si>
    <t>IAM</t>
  </si>
  <si>
    <t>Julio</t>
  </si>
  <si>
    <t>CARDIOMIOPATIA ISQUEMICA CRÓNICA</t>
  </si>
  <si>
    <t>Junio</t>
  </si>
  <si>
    <t>Agosto</t>
  </si>
  <si>
    <t>Octubre</t>
  </si>
  <si>
    <t>Diciembre</t>
  </si>
  <si>
    <t>HPB</t>
  </si>
  <si>
    <t>IRA</t>
  </si>
  <si>
    <t>Septiembre</t>
  </si>
  <si>
    <t>Noviembre</t>
  </si>
  <si>
    <t>MENSUAL*</t>
  </si>
  <si>
    <t>BIMESTRAL*</t>
  </si>
  <si>
    <t>TRIMESTRAL*</t>
  </si>
  <si>
    <t>IVU</t>
  </si>
  <si>
    <t>Hemorragia III</t>
  </si>
  <si>
    <t>EPOC</t>
  </si>
  <si>
    <t>HELICOBACTER</t>
  </si>
  <si>
    <t>DOLOR ABDOMINAL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</si>
</sst>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12"/>
      <name val="Arial"/>
      <family val="2"/>
    </font>
    <font>
      <b/>
      <sz val="11"/>
      <name val="Calibri"/>
      <family val="2"/>
    </font>
    <font>
      <sz val="12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 Light"/>
      <family val="2"/>
    </font>
    <font>
      <sz val="10"/>
      <color theme="1"/>
      <name val="Calibri Light"/>
      <family val="2"/>
    </font>
    <font>
      <b/>
      <sz val="11"/>
      <color rgb="FFC00000"/>
      <name val="Calibri"/>
      <family val="2"/>
      <scheme val="minor"/>
    </font>
    <font>
      <sz val="11"/>
      <color theme="1"/>
      <name val="Candara Light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 Light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CC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9" fillId="0" borderId="0" xfId="0" applyFont="1"/>
    <xf numFmtId="0" fontId="8" fillId="0" borderId="0" xfId="0" applyFont="1"/>
    <xf numFmtId="9" fontId="9" fillId="0" borderId="1" xfId="1" applyFont="1" applyBorder="1"/>
    <xf numFmtId="0" fontId="0" fillId="0" borderId="1" xfId="0" applyBorder="1"/>
    <xf numFmtId="0" fontId="0" fillId="0" borderId="0" xfId="0" applyAlignment="1">
      <alignment wrapText="1"/>
    </xf>
    <xf numFmtId="0" fontId="2" fillId="0" borderId="3" xfId="0" applyFont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9" fillId="2" borderId="0" xfId="0" applyFont="1" applyFill="1"/>
    <xf numFmtId="0" fontId="8" fillId="2" borderId="0" xfId="0" applyFont="1" applyFill="1"/>
    <xf numFmtId="0" fontId="9" fillId="4" borderId="0" xfId="0" applyFont="1" applyFill="1"/>
    <xf numFmtId="0" fontId="9" fillId="3" borderId="0" xfId="0" applyFont="1" applyFill="1"/>
    <xf numFmtId="0" fontId="9" fillId="3" borderId="0" xfId="0" applyFont="1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12" fillId="0" borderId="1" xfId="0" applyFont="1" applyBorder="1"/>
    <xf numFmtId="9" fontId="0" fillId="0" borderId="1" xfId="1" applyFont="1" applyBorder="1"/>
    <xf numFmtId="9" fontId="13" fillId="0" borderId="1" xfId="1" applyFont="1" applyBorder="1"/>
    <xf numFmtId="0" fontId="12" fillId="0" borderId="1" xfId="0" applyFont="1" applyBorder="1" applyAlignment="1">
      <alignment horizontal="right" vertical="center"/>
    </xf>
    <xf numFmtId="0" fontId="13" fillId="0" borderId="0" xfId="0" applyFont="1"/>
    <xf numFmtId="0" fontId="14" fillId="0" borderId="1" xfId="0" applyFont="1" applyBorder="1" applyAlignment="1">
      <alignment horizontal="center" vertical="center"/>
    </xf>
    <xf numFmtId="0" fontId="8" fillId="0" borderId="0" xfId="0" applyNumberFormat="1" applyFont="1"/>
    <xf numFmtId="0" fontId="14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/>
    <xf numFmtId="0" fontId="1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7" fillId="6" borderId="1" xfId="0" applyFont="1" applyFill="1" applyBorder="1" applyAlignment="1">
      <alignment horizontal="left" vertical="center"/>
    </xf>
    <xf numFmtId="0" fontId="15" fillId="6" borderId="1" xfId="0" applyFont="1" applyFill="1" applyBorder="1"/>
    <xf numFmtId="0" fontId="7" fillId="6" borderId="1" xfId="0" applyFont="1" applyFill="1" applyBorder="1"/>
    <xf numFmtId="0" fontId="0" fillId="6" borderId="1" xfId="0" applyFill="1" applyBorder="1"/>
    <xf numFmtId="0" fontId="0" fillId="3" borderId="0" xfId="0" applyFont="1" applyFill="1"/>
    <xf numFmtId="0" fontId="8" fillId="7" borderId="0" xfId="0" applyFont="1" applyFill="1"/>
    <xf numFmtId="0" fontId="0" fillId="3" borderId="0" xfId="0" applyFont="1" applyFill="1" applyAlignment="1">
      <alignment wrapText="1"/>
    </xf>
    <xf numFmtId="0" fontId="16" fillId="3" borderId="0" xfId="0" applyFont="1" applyFill="1"/>
    <xf numFmtId="0" fontId="8" fillId="8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8" fillId="3" borderId="0" xfId="0" applyFont="1" applyFill="1"/>
    <xf numFmtId="9" fontId="9" fillId="3" borderId="0" xfId="0" applyNumberFormat="1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17" fillId="3" borderId="0" xfId="0" applyFont="1" applyFill="1"/>
    <xf numFmtId="0" fontId="8" fillId="8" borderId="0" xfId="0" applyFont="1" applyFill="1"/>
    <xf numFmtId="0" fontId="0" fillId="11" borderId="0" xfId="0" applyFill="1"/>
    <xf numFmtId="0" fontId="0" fillId="11" borderId="0" xfId="0" applyFill="1" applyAlignment="1">
      <alignment wrapText="1"/>
    </xf>
    <xf numFmtId="0" fontId="9" fillId="11" borderId="0" xfId="0" applyFont="1" applyFill="1"/>
    <xf numFmtId="0" fontId="8" fillId="11" borderId="0" xfId="0" applyFont="1" applyFill="1"/>
    <xf numFmtId="0" fontId="9" fillId="11" borderId="0" xfId="0" applyFont="1" applyFill="1" applyAlignment="1">
      <alignment wrapText="1"/>
    </xf>
    <xf numFmtId="0" fontId="0" fillId="11" borderId="0" xfId="0" applyFont="1" applyFill="1"/>
    <xf numFmtId="0" fontId="0" fillId="11" borderId="0" xfId="0" applyFont="1" applyFill="1" applyAlignment="1">
      <alignment wrapText="1"/>
    </xf>
    <xf numFmtId="0" fontId="8" fillId="2" borderId="0" xfId="0" applyFont="1" applyFill="1" applyAlignment="1">
      <alignment horizontal="center"/>
    </xf>
    <xf numFmtId="0" fontId="7" fillId="12" borderId="1" xfId="0" applyFont="1" applyFill="1" applyBorder="1"/>
    <xf numFmtId="0" fontId="18" fillId="12" borderId="1" xfId="0" applyFont="1" applyFill="1" applyBorder="1"/>
    <xf numFmtId="0" fontId="0" fillId="12" borderId="1" xfId="0" applyFill="1" applyBorder="1"/>
    <xf numFmtId="0" fontId="8" fillId="10" borderId="1" xfId="0" applyFont="1" applyFill="1" applyBorder="1" applyAlignment="1">
      <alignment horizontal="center"/>
    </xf>
    <xf numFmtId="0" fontId="8" fillId="9" borderId="1" xfId="0" applyFont="1" applyFill="1" applyBorder="1"/>
    <xf numFmtId="0" fontId="8" fillId="9" borderId="1" xfId="0" applyFont="1" applyFill="1" applyBorder="1" applyAlignment="1">
      <alignment horizontal="center"/>
    </xf>
    <xf numFmtId="0" fontId="19" fillId="12" borderId="1" xfId="0" applyFont="1" applyFill="1" applyBorder="1"/>
    <xf numFmtId="9" fontId="17" fillId="3" borderId="0" xfId="0" applyNumberFormat="1" applyFont="1" applyFill="1"/>
    <xf numFmtId="0" fontId="17" fillId="5" borderId="0" xfId="0" applyFont="1" applyFill="1"/>
    <xf numFmtId="9" fontId="0" fillId="3" borderId="0" xfId="0" applyNumberFormat="1" applyFont="1" applyFill="1"/>
    <xf numFmtId="0" fontId="0" fillId="5" borderId="0" xfId="0" applyFont="1" applyFill="1"/>
    <xf numFmtId="0" fontId="9" fillId="3" borderId="0" xfId="0" applyFont="1" applyFill="1" applyAlignment="1">
      <alignment vertical="center"/>
    </xf>
    <xf numFmtId="9" fontId="9" fillId="3" borderId="0" xfId="0" applyNumberFormat="1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9" fillId="3" borderId="0" xfId="0" applyFont="1" applyFill="1" applyAlignment="1">
      <alignment horizont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4" fillId="0" borderId="10" xfId="0" applyFont="1" applyBorder="1" applyAlignment="1">
      <alignment horizontal="center"/>
    </xf>
    <xf numFmtId="0" fontId="5" fillId="0" borderId="11" xfId="0" applyFont="1" applyBorder="1"/>
    <xf numFmtId="0" fontId="5" fillId="0" borderId="12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CCFF66"/>
      <color rgb="FFFF9933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Priorización GPC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s-E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Priorización GPC</a:t>
          </a:r>
        </a:p>
      </cx:txPr>
    </cx:title>
    <cx:plotArea>
      <cx:plotAreaRegion>
        <cx:series layoutId="clusteredColumn" uniqueId="{7FF4CB4C-A61B-42F5-BAD9-A48B7E008F06}">
          <cx:dataLabels pos="in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681F665F-7798-443A-A4A2-3C6525FA920D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7</xdr:row>
      <xdr:rowOff>86677</xdr:rowOff>
    </xdr:from>
    <xdr:to>
      <xdr:col>6</xdr:col>
      <xdr:colOff>960119</xdr:colOff>
      <xdr:row>24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35731E90-23DC-4307-A515-BDE1F481A5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9080" y="1618297"/>
              <a:ext cx="5684519" cy="31670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oneCellAnchor>
    <xdr:from>
      <xdr:col>0</xdr:col>
      <xdr:colOff>152400</xdr:colOff>
      <xdr:row>0</xdr:row>
      <xdr:rowOff>144780</xdr:rowOff>
    </xdr:from>
    <xdr:ext cx="1206366" cy="1295400"/>
    <xdr:pic>
      <xdr:nvPicPr>
        <xdr:cNvPr id="3" name="Imagen 2" descr="Hospital Regional de Moniquirá">
          <a:extLst>
            <a:ext uri="{FF2B5EF4-FFF2-40B4-BE49-F238E27FC236}">
              <a16:creationId xmlns:a16="http://schemas.microsoft.com/office/drawing/2014/main" id="{5723C82F-A7DA-4A21-8888-BDA2B55EB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44780"/>
          <a:ext cx="1206366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91440</xdr:rowOff>
    </xdr:from>
    <xdr:to>
      <xdr:col>1</xdr:col>
      <xdr:colOff>718686</xdr:colOff>
      <xdr:row>6</xdr:row>
      <xdr:rowOff>198120</xdr:rowOff>
    </xdr:to>
    <xdr:pic>
      <xdr:nvPicPr>
        <xdr:cNvPr id="3" name="Imagen 2" descr="Hospital Regional de Moniquirá">
          <a:extLst>
            <a:ext uri="{FF2B5EF4-FFF2-40B4-BE49-F238E27FC236}">
              <a16:creationId xmlns:a16="http://schemas.microsoft.com/office/drawing/2014/main" id="{51D75035-CCF1-4494-A59C-C3C5F6909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91440"/>
          <a:ext cx="1206366" cy="143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AABCA-9D4E-4CB5-989B-0BD62186E3EA}">
  <dimension ref="B1:P36"/>
  <sheetViews>
    <sheetView topLeftCell="A8" zoomScale="82" workbookViewId="0">
      <selection activeCell="O15" sqref="O15"/>
    </sheetView>
  </sheetViews>
  <sheetFormatPr baseColWidth="10" defaultRowHeight="14.4" x14ac:dyDescent="0.3"/>
  <cols>
    <col min="6" max="6" width="14.88671875" bestFit="1" customWidth="1"/>
    <col min="7" max="7" width="16.33203125" customWidth="1"/>
    <col min="9" max="9" width="4.88671875" customWidth="1"/>
    <col min="10" max="10" width="41" customWidth="1"/>
    <col min="12" max="12" width="11.88671875" bestFit="1" customWidth="1"/>
    <col min="14" max="14" width="23.88671875" customWidth="1"/>
    <col min="15" max="15" width="18.6640625" customWidth="1"/>
    <col min="16" max="16" width="18.44140625" customWidth="1"/>
  </cols>
  <sheetData>
    <row r="1" spans="2:16" ht="15" thickBot="1" x14ac:dyDescent="0.35">
      <c r="E1" s="1"/>
    </row>
    <row r="2" spans="2:16" ht="14.4" customHeight="1" thickBot="1" x14ac:dyDescent="0.35">
      <c r="C2" s="85" t="s">
        <v>0</v>
      </c>
      <c r="D2" s="86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2:16" ht="16.2" thickBot="1" x14ac:dyDescent="0.35">
      <c r="C3" s="77" t="s">
        <v>1</v>
      </c>
      <c r="D3" s="78"/>
      <c r="E3" s="87" t="s">
        <v>2</v>
      </c>
      <c r="F3" s="88"/>
      <c r="G3" s="88"/>
      <c r="H3" s="88"/>
      <c r="I3" s="88"/>
      <c r="J3" s="88"/>
      <c r="K3" s="88"/>
      <c r="L3" s="88"/>
      <c r="M3" s="88"/>
      <c r="N3" s="88"/>
      <c r="O3" s="88"/>
      <c r="P3" s="89"/>
    </row>
    <row r="4" spans="2:16" ht="26.4" customHeight="1" thickBot="1" x14ac:dyDescent="0.35">
      <c r="C4" s="90" t="s">
        <v>3</v>
      </c>
      <c r="D4" s="91"/>
      <c r="E4" s="79" t="s">
        <v>4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1"/>
    </row>
    <row r="5" spans="2:16" ht="16.2" thickBot="1" x14ac:dyDescent="0.35">
      <c r="C5" s="92"/>
      <c r="D5" s="93"/>
      <c r="E5" s="87"/>
      <c r="F5" s="80"/>
      <c r="G5" s="80"/>
      <c r="H5" s="80"/>
      <c r="I5" s="80"/>
      <c r="J5" s="80"/>
      <c r="K5" s="80"/>
      <c r="L5" s="80"/>
      <c r="M5" s="80"/>
      <c r="N5" s="80"/>
      <c r="O5" s="80"/>
      <c r="P5" s="81"/>
    </row>
    <row r="6" spans="2:16" ht="16.2" thickBot="1" x14ac:dyDescent="0.35">
      <c r="C6" s="77" t="s">
        <v>5</v>
      </c>
      <c r="D6" s="78"/>
      <c r="E6" s="79" t="s">
        <v>6</v>
      </c>
      <c r="F6" s="80"/>
      <c r="G6" s="80"/>
      <c r="H6" s="80"/>
      <c r="I6" s="80"/>
      <c r="J6" s="80"/>
      <c r="K6" s="80"/>
      <c r="L6" s="80"/>
      <c r="M6" s="80"/>
      <c r="N6" s="80"/>
      <c r="O6" s="80"/>
      <c r="P6" s="81"/>
    </row>
    <row r="7" spans="2:16" ht="16.2" thickBot="1" x14ac:dyDescent="0.35">
      <c r="C7" s="77" t="s">
        <v>7</v>
      </c>
      <c r="D7" s="78"/>
      <c r="E7" s="82" t="s">
        <v>8</v>
      </c>
      <c r="F7" s="83"/>
      <c r="G7" s="83"/>
      <c r="H7" s="83"/>
      <c r="I7" s="83"/>
      <c r="J7" s="83"/>
      <c r="K7" s="83"/>
      <c r="L7" s="83"/>
      <c r="M7" s="83"/>
      <c r="N7" s="83"/>
      <c r="O7" s="83"/>
      <c r="P7" s="84"/>
    </row>
    <row r="8" spans="2:16" x14ac:dyDescent="0.3">
      <c r="J8" s="23"/>
    </row>
    <row r="9" spans="2:16" x14ac:dyDescent="0.3">
      <c r="I9" s="5"/>
      <c r="J9" s="24" t="s">
        <v>30</v>
      </c>
      <c r="K9" s="24" t="s">
        <v>41</v>
      </c>
      <c r="L9" s="24" t="s">
        <v>42</v>
      </c>
      <c r="M9" s="24" t="s">
        <v>43</v>
      </c>
      <c r="N9" s="33" t="s">
        <v>51</v>
      </c>
      <c r="O9" s="32" t="s">
        <v>52</v>
      </c>
    </row>
    <row r="10" spans="2:16" x14ac:dyDescent="0.3">
      <c r="I10" s="24">
        <v>1</v>
      </c>
      <c r="J10" s="39" t="s">
        <v>35</v>
      </c>
      <c r="K10" s="22">
        <v>9223</v>
      </c>
      <c r="L10" s="21">
        <f t="shared" ref="L10:L19" si="0">+K10/$K$34</f>
        <v>0.33206120612061207</v>
      </c>
      <c r="M10" s="21">
        <f>+L10</f>
        <v>0.33206120612061207</v>
      </c>
      <c r="N10" s="8" t="s">
        <v>44</v>
      </c>
      <c r="O10" s="37" t="s">
        <v>18</v>
      </c>
      <c r="P10" s="38">
        <v>408</v>
      </c>
    </row>
    <row r="11" spans="2:16" x14ac:dyDescent="0.3">
      <c r="I11" s="24">
        <v>2</v>
      </c>
      <c r="J11" s="28" t="s">
        <v>36</v>
      </c>
      <c r="K11" s="22">
        <v>3743</v>
      </c>
      <c r="L11" s="21">
        <f t="shared" si="0"/>
        <v>0.13476147614761477</v>
      </c>
      <c r="M11" s="21">
        <f>+M10+L11</f>
        <v>0.46682268226822687</v>
      </c>
      <c r="N11" s="8" t="s">
        <v>44</v>
      </c>
      <c r="O11" s="31" t="s">
        <v>19</v>
      </c>
      <c r="P11" s="38"/>
    </row>
    <row r="12" spans="2:16" x14ac:dyDescent="0.3">
      <c r="I12" s="24">
        <v>3</v>
      </c>
      <c r="J12" s="28" t="s">
        <v>33</v>
      </c>
      <c r="K12" s="22">
        <v>2805</v>
      </c>
      <c r="L12" s="21">
        <f t="shared" si="0"/>
        <v>0.100990099009901</v>
      </c>
      <c r="M12" s="21">
        <f t="shared" ref="M12:M19" si="1">+M11+L12</f>
        <v>0.56781278127812784</v>
      </c>
      <c r="N12" s="8" t="s">
        <v>45</v>
      </c>
      <c r="O12" s="31" t="s">
        <v>19</v>
      </c>
      <c r="P12" s="38"/>
    </row>
    <row r="13" spans="2:16" x14ac:dyDescent="0.3">
      <c r="B13" s="5"/>
      <c r="C13" s="5"/>
      <c r="D13" s="5"/>
      <c r="E13" s="5"/>
      <c r="F13" s="5"/>
      <c r="G13" s="5"/>
      <c r="H13" s="5"/>
      <c r="I13" s="24">
        <v>4</v>
      </c>
      <c r="J13" s="28" t="s">
        <v>37</v>
      </c>
      <c r="K13" s="22">
        <v>2401</v>
      </c>
      <c r="L13" s="21">
        <f t="shared" si="0"/>
        <v>8.6444644464446441E-2</v>
      </c>
      <c r="M13" s="21">
        <f t="shared" si="1"/>
        <v>0.65425742574257428</v>
      </c>
      <c r="N13" s="8" t="s">
        <v>44</v>
      </c>
      <c r="O13" s="31" t="s">
        <v>19</v>
      </c>
      <c r="P13" s="38"/>
    </row>
    <row r="14" spans="2:16" x14ac:dyDescent="0.3">
      <c r="B14" s="5"/>
      <c r="C14" s="5"/>
      <c r="D14" s="5"/>
      <c r="E14" s="5"/>
      <c r="F14" s="5"/>
      <c r="G14" s="5"/>
      <c r="H14" s="5"/>
      <c r="I14" s="24">
        <v>5</v>
      </c>
      <c r="J14" s="28" t="s">
        <v>31</v>
      </c>
      <c r="K14" s="22">
        <v>2376</v>
      </c>
      <c r="L14" s="21">
        <f t="shared" si="0"/>
        <v>8.5544554455445551E-2</v>
      </c>
      <c r="M14" s="21">
        <f t="shared" si="1"/>
        <v>0.73980198019801979</v>
      </c>
      <c r="N14" s="8" t="s">
        <v>45</v>
      </c>
      <c r="O14" s="31" t="s">
        <v>19</v>
      </c>
      <c r="P14" s="38"/>
    </row>
    <row r="15" spans="2:16" x14ac:dyDescent="0.3">
      <c r="B15" s="5"/>
      <c r="C15" s="5"/>
      <c r="D15" s="5"/>
      <c r="E15" s="5"/>
      <c r="F15" s="5"/>
      <c r="G15" s="5"/>
      <c r="H15" s="5"/>
      <c r="I15" s="24">
        <v>6</v>
      </c>
      <c r="J15" s="29" t="s">
        <v>38</v>
      </c>
      <c r="K15" s="19">
        <v>2175</v>
      </c>
      <c r="L15" s="21">
        <f t="shared" si="0"/>
        <v>7.8307830783078305E-2</v>
      </c>
      <c r="M15" s="21">
        <f t="shared" si="1"/>
        <v>0.81810981098109814</v>
      </c>
      <c r="N15" s="8" t="s">
        <v>44</v>
      </c>
      <c r="O15" s="37" t="s">
        <v>18</v>
      </c>
      <c r="P15" s="38">
        <v>408</v>
      </c>
    </row>
    <row r="16" spans="2:16" x14ac:dyDescent="0.3">
      <c r="B16" s="5"/>
      <c r="C16" s="5"/>
      <c r="D16" s="5"/>
      <c r="E16" s="5"/>
      <c r="F16" s="5"/>
      <c r="G16" s="5"/>
      <c r="H16" s="5"/>
      <c r="I16" s="26">
        <v>7</v>
      </c>
      <c r="J16" s="29" t="s">
        <v>34</v>
      </c>
      <c r="K16" s="19">
        <v>1618</v>
      </c>
      <c r="L16" s="21">
        <f t="shared" si="0"/>
        <v>5.8253825382538253E-2</v>
      </c>
      <c r="M16" s="21">
        <f t="shared" si="1"/>
        <v>0.87636363636363634</v>
      </c>
      <c r="N16" s="8" t="s">
        <v>45</v>
      </c>
      <c r="O16" s="31" t="s">
        <v>19</v>
      </c>
      <c r="P16" s="38"/>
    </row>
    <row r="17" spans="2:16" x14ac:dyDescent="0.3">
      <c r="B17" s="5"/>
      <c r="C17" s="5"/>
      <c r="D17" s="5"/>
      <c r="E17" s="5"/>
      <c r="F17" s="5"/>
      <c r="G17" s="5"/>
      <c r="H17" s="5"/>
      <c r="I17" s="26">
        <v>8</v>
      </c>
      <c r="J17" s="29" t="s">
        <v>39</v>
      </c>
      <c r="K17" s="22">
        <v>1516</v>
      </c>
      <c r="L17" s="21">
        <f t="shared" si="0"/>
        <v>5.4581458145814582E-2</v>
      </c>
      <c r="M17" s="21">
        <f t="shared" si="1"/>
        <v>0.93094509450945095</v>
      </c>
      <c r="N17" s="8" t="s">
        <v>45</v>
      </c>
      <c r="O17" s="31" t="s">
        <v>19</v>
      </c>
      <c r="P17" s="38"/>
    </row>
    <row r="18" spans="2:16" x14ac:dyDescent="0.3">
      <c r="B18" s="5"/>
      <c r="C18" s="5"/>
      <c r="D18" s="5"/>
      <c r="E18" s="5"/>
      <c r="F18" s="5"/>
      <c r="G18" s="5"/>
      <c r="H18" s="5"/>
      <c r="I18" s="26">
        <v>9</v>
      </c>
      <c r="J18" s="29" t="s">
        <v>67</v>
      </c>
      <c r="K18" s="19">
        <v>1034</v>
      </c>
      <c r="L18" s="21">
        <f t="shared" si="0"/>
        <v>3.7227722772277226E-2</v>
      </c>
      <c r="M18" s="21">
        <f t="shared" si="1"/>
        <v>0.96817281728172822</v>
      </c>
      <c r="N18" s="8" t="s">
        <v>44</v>
      </c>
      <c r="O18" s="31" t="s">
        <v>19</v>
      </c>
      <c r="P18" s="38"/>
    </row>
    <row r="19" spans="2:16" x14ac:dyDescent="0.3">
      <c r="B19" s="5"/>
      <c r="C19" s="5"/>
      <c r="D19" s="5"/>
      <c r="E19" s="5"/>
      <c r="F19" s="5"/>
      <c r="G19" s="5"/>
      <c r="H19" s="5"/>
      <c r="I19" s="26">
        <v>10</v>
      </c>
      <c r="J19" s="29" t="s">
        <v>40</v>
      </c>
      <c r="K19" s="19">
        <v>884</v>
      </c>
      <c r="L19" s="21">
        <f t="shared" si="0"/>
        <v>3.1827182718271826E-2</v>
      </c>
      <c r="M19" s="21">
        <f t="shared" si="1"/>
        <v>1</v>
      </c>
      <c r="N19" s="20" t="s">
        <v>44</v>
      </c>
      <c r="O19" s="31" t="s">
        <v>19</v>
      </c>
      <c r="P19" s="38"/>
    </row>
    <row r="20" spans="2:16" x14ac:dyDescent="0.3">
      <c r="B20" s="5"/>
      <c r="C20" s="5"/>
      <c r="D20" s="5"/>
      <c r="E20" s="5"/>
      <c r="F20" s="5"/>
      <c r="G20" s="5"/>
      <c r="H20" s="5"/>
      <c r="I20" s="11">
        <v>11</v>
      </c>
      <c r="J20" s="40" t="s">
        <v>25</v>
      </c>
      <c r="K20" s="8"/>
      <c r="L20" s="7"/>
      <c r="M20" s="7"/>
      <c r="N20" s="20" t="s">
        <v>44</v>
      </c>
      <c r="O20" s="37" t="s">
        <v>18</v>
      </c>
      <c r="P20" s="38">
        <v>408</v>
      </c>
    </row>
    <row r="21" spans="2:16" x14ac:dyDescent="0.3">
      <c r="B21" s="5"/>
      <c r="C21" s="5"/>
      <c r="D21" s="5"/>
      <c r="E21" s="5"/>
      <c r="F21" s="5"/>
      <c r="G21" s="5"/>
      <c r="H21" s="5"/>
      <c r="I21" s="27">
        <v>12</v>
      </c>
      <c r="J21" s="41" t="s">
        <v>26</v>
      </c>
      <c r="K21" s="8"/>
      <c r="L21" s="8"/>
      <c r="M21" s="8"/>
      <c r="N21" s="20" t="s">
        <v>44</v>
      </c>
      <c r="O21" s="37" t="s">
        <v>18</v>
      </c>
      <c r="P21" s="38">
        <v>408</v>
      </c>
    </row>
    <row r="22" spans="2:16" x14ac:dyDescent="0.3">
      <c r="B22" s="5"/>
      <c r="C22" s="5"/>
      <c r="D22" s="5"/>
      <c r="E22" s="5"/>
      <c r="F22" s="5"/>
      <c r="G22" s="5"/>
      <c r="H22" s="5"/>
      <c r="I22" s="27">
        <v>13</v>
      </c>
      <c r="J22" s="41" t="s">
        <v>22</v>
      </c>
      <c r="K22" s="8"/>
      <c r="L22" s="8"/>
      <c r="M22" s="8"/>
      <c r="N22" s="20" t="s">
        <v>44</v>
      </c>
      <c r="O22" s="37" t="s">
        <v>18</v>
      </c>
      <c r="P22" s="38">
        <v>408</v>
      </c>
    </row>
    <row r="23" spans="2:16" x14ac:dyDescent="0.3">
      <c r="B23" s="5"/>
      <c r="C23" s="5"/>
      <c r="D23" s="5"/>
      <c r="E23" s="5"/>
      <c r="F23" s="5"/>
      <c r="G23" s="5"/>
      <c r="H23" s="5"/>
      <c r="I23" s="27">
        <v>14</v>
      </c>
      <c r="J23" s="62" t="s">
        <v>23</v>
      </c>
      <c r="K23" s="8"/>
      <c r="L23" s="8"/>
      <c r="M23" s="8"/>
      <c r="N23" s="20" t="s">
        <v>44</v>
      </c>
      <c r="O23" s="31" t="s">
        <v>20</v>
      </c>
    </row>
    <row r="24" spans="2:16" x14ac:dyDescent="0.3">
      <c r="B24" s="5"/>
      <c r="C24" s="5"/>
      <c r="D24" s="5"/>
      <c r="E24" s="5"/>
      <c r="F24" s="5"/>
      <c r="G24" s="5"/>
      <c r="H24" s="5"/>
      <c r="I24" s="27">
        <v>15</v>
      </c>
      <c r="J24" s="62" t="s">
        <v>24</v>
      </c>
      <c r="K24" s="8"/>
      <c r="L24" s="8"/>
      <c r="M24" s="8"/>
      <c r="N24" s="20" t="s">
        <v>44</v>
      </c>
      <c r="O24" s="31" t="s">
        <v>20</v>
      </c>
    </row>
    <row r="25" spans="2:16" x14ac:dyDescent="0.3">
      <c r="B25" s="5"/>
      <c r="C25" s="5"/>
      <c r="D25" s="5"/>
      <c r="E25" s="5"/>
      <c r="F25" s="5"/>
      <c r="G25" s="5"/>
      <c r="H25" s="5"/>
      <c r="I25" s="27">
        <v>16</v>
      </c>
      <c r="J25" s="62" t="s">
        <v>46</v>
      </c>
      <c r="K25" s="8"/>
      <c r="L25" s="8"/>
      <c r="M25" s="8"/>
      <c r="N25" s="20" t="s">
        <v>44</v>
      </c>
      <c r="O25" s="31" t="s">
        <v>20</v>
      </c>
    </row>
    <row r="26" spans="2:16" x14ac:dyDescent="0.3">
      <c r="B26" s="5"/>
      <c r="C26" s="5"/>
      <c r="D26" s="6"/>
      <c r="E26" s="5" t="s">
        <v>18</v>
      </c>
      <c r="F26" s="5"/>
      <c r="G26" s="5"/>
      <c r="H26" s="5"/>
      <c r="I26" s="27">
        <v>17</v>
      </c>
      <c r="J26" s="62" t="s">
        <v>21</v>
      </c>
      <c r="K26" s="8"/>
      <c r="L26" s="8"/>
      <c r="M26" s="8"/>
      <c r="N26" s="20" t="s">
        <v>44</v>
      </c>
      <c r="O26" s="31" t="s">
        <v>20</v>
      </c>
    </row>
    <row r="27" spans="2:16" x14ac:dyDescent="0.3">
      <c r="B27" s="5"/>
      <c r="C27" s="5"/>
      <c r="D27" s="6"/>
      <c r="E27" s="5" t="s">
        <v>19</v>
      </c>
      <c r="F27" s="5"/>
      <c r="G27" s="5"/>
      <c r="H27" s="5"/>
      <c r="I27" s="30">
        <v>18</v>
      </c>
      <c r="J27" s="62" t="s">
        <v>48</v>
      </c>
      <c r="K27" s="8"/>
      <c r="L27" s="8"/>
      <c r="M27" s="8"/>
      <c r="N27" s="20" t="s">
        <v>44</v>
      </c>
      <c r="O27" s="31" t="s">
        <v>20</v>
      </c>
    </row>
    <row r="28" spans="2:16" x14ac:dyDescent="0.3">
      <c r="B28" s="5"/>
      <c r="C28" s="5"/>
      <c r="D28" s="6"/>
      <c r="E28" s="5" t="s">
        <v>20</v>
      </c>
      <c r="F28" s="5"/>
      <c r="G28" s="5"/>
      <c r="H28" s="5"/>
      <c r="I28" s="32">
        <v>19</v>
      </c>
      <c r="J28" s="64" t="s">
        <v>39</v>
      </c>
      <c r="K28" s="8"/>
      <c r="L28" s="8"/>
      <c r="M28" s="8"/>
      <c r="N28" s="8" t="s">
        <v>45</v>
      </c>
      <c r="O28" s="31" t="s">
        <v>20</v>
      </c>
    </row>
    <row r="29" spans="2:16" x14ac:dyDescent="0.3">
      <c r="B29" s="5"/>
      <c r="C29" s="5"/>
      <c r="D29" s="5"/>
      <c r="E29" s="5" t="s">
        <v>53</v>
      </c>
      <c r="F29" s="5"/>
      <c r="G29" s="5"/>
      <c r="H29" s="5"/>
      <c r="I29" s="32">
        <v>20</v>
      </c>
      <c r="J29" s="64" t="s">
        <v>32</v>
      </c>
      <c r="K29" s="8"/>
      <c r="L29" s="8"/>
      <c r="M29" s="8"/>
      <c r="N29" s="8" t="s">
        <v>45</v>
      </c>
      <c r="O29" s="31" t="s">
        <v>20</v>
      </c>
    </row>
    <row r="30" spans="2:16" x14ac:dyDescent="0.3">
      <c r="B30" s="5"/>
      <c r="C30" s="5"/>
      <c r="D30" s="5"/>
      <c r="E30" s="5"/>
      <c r="F30" s="5"/>
      <c r="G30" s="5"/>
      <c r="H30" s="5"/>
      <c r="I30" s="32">
        <v>21</v>
      </c>
      <c r="J30" s="64" t="s">
        <v>47</v>
      </c>
      <c r="K30" s="8"/>
      <c r="L30" s="8"/>
      <c r="M30" s="8"/>
      <c r="N30" s="8" t="s">
        <v>45</v>
      </c>
      <c r="O30" s="31" t="s">
        <v>20</v>
      </c>
    </row>
    <row r="31" spans="2:16" x14ac:dyDescent="0.3">
      <c r="B31" s="5"/>
      <c r="C31" s="5"/>
      <c r="D31" s="5"/>
      <c r="E31" s="5"/>
      <c r="F31" s="5"/>
      <c r="G31" s="5"/>
      <c r="H31" s="5"/>
      <c r="I31" s="32">
        <v>22</v>
      </c>
      <c r="J31" s="64" t="s">
        <v>49</v>
      </c>
      <c r="K31" s="8"/>
      <c r="L31" s="8"/>
      <c r="M31" s="8"/>
      <c r="N31" s="20" t="s">
        <v>44</v>
      </c>
      <c r="O31" s="31" t="s">
        <v>20</v>
      </c>
    </row>
    <row r="32" spans="2:16" x14ac:dyDescent="0.3">
      <c r="B32" s="5"/>
      <c r="C32" s="5"/>
      <c r="D32" s="5"/>
      <c r="E32" s="5"/>
      <c r="F32" s="5"/>
      <c r="G32" s="5"/>
      <c r="H32" s="5"/>
      <c r="I32" s="32">
        <v>23</v>
      </c>
      <c r="J32" s="64" t="s">
        <v>50</v>
      </c>
      <c r="K32" s="8"/>
      <c r="L32" s="8"/>
      <c r="M32" s="8"/>
      <c r="N32" s="8" t="s">
        <v>45</v>
      </c>
      <c r="O32" s="31" t="s">
        <v>20</v>
      </c>
    </row>
    <row r="33" spans="9:16" x14ac:dyDescent="0.3">
      <c r="I33" s="32">
        <v>24</v>
      </c>
      <c r="J33" s="42" t="s">
        <v>65</v>
      </c>
      <c r="K33" s="8"/>
      <c r="L33" s="8"/>
      <c r="M33" s="8"/>
      <c r="N33" s="8" t="s">
        <v>44</v>
      </c>
      <c r="O33" s="37" t="s">
        <v>18</v>
      </c>
      <c r="P33">
        <v>408</v>
      </c>
    </row>
    <row r="34" spans="9:16" x14ac:dyDescent="0.3">
      <c r="K34" s="25">
        <f>+SUM(K10:K19)</f>
        <v>27775</v>
      </c>
    </row>
    <row r="36" spans="9:16" x14ac:dyDescent="0.3">
      <c r="K36" s="25">
        <f>+SUM(K27:K35)</f>
        <v>27775</v>
      </c>
    </row>
  </sheetData>
  <mergeCells count="11">
    <mergeCell ref="C6:D6"/>
    <mergeCell ref="E6:P6"/>
    <mergeCell ref="C7:D7"/>
    <mergeCell ref="E7:P7"/>
    <mergeCell ref="C2:D2"/>
    <mergeCell ref="C3:D3"/>
    <mergeCell ref="E3:P3"/>
    <mergeCell ref="C4:D4"/>
    <mergeCell ref="E4:P4"/>
    <mergeCell ref="C5:D5"/>
    <mergeCell ref="E5:P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0E2A-81A4-4B3D-806D-9BC606D19F01}">
  <dimension ref="A1:AJ606"/>
  <sheetViews>
    <sheetView tabSelected="1" topLeftCell="E9" zoomScale="66" zoomScaleNormal="100" workbookViewId="0">
      <selection activeCell="O15" sqref="O15"/>
    </sheetView>
  </sheetViews>
  <sheetFormatPr baseColWidth="10" defaultColWidth="14" defaultRowHeight="15" customHeight="1" x14ac:dyDescent="0.3"/>
  <cols>
    <col min="1" max="1" width="8.33203125" customWidth="1"/>
    <col min="2" max="3" width="11.6640625" customWidth="1"/>
    <col min="4" max="4" width="34.6640625" customWidth="1"/>
    <col min="5" max="5" width="15.77734375" customWidth="1"/>
    <col min="6" max="6" width="18.21875" customWidth="1"/>
    <col min="7" max="7" width="12.33203125" customWidth="1"/>
    <col min="8" max="8" width="11.6640625" customWidth="1"/>
    <col min="9" max="9" width="17.44140625" customWidth="1"/>
    <col min="10" max="10" width="15" style="9" customWidth="1"/>
    <col min="11" max="11" width="13.88671875" customWidth="1"/>
    <col min="12" max="12" width="16.109375" customWidth="1"/>
    <col min="13" max="13" width="17.6640625" customWidth="1"/>
    <col min="14" max="16" width="11.6640625" customWidth="1"/>
    <col min="17" max="17" width="15.44140625" customWidth="1"/>
    <col min="18" max="20" width="11.6640625" customWidth="1"/>
    <col min="21" max="21" width="18.6640625" customWidth="1"/>
  </cols>
  <sheetData>
    <row r="1" spans="1:31" thickBot="1" x14ac:dyDescent="0.35">
      <c r="E1" s="1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 spans="1:31" ht="14.4" customHeight="1" thickBot="1" x14ac:dyDescent="0.35">
      <c r="C2" s="85" t="s">
        <v>0</v>
      </c>
      <c r="D2" s="86"/>
      <c r="E2" s="2"/>
      <c r="F2" s="3"/>
      <c r="G2" s="3"/>
      <c r="H2" s="3"/>
      <c r="I2" s="3"/>
      <c r="J2" s="10"/>
      <c r="K2" s="3"/>
      <c r="L2" s="3"/>
      <c r="M2" s="4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</row>
    <row r="3" spans="1:31" ht="16.2" thickBot="1" x14ac:dyDescent="0.35">
      <c r="C3" s="77" t="s">
        <v>1</v>
      </c>
      <c r="D3" s="78"/>
      <c r="E3" s="87" t="s">
        <v>2</v>
      </c>
      <c r="F3" s="88"/>
      <c r="G3" s="88"/>
      <c r="H3" s="88"/>
      <c r="I3" s="88"/>
      <c r="J3" s="88"/>
      <c r="K3" s="88"/>
      <c r="L3" s="88"/>
      <c r="M3" s="89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 spans="1:31" ht="26.4" customHeight="1" thickBot="1" x14ac:dyDescent="0.35">
      <c r="C4" s="90" t="s">
        <v>3</v>
      </c>
      <c r="D4" s="91"/>
      <c r="E4" s="79" t="s">
        <v>4</v>
      </c>
      <c r="F4" s="80"/>
      <c r="G4" s="80"/>
      <c r="H4" s="80"/>
      <c r="I4" s="80"/>
      <c r="J4" s="80"/>
      <c r="K4" s="80"/>
      <c r="L4" s="80"/>
      <c r="M4" s="81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spans="1:31" ht="16.2" thickBot="1" x14ac:dyDescent="0.35">
      <c r="C5" s="92"/>
      <c r="D5" s="93"/>
      <c r="E5" s="87"/>
      <c r="F5" s="80"/>
      <c r="G5" s="80"/>
      <c r="H5" s="80"/>
      <c r="I5" s="80"/>
      <c r="J5" s="80"/>
      <c r="K5" s="80"/>
      <c r="L5" s="80"/>
      <c r="M5" s="81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</row>
    <row r="6" spans="1:31" ht="16.2" thickBot="1" x14ac:dyDescent="0.35">
      <c r="C6" s="77" t="s">
        <v>5</v>
      </c>
      <c r="D6" s="78"/>
      <c r="E6" s="79" t="s">
        <v>6</v>
      </c>
      <c r="F6" s="80"/>
      <c r="G6" s="80"/>
      <c r="H6" s="80"/>
      <c r="I6" s="80"/>
      <c r="J6" s="80"/>
      <c r="K6" s="80"/>
      <c r="L6" s="80"/>
      <c r="M6" s="81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</row>
    <row r="7" spans="1:31" ht="16.2" thickBot="1" x14ac:dyDescent="0.35">
      <c r="C7" s="77" t="s">
        <v>7</v>
      </c>
      <c r="D7" s="78"/>
      <c r="E7" s="82" t="s">
        <v>28</v>
      </c>
      <c r="F7" s="83"/>
      <c r="G7" s="83"/>
      <c r="H7" s="83"/>
      <c r="I7" s="83"/>
      <c r="J7" s="83"/>
      <c r="K7" s="83"/>
      <c r="L7" s="83"/>
      <c r="M7" s="84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 spans="1:31" ht="18.600000000000001" customHeight="1" x14ac:dyDescent="0.3">
      <c r="A8" s="17"/>
      <c r="B8" s="17"/>
      <c r="C8" s="17"/>
      <c r="D8" s="17"/>
      <c r="E8" s="17"/>
      <c r="F8" s="17"/>
      <c r="G8" s="17"/>
      <c r="H8" s="17"/>
      <c r="I8" s="17"/>
      <c r="J8" s="18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1:31" ht="13.5" customHeight="1" x14ac:dyDescent="0.3">
      <c r="A9" s="17"/>
      <c r="B9" s="17"/>
      <c r="C9" s="17"/>
      <c r="D9" s="17"/>
      <c r="E9" s="17"/>
      <c r="F9" s="17"/>
      <c r="G9" s="17"/>
      <c r="H9" s="17"/>
      <c r="I9" s="17"/>
      <c r="J9" s="18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 spans="1:31" ht="13.5" customHeight="1" x14ac:dyDescent="0.3">
      <c r="A10" s="17"/>
      <c r="B10" s="17"/>
      <c r="C10" s="15"/>
      <c r="D10" s="15"/>
      <c r="E10" s="15"/>
      <c r="F10" s="15"/>
      <c r="G10" s="15"/>
      <c r="H10" s="15"/>
      <c r="I10" s="15"/>
      <c r="J10" s="16"/>
      <c r="K10" s="15"/>
      <c r="L10" s="15"/>
      <c r="M10" s="15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 spans="1:31" ht="13.5" customHeight="1" x14ac:dyDescent="0.3">
      <c r="A11" s="17"/>
      <c r="B11" s="17"/>
      <c r="C11" s="15"/>
      <c r="D11" s="15"/>
      <c r="E11" s="15"/>
      <c r="F11" s="12"/>
      <c r="G11" s="13" t="s">
        <v>29</v>
      </c>
      <c r="H11" s="12"/>
      <c r="I11" s="12"/>
      <c r="J11" s="16"/>
      <c r="K11" s="15"/>
      <c r="L11" s="15"/>
      <c r="M11" s="15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 spans="1:31" ht="19.2" customHeight="1" x14ac:dyDescent="0.3">
      <c r="A12" s="17"/>
      <c r="B12" s="17"/>
      <c r="C12" s="15"/>
      <c r="D12" s="15"/>
      <c r="E12" s="15"/>
      <c r="F12" s="13" t="s">
        <v>9</v>
      </c>
      <c r="G12" s="14">
        <v>710</v>
      </c>
      <c r="H12" s="12" t="s">
        <v>27</v>
      </c>
      <c r="I12" s="12"/>
      <c r="J12" s="16"/>
      <c r="K12" s="15"/>
      <c r="L12" s="15"/>
      <c r="M12" s="15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 spans="1:31" ht="13.5" customHeight="1" x14ac:dyDescent="0.3">
      <c r="A13" s="17"/>
      <c r="B13" s="17"/>
      <c r="C13" s="15"/>
      <c r="D13" s="15"/>
      <c r="E13" s="15"/>
      <c r="F13" s="13" t="s">
        <v>10</v>
      </c>
      <c r="G13" s="12">
        <f>+NORMSINV(0.975)</f>
        <v>1.9599639845400536</v>
      </c>
      <c r="H13" s="12"/>
      <c r="I13" s="12"/>
      <c r="J13" s="16"/>
      <c r="K13" s="15"/>
      <c r="L13" s="15"/>
      <c r="M13" s="15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</row>
    <row r="14" spans="1:31" ht="13.5" customHeight="1" x14ac:dyDescent="0.3">
      <c r="A14" s="17"/>
      <c r="B14" s="17"/>
      <c r="C14" s="15"/>
      <c r="D14" s="15"/>
      <c r="E14" s="15"/>
      <c r="F14" s="13" t="s">
        <v>11</v>
      </c>
      <c r="G14" s="12">
        <v>0.92</v>
      </c>
      <c r="H14" s="12" t="s">
        <v>12</v>
      </c>
      <c r="I14" s="12"/>
      <c r="J14" s="16"/>
      <c r="K14" s="15"/>
      <c r="L14" s="15"/>
      <c r="M14" s="15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</row>
    <row r="15" spans="1:31" ht="13.5" customHeight="1" x14ac:dyDescent="0.3">
      <c r="A15" s="17"/>
      <c r="B15" s="17"/>
      <c r="C15" s="15"/>
      <c r="D15" s="15"/>
      <c r="E15" s="15"/>
      <c r="F15" s="13" t="s">
        <v>13</v>
      </c>
      <c r="G15" s="12">
        <f>1-G14</f>
        <v>7.999999999999996E-2</v>
      </c>
      <c r="H15" s="12" t="s">
        <v>14</v>
      </c>
      <c r="I15" s="12"/>
      <c r="J15" s="16"/>
      <c r="K15" s="15"/>
      <c r="L15" s="15"/>
      <c r="M15" s="15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</row>
    <row r="16" spans="1:31" ht="13.5" customHeight="1" x14ac:dyDescent="0.3">
      <c r="A16" s="17"/>
      <c r="B16" s="17"/>
      <c r="C16" s="15"/>
      <c r="D16" s="15"/>
      <c r="E16" s="15"/>
      <c r="F16" s="13" t="s">
        <v>15</v>
      </c>
      <c r="G16" s="12">
        <v>0.05</v>
      </c>
      <c r="H16" s="12"/>
      <c r="I16" s="12"/>
      <c r="J16" s="16"/>
      <c r="K16" s="15"/>
      <c r="L16" s="15"/>
      <c r="M16" s="15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</row>
    <row r="17" spans="1:31" ht="13.2" customHeight="1" x14ac:dyDescent="0.3">
      <c r="A17" s="17"/>
      <c r="B17" s="17"/>
      <c r="C17" s="15"/>
      <c r="D17" s="15"/>
      <c r="E17" s="15"/>
      <c r="F17" s="13" t="s">
        <v>16</v>
      </c>
      <c r="G17" s="12">
        <f>+(G12*(G13^2)*G14*G15)/((G16^2)*(G12-1)+(G13^2)*G14*G15)</f>
        <v>97.672347328966836</v>
      </c>
      <c r="H17" s="12" t="s">
        <v>17</v>
      </c>
      <c r="I17" s="12"/>
      <c r="J17" s="16"/>
      <c r="K17" s="15"/>
      <c r="L17" s="15"/>
      <c r="M17" s="15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 spans="1:31" ht="8.4" customHeight="1" x14ac:dyDescent="0.3">
      <c r="A18" s="17"/>
      <c r="B18" s="17"/>
      <c r="C18" s="15"/>
      <c r="D18" s="15"/>
      <c r="E18" s="15"/>
      <c r="F18" s="49"/>
      <c r="G18" s="15"/>
      <c r="H18" s="15"/>
      <c r="I18" s="15"/>
      <c r="J18" s="16"/>
      <c r="K18" s="15"/>
      <c r="L18" s="15"/>
      <c r="M18" s="15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 spans="1:31" s="54" customFormat="1" ht="6.6" customHeight="1" x14ac:dyDescent="0.3">
      <c r="C19" s="56"/>
      <c r="D19" s="56"/>
      <c r="E19" s="56"/>
      <c r="F19" s="57"/>
      <c r="G19" s="56"/>
      <c r="H19" s="56"/>
      <c r="I19" s="56"/>
      <c r="J19" s="58"/>
      <c r="K19" s="56"/>
      <c r="L19" s="56"/>
      <c r="M19" s="56"/>
    </row>
    <row r="20" spans="1:31" ht="13.5" customHeight="1" x14ac:dyDescent="0.3">
      <c r="A20" s="17"/>
      <c r="B20" s="17"/>
      <c r="C20" s="15"/>
      <c r="D20" s="15"/>
      <c r="E20" s="46" t="s">
        <v>76</v>
      </c>
      <c r="F20" s="43"/>
      <c r="G20" s="43"/>
      <c r="H20" s="43"/>
      <c r="I20" s="43"/>
      <c r="J20" s="45"/>
      <c r="K20" s="43"/>
      <c r="L20" s="43"/>
      <c r="M20" s="43"/>
      <c r="N20" s="35"/>
      <c r="O20" s="35"/>
      <c r="P20" s="35"/>
      <c r="Q20" s="35"/>
      <c r="R20" s="34"/>
      <c r="S20" s="34"/>
      <c r="T20" s="34"/>
      <c r="U20" s="15"/>
      <c r="V20" s="34"/>
      <c r="W20" s="34"/>
      <c r="X20" s="17"/>
      <c r="Y20" s="17"/>
      <c r="Z20" s="17"/>
      <c r="AA20" s="17"/>
      <c r="AB20" s="17"/>
      <c r="AC20" s="17"/>
      <c r="AD20" s="17"/>
      <c r="AE20" s="17"/>
    </row>
    <row r="21" spans="1:31" ht="13.5" customHeight="1" x14ac:dyDescent="0.3">
      <c r="A21" s="17"/>
      <c r="B21" s="17"/>
      <c r="C21" s="15"/>
      <c r="D21" s="15"/>
      <c r="E21" s="66" t="s">
        <v>58</v>
      </c>
      <c r="F21" s="48" t="s">
        <v>9</v>
      </c>
      <c r="G21" s="48" t="s">
        <v>60</v>
      </c>
      <c r="H21" s="48" t="s">
        <v>16</v>
      </c>
      <c r="I21" s="67" t="s">
        <v>61</v>
      </c>
      <c r="J21" s="48" t="s">
        <v>9</v>
      </c>
      <c r="K21" s="48" t="s">
        <v>62</v>
      </c>
      <c r="L21" s="48" t="s">
        <v>16</v>
      </c>
      <c r="M21" s="66" t="s">
        <v>64</v>
      </c>
      <c r="N21" s="48" t="s">
        <v>9</v>
      </c>
      <c r="O21" s="48" t="s">
        <v>60</v>
      </c>
      <c r="P21" s="48" t="s">
        <v>16</v>
      </c>
      <c r="Q21" s="66" t="s">
        <v>65</v>
      </c>
      <c r="R21" s="48" t="s">
        <v>9</v>
      </c>
      <c r="S21" s="48" t="s">
        <v>60</v>
      </c>
      <c r="T21" s="48" t="s">
        <v>16</v>
      </c>
      <c r="U21" s="44"/>
      <c r="V21" s="66" t="s">
        <v>25</v>
      </c>
      <c r="W21" s="48" t="s">
        <v>9</v>
      </c>
      <c r="X21" s="48" t="s">
        <v>60</v>
      </c>
      <c r="Y21" s="48" t="s">
        <v>16</v>
      </c>
      <c r="Z21" s="44"/>
      <c r="AA21" s="66" t="s">
        <v>80</v>
      </c>
      <c r="AB21" s="48" t="s">
        <v>9</v>
      </c>
      <c r="AC21" s="48" t="s">
        <v>60</v>
      </c>
      <c r="AD21" s="48" t="s">
        <v>16</v>
      </c>
      <c r="AE21" s="44"/>
    </row>
    <row r="22" spans="1:31" ht="13.5" customHeight="1" x14ac:dyDescent="0.3">
      <c r="A22" s="17"/>
      <c r="B22" s="17"/>
      <c r="C22" s="15"/>
      <c r="D22" s="15"/>
      <c r="E22" s="44" t="s">
        <v>55</v>
      </c>
      <c r="F22" s="36"/>
      <c r="G22" s="36"/>
      <c r="H22" s="36"/>
      <c r="I22" s="44" t="s">
        <v>57</v>
      </c>
      <c r="J22" s="36"/>
      <c r="K22" s="50">
        <v>0.82</v>
      </c>
      <c r="L22" s="51">
        <v>21</v>
      </c>
      <c r="M22" s="44" t="s">
        <v>55</v>
      </c>
      <c r="N22" s="36"/>
      <c r="O22" s="36"/>
      <c r="P22" s="36"/>
      <c r="Q22" s="44" t="s">
        <v>55</v>
      </c>
      <c r="R22" s="36"/>
      <c r="S22" s="36"/>
      <c r="T22" s="36"/>
      <c r="U22" s="49"/>
      <c r="V22" s="44" t="s">
        <v>55</v>
      </c>
      <c r="W22" s="36"/>
      <c r="X22" s="36"/>
      <c r="Y22" s="36"/>
      <c r="Z22" s="49"/>
      <c r="AA22" s="44" t="s">
        <v>55</v>
      </c>
      <c r="AB22" s="36"/>
      <c r="AC22" s="36"/>
      <c r="AD22" s="36"/>
      <c r="AE22" s="49"/>
    </row>
    <row r="23" spans="1:31" ht="13.5" customHeight="1" x14ac:dyDescent="0.3">
      <c r="A23" s="17"/>
      <c r="B23" s="17"/>
      <c r="C23" s="17"/>
      <c r="D23" s="17"/>
      <c r="E23" s="44" t="s">
        <v>56</v>
      </c>
      <c r="F23" s="36"/>
      <c r="G23" s="36"/>
      <c r="H23" s="36"/>
      <c r="I23" s="44" t="s">
        <v>54</v>
      </c>
      <c r="J23" s="36">
        <v>122</v>
      </c>
      <c r="K23" s="50">
        <v>0.8</v>
      </c>
      <c r="L23" s="51">
        <v>81</v>
      </c>
      <c r="M23" s="44" t="s">
        <v>56</v>
      </c>
      <c r="N23" s="36"/>
      <c r="O23" s="36"/>
      <c r="P23" s="36"/>
      <c r="Q23" s="44" t="s">
        <v>56</v>
      </c>
      <c r="R23" s="36"/>
      <c r="S23" s="36"/>
      <c r="T23" s="36"/>
      <c r="U23" s="49"/>
      <c r="V23" s="44" t="s">
        <v>56</v>
      </c>
      <c r="W23" s="36"/>
      <c r="X23" s="36"/>
      <c r="Y23" s="36"/>
      <c r="Z23" s="49"/>
      <c r="AA23" s="44" t="s">
        <v>56</v>
      </c>
      <c r="AB23" s="36"/>
      <c r="AC23" s="36"/>
      <c r="AD23" s="36"/>
      <c r="AE23" s="49"/>
    </row>
    <row r="24" spans="1:31" ht="13.5" customHeight="1" x14ac:dyDescent="0.3">
      <c r="A24" s="17"/>
      <c r="B24" s="17"/>
      <c r="C24" s="17"/>
      <c r="D24" s="17"/>
      <c r="E24" s="44" t="s">
        <v>59</v>
      </c>
      <c r="F24" s="36"/>
      <c r="G24" s="36"/>
      <c r="H24" s="36"/>
      <c r="I24" s="44" t="s">
        <v>68</v>
      </c>
      <c r="J24" s="36">
        <v>125</v>
      </c>
      <c r="K24" s="50">
        <v>0.8</v>
      </c>
      <c r="L24" s="51">
        <v>62</v>
      </c>
      <c r="M24" s="44" t="s">
        <v>59</v>
      </c>
      <c r="N24" s="36"/>
      <c r="O24" s="36"/>
      <c r="P24" s="36"/>
      <c r="Q24" s="44" t="s">
        <v>59</v>
      </c>
      <c r="R24" s="36"/>
      <c r="S24" s="36"/>
      <c r="T24" s="36"/>
      <c r="U24" s="49"/>
      <c r="V24" s="44" t="s">
        <v>59</v>
      </c>
      <c r="W24" s="36"/>
      <c r="X24" s="36"/>
      <c r="Y24" s="36"/>
      <c r="Z24" s="49"/>
      <c r="AA24" s="44" t="s">
        <v>59</v>
      </c>
      <c r="AB24" s="36"/>
      <c r="AC24" s="36"/>
      <c r="AD24" s="36"/>
      <c r="AE24" s="49"/>
    </row>
    <row r="25" spans="1:31" ht="13.5" customHeight="1" x14ac:dyDescent="0.3">
      <c r="A25" s="17"/>
      <c r="B25" s="17"/>
      <c r="C25" s="17"/>
      <c r="D25" s="17"/>
      <c r="E25" s="44" t="s">
        <v>57</v>
      </c>
      <c r="F25" s="36"/>
      <c r="G25" s="36"/>
      <c r="H25" s="36"/>
      <c r="I25" s="44" t="s">
        <v>66</v>
      </c>
      <c r="J25" s="76">
        <v>89</v>
      </c>
      <c r="K25" s="50">
        <v>0.84</v>
      </c>
      <c r="L25" s="51">
        <v>49</v>
      </c>
      <c r="M25" s="44" t="s">
        <v>57</v>
      </c>
      <c r="N25" s="36">
        <v>14</v>
      </c>
      <c r="O25" s="36"/>
      <c r="P25" s="51">
        <v>14</v>
      </c>
      <c r="Q25" s="44" t="s">
        <v>57</v>
      </c>
      <c r="R25" s="36"/>
      <c r="S25" s="36"/>
      <c r="T25" s="36"/>
      <c r="U25" s="49"/>
      <c r="V25" s="44" t="s">
        <v>57</v>
      </c>
      <c r="W25" s="36"/>
      <c r="X25" s="36"/>
      <c r="Y25" s="36"/>
      <c r="Z25" s="49"/>
      <c r="AA25" s="44" t="s">
        <v>57</v>
      </c>
      <c r="AB25" s="36"/>
      <c r="AC25" s="36"/>
      <c r="AD25" s="36"/>
      <c r="AE25" s="49"/>
    </row>
    <row r="26" spans="1:31" ht="13.5" customHeight="1" x14ac:dyDescent="0.3">
      <c r="A26" s="17"/>
      <c r="B26" s="17"/>
      <c r="C26" s="17"/>
      <c r="D26" s="17"/>
      <c r="E26" s="44" t="s">
        <v>54</v>
      </c>
      <c r="F26" s="36">
        <v>589</v>
      </c>
      <c r="G26" s="50">
        <v>0.82</v>
      </c>
      <c r="H26" s="51">
        <v>163</v>
      </c>
      <c r="I26" s="44" t="s">
        <v>69</v>
      </c>
      <c r="J26" s="16"/>
      <c r="K26" s="15"/>
      <c r="L26" s="15"/>
      <c r="M26" s="44" t="s">
        <v>54</v>
      </c>
      <c r="N26" s="36">
        <v>12</v>
      </c>
      <c r="O26" s="50">
        <v>0.98</v>
      </c>
      <c r="P26" s="51">
        <v>12</v>
      </c>
      <c r="Q26" s="44" t="s">
        <v>54</v>
      </c>
      <c r="R26" s="36">
        <v>7</v>
      </c>
      <c r="S26" s="50">
        <v>0.98</v>
      </c>
      <c r="T26" s="51">
        <v>7</v>
      </c>
      <c r="U26" s="49"/>
      <c r="V26" s="44" t="s">
        <v>54</v>
      </c>
      <c r="W26" s="36"/>
      <c r="X26" s="50"/>
      <c r="Y26" s="36"/>
      <c r="Z26" s="49"/>
      <c r="AA26" s="44" t="s">
        <v>54</v>
      </c>
      <c r="AB26" s="36"/>
      <c r="AC26" s="50"/>
      <c r="AD26" s="36"/>
      <c r="AE26" s="49"/>
    </row>
    <row r="27" spans="1:31" ht="13.5" customHeight="1" x14ac:dyDescent="0.3">
      <c r="A27" s="17"/>
      <c r="B27" s="17"/>
      <c r="C27" s="17"/>
      <c r="D27" s="17"/>
      <c r="E27" s="44" t="s">
        <v>68</v>
      </c>
      <c r="F27" s="36">
        <v>515</v>
      </c>
      <c r="G27" s="50">
        <v>0.9</v>
      </c>
      <c r="H27" s="51">
        <v>62</v>
      </c>
      <c r="I27" s="44" t="s">
        <v>74</v>
      </c>
      <c r="J27" s="16"/>
      <c r="K27" s="15"/>
      <c r="L27" s="15"/>
      <c r="M27" s="44" t="s">
        <v>68</v>
      </c>
      <c r="N27" s="36"/>
      <c r="O27" s="50"/>
      <c r="P27" s="36"/>
      <c r="Q27" s="44" t="s">
        <v>68</v>
      </c>
      <c r="R27" s="15"/>
      <c r="S27" s="15"/>
      <c r="T27" s="15"/>
      <c r="U27" s="15"/>
      <c r="V27" s="44" t="s">
        <v>68</v>
      </c>
      <c r="W27" s="15"/>
      <c r="X27" s="15"/>
      <c r="Y27" s="15"/>
      <c r="Z27" s="15"/>
      <c r="AA27" s="44" t="s">
        <v>68</v>
      </c>
      <c r="AB27" s="15"/>
      <c r="AC27" s="15"/>
      <c r="AD27" s="15"/>
      <c r="AE27" s="15"/>
    </row>
    <row r="28" spans="1:31" ht="13.5" customHeight="1" x14ac:dyDescent="0.3">
      <c r="A28" s="17"/>
      <c r="B28" s="17"/>
      <c r="C28" s="17"/>
      <c r="D28" s="17"/>
      <c r="E28" s="44" t="s">
        <v>66</v>
      </c>
      <c r="F28" s="36">
        <v>710</v>
      </c>
      <c r="G28" s="50">
        <v>0.92</v>
      </c>
      <c r="H28" s="51">
        <v>53</v>
      </c>
      <c r="I28" s="44" t="s">
        <v>70</v>
      </c>
      <c r="J28" s="16"/>
      <c r="K28" s="15"/>
      <c r="L28" s="15"/>
      <c r="M28" s="44" t="s">
        <v>66</v>
      </c>
      <c r="N28" s="5"/>
      <c r="O28" s="5"/>
      <c r="P28" s="5"/>
      <c r="Q28" s="44" t="s">
        <v>66</v>
      </c>
      <c r="R28" s="15"/>
      <c r="S28" s="15"/>
      <c r="T28" s="15"/>
      <c r="U28" s="15"/>
      <c r="V28" s="44" t="s">
        <v>66</v>
      </c>
      <c r="W28" s="15"/>
      <c r="X28" s="15"/>
      <c r="Y28" s="15"/>
      <c r="Z28" s="15"/>
      <c r="AA28" s="44" t="s">
        <v>66</v>
      </c>
      <c r="AB28" s="15"/>
      <c r="AC28" s="15"/>
      <c r="AD28" s="15"/>
      <c r="AE28" s="15"/>
    </row>
    <row r="29" spans="1:31" ht="13.5" customHeight="1" x14ac:dyDescent="0.3">
      <c r="A29" s="17"/>
      <c r="B29" s="17"/>
      <c r="C29" s="17"/>
      <c r="D29" s="17"/>
      <c r="E29" s="44" t="s">
        <v>69</v>
      </c>
      <c r="F29" s="15"/>
      <c r="G29" s="15"/>
      <c r="H29" s="15"/>
      <c r="I29" s="44" t="s">
        <v>75</v>
      </c>
      <c r="J29" s="16"/>
      <c r="K29" s="15"/>
      <c r="L29" s="15"/>
      <c r="M29" s="44" t="s">
        <v>69</v>
      </c>
      <c r="N29" s="15"/>
      <c r="O29" s="15"/>
      <c r="P29" s="15"/>
      <c r="Q29" s="44" t="s">
        <v>69</v>
      </c>
      <c r="R29" s="15"/>
      <c r="S29" s="15"/>
      <c r="T29" s="15"/>
      <c r="U29" s="15"/>
      <c r="V29" s="44" t="s">
        <v>69</v>
      </c>
      <c r="W29" s="15"/>
      <c r="X29" s="15"/>
      <c r="Y29" s="15"/>
      <c r="Z29" s="15"/>
      <c r="AA29" s="44" t="s">
        <v>69</v>
      </c>
      <c r="AB29" s="15"/>
      <c r="AC29" s="15"/>
      <c r="AD29" s="15"/>
      <c r="AE29" s="15"/>
    </row>
    <row r="30" spans="1:31" ht="13.5" customHeight="1" x14ac:dyDescent="0.3">
      <c r="A30" s="17"/>
      <c r="B30" s="17"/>
      <c r="C30" s="17"/>
      <c r="D30" s="17"/>
      <c r="E30" s="44" t="s">
        <v>74</v>
      </c>
      <c r="F30" s="15"/>
      <c r="G30" s="15"/>
      <c r="H30" s="15"/>
      <c r="I30" s="44" t="s">
        <v>71</v>
      </c>
      <c r="J30" s="16"/>
      <c r="K30" s="15"/>
      <c r="L30" s="15"/>
      <c r="M30" s="44" t="s">
        <v>74</v>
      </c>
      <c r="N30" s="15"/>
      <c r="O30" s="15"/>
      <c r="P30" s="15"/>
      <c r="Q30" s="44" t="s">
        <v>74</v>
      </c>
      <c r="R30" s="15"/>
      <c r="S30" s="15"/>
      <c r="T30" s="15"/>
      <c r="U30" s="15"/>
      <c r="V30" s="44" t="s">
        <v>74</v>
      </c>
      <c r="W30" s="15"/>
      <c r="X30" s="15"/>
      <c r="Y30" s="15"/>
      <c r="Z30" s="15"/>
      <c r="AA30" s="44" t="s">
        <v>74</v>
      </c>
      <c r="AB30" s="15"/>
      <c r="AC30" s="15"/>
      <c r="AD30" s="15"/>
      <c r="AE30" s="15"/>
    </row>
    <row r="31" spans="1:31" ht="13.5" customHeight="1" x14ac:dyDescent="0.3">
      <c r="A31" s="17"/>
      <c r="B31" s="17"/>
      <c r="C31" s="17"/>
      <c r="D31" s="17"/>
      <c r="E31" s="44" t="s">
        <v>70</v>
      </c>
      <c r="F31" s="15"/>
      <c r="G31" s="15"/>
      <c r="H31" s="15"/>
      <c r="I31" s="15"/>
      <c r="J31" s="16"/>
      <c r="K31" s="15"/>
      <c r="L31" s="15"/>
      <c r="M31" s="44" t="s">
        <v>70</v>
      </c>
      <c r="N31" s="15"/>
      <c r="O31" s="15"/>
      <c r="P31" s="15"/>
      <c r="Q31" s="44" t="s">
        <v>70</v>
      </c>
      <c r="R31" s="15"/>
      <c r="S31" s="15"/>
      <c r="T31" s="15"/>
      <c r="U31" s="15"/>
      <c r="V31" s="44" t="s">
        <v>70</v>
      </c>
      <c r="W31" s="15"/>
      <c r="X31" s="15"/>
      <c r="Y31" s="15"/>
      <c r="Z31" s="15"/>
      <c r="AA31" s="44" t="s">
        <v>70</v>
      </c>
      <c r="AB31" s="15"/>
      <c r="AC31" s="15"/>
      <c r="AD31" s="15"/>
      <c r="AE31" s="15"/>
    </row>
    <row r="32" spans="1:31" ht="13.5" customHeight="1" x14ac:dyDescent="0.3">
      <c r="A32" s="17"/>
      <c r="B32" s="17"/>
      <c r="C32" s="17"/>
      <c r="D32" s="17"/>
      <c r="E32" s="44" t="s">
        <v>75</v>
      </c>
      <c r="F32" s="15"/>
      <c r="G32" s="15"/>
      <c r="H32" s="15"/>
      <c r="I32" s="15"/>
      <c r="J32" s="16"/>
      <c r="K32" s="15"/>
      <c r="L32" s="15"/>
      <c r="M32" s="44" t="s">
        <v>75</v>
      </c>
      <c r="N32" s="15"/>
      <c r="O32" s="15"/>
      <c r="P32" s="15"/>
      <c r="Q32" s="44" t="s">
        <v>75</v>
      </c>
      <c r="R32" s="15"/>
      <c r="S32" s="15"/>
      <c r="T32" s="15"/>
      <c r="U32" s="15"/>
      <c r="V32" s="44" t="s">
        <v>75</v>
      </c>
      <c r="W32" s="15"/>
      <c r="X32" s="15"/>
      <c r="Y32" s="15"/>
      <c r="Z32" s="15"/>
      <c r="AA32" s="44" t="s">
        <v>75</v>
      </c>
      <c r="AB32" s="15"/>
      <c r="AC32" s="15"/>
      <c r="AD32" s="15"/>
      <c r="AE32" s="15"/>
    </row>
    <row r="33" spans="1:36" ht="13.5" customHeight="1" x14ac:dyDescent="0.3">
      <c r="A33" s="17"/>
      <c r="B33" s="17"/>
      <c r="C33" s="17"/>
      <c r="D33" s="17"/>
      <c r="E33" s="44" t="s">
        <v>71</v>
      </c>
      <c r="F33" s="15"/>
      <c r="G33" s="15"/>
      <c r="H33" s="15"/>
      <c r="I33" s="15"/>
      <c r="J33" s="16"/>
      <c r="K33" s="15"/>
      <c r="L33" s="15"/>
      <c r="M33" s="44" t="s">
        <v>71</v>
      </c>
      <c r="N33" s="15"/>
      <c r="O33" s="15"/>
      <c r="P33" s="15"/>
      <c r="Q33" s="44" t="s">
        <v>71</v>
      </c>
      <c r="R33" s="15"/>
      <c r="S33" s="15"/>
      <c r="T33" s="15"/>
      <c r="U33" s="15"/>
      <c r="V33" s="44" t="s">
        <v>71</v>
      </c>
      <c r="W33" s="15"/>
      <c r="X33" s="15"/>
      <c r="Y33" s="15"/>
      <c r="Z33" s="15"/>
      <c r="AA33" s="44" t="s">
        <v>71</v>
      </c>
      <c r="AB33" s="15"/>
      <c r="AC33" s="15"/>
      <c r="AD33" s="15"/>
      <c r="AE33" s="15"/>
    </row>
    <row r="34" spans="1:36" s="54" customFormat="1" ht="7.2" customHeight="1" x14ac:dyDescent="0.3">
      <c r="J34" s="55"/>
    </row>
    <row r="35" spans="1:36" ht="13.5" customHeight="1" x14ac:dyDescent="0.3">
      <c r="A35" s="17"/>
      <c r="B35" s="17"/>
      <c r="C35" s="17"/>
      <c r="D35" s="17"/>
      <c r="E35" s="46" t="s">
        <v>77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spans="1:36" ht="13.5" customHeight="1" x14ac:dyDescent="0.3">
      <c r="A36" s="17"/>
      <c r="B36" s="17"/>
      <c r="C36" s="17"/>
      <c r="D36" s="17"/>
      <c r="E36" s="65" t="s">
        <v>72</v>
      </c>
      <c r="F36" s="47" t="s">
        <v>9</v>
      </c>
      <c r="G36" s="47" t="s">
        <v>62</v>
      </c>
      <c r="H36" s="47" t="s">
        <v>16</v>
      </c>
      <c r="I36" s="65" t="s">
        <v>73</v>
      </c>
      <c r="J36" s="47" t="s">
        <v>9</v>
      </c>
      <c r="K36" s="47" t="s">
        <v>62</v>
      </c>
      <c r="L36" s="47" t="s">
        <v>16</v>
      </c>
      <c r="M36" s="65" t="s">
        <v>63</v>
      </c>
      <c r="N36" s="47" t="s">
        <v>9</v>
      </c>
      <c r="O36" s="47" t="s">
        <v>62</v>
      </c>
      <c r="P36" s="47" t="s">
        <v>16</v>
      </c>
      <c r="Q36" s="65" t="s">
        <v>79</v>
      </c>
      <c r="R36" s="47" t="s">
        <v>9</v>
      </c>
      <c r="S36" s="47" t="s">
        <v>62</v>
      </c>
      <c r="T36" s="47" t="s">
        <v>16</v>
      </c>
      <c r="U36" s="65" t="s">
        <v>83</v>
      </c>
      <c r="V36" s="47" t="s">
        <v>9</v>
      </c>
      <c r="W36" s="47" t="s">
        <v>62</v>
      </c>
      <c r="X36" s="47" t="s">
        <v>16</v>
      </c>
      <c r="Y36" s="34"/>
      <c r="Z36" s="34"/>
      <c r="AA36" s="34"/>
      <c r="AB36" s="34"/>
      <c r="AC36" s="17"/>
      <c r="AD36" s="17"/>
    </row>
    <row r="37" spans="1:36" ht="13.5" customHeight="1" x14ac:dyDescent="0.3">
      <c r="A37" s="17"/>
      <c r="B37" s="17"/>
      <c r="C37" s="17"/>
      <c r="D37" s="17"/>
      <c r="E37" s="53" t="s">
        <v>68</v>
      </c>
      <c r="F37" s="36">
        <v>134</v>
      </c>
      <c r="G37" s="36">
        <v>0.5</v>
      </c>
      <c r="H37" s="51">
        <v>79</v>
      </c>
      <c r="I37" s="53" t="s">
        <v>55</v>
      </c>
      <c r="J37" s="36"/>
      <c r="K37" s="36"/>
      <c r="L37" s="36"/>
      <c r="M37" s="53" t="s">
        <v>55</v>
      </c>
      <c r="N37" s="36"/>
      <c r="O37" s="36"/>
      <c r="P37" s="36"/>
      <c r="Q37" s="53" t="s">
        <v>56</v>
      </c>
      <c r="R37" s="15"/>
      <c r="S37" s="52"/>
      <c r="T37" s="52"/>
      <c r="U37" s="53" t="s">
        <v>55</v>
      </c>
      <c r="V37" s="15"/>
      <c r="W37" s="52"/>
      <c r="X37" s="52"/>
      <c r="Y37" s="49"/>
      <c r="Z37" s="15"/>
      <c r="AA37" s="52"/>
      <c r="AB37" s="52"/>
      <c r="AC37" s="17"/>
      <c r="AD37" s="17"/>
    </row>
    <row r="38" spans="1:36" ht="13.5" customHeight="1" x14ac:dyDescent="0.3">
      <c r="A38" s="17"/>
      <c r="B38" s="17"/>
      <c r="C38" s="17"/>
      <c r="D38" s="17"/>
      <c r="E38" s="53" t="s">
        <v>69</v>
      </c>
      <c r="F38" s="36"/>
      <c r="G38" s="50"/>
      <c r="H38" s="36"/>
      <c r="I38" s="53" t="s">
        <v>59</v>
      </c>
      <c r="J38" s="36"/>
      <c r="K38" s="50"/>
      <c r="L38" s="36"/>
      <c r="M38" s="53" t="s">
        <v>59</v>
      </c>
      <c r="N38" s="36"/>
      <c r="O38" s="50"/>
      <c r="P38" s="36"/>
      <c r="Q38" s="53" t="s">
        <v>57</v>
      </c>
      <c r="R38" s="15"/>
      <c r="S38" s="52"/>
      <c r="T38" s="52"/>
      <c r="U38" s="53" t="s">
        <v>59</v>
      </c>
      <c r="V38" s="15"/>
      <c r="W38" s="52"/>
      <c r="X38" s="52"/>
      <c r="Y38" s="49"/>
      <c r="Z38" s="15"/>
      <c r="AA38" s="52"/>
      <c r="AB38" s="52"/>
      <c r="AC38" s="17"/>
      <c r="AD38" s="17"/>
    </row>
    <row r="39" spans="1:36" ht="13.5" customHeight="1" x14ac:dyDescent="0.3">
      <c r="A39" s="17"/>
      <c r="B39" s="17"/>
      <c r="C39" s="17"/>
      <c r="D39" s="17"/>
      <c r="E39" s="53" t="s">
        <v>70</v>
      </c>
      <c r="F39" s="36"/>
      <c r="G39" s="50"/>
      <c r="H39" s="36"/>
      <c r="I39" s="53" t="s">
        <v>54</v>
      </c>
      <c r="J39" s="36"/>
      <c r="K39" s="50"/>
      <c r="L39" s="36"/>
      <c r="M39" s="53" t="s">
        <v>54</v>
      </c>
      <c r="N39" s="73">
        <v>259</v>
      </c>
      <c r="O39" s="74">
        <v>0.78</v>
      </c>
      <c r="P39" s="75">
        <v>130</v>
      </c>
      <c r="Q39" s="53" t="s">
        <v>68</v>
      </c>
      <c r="R39" s="15">
        <v>82</v>
      </c>
      <c r="S39" s="69">
        <v>0.84</v>
      </c>
      <c r="T39" s="70">
        <v>46</v>
      </c>
      <c r="U39" s="53" t="s">
        <v>54</v>
      </c>
      <c r="V39" s="43"/>
      <c r="W39" s="43"/>
      <c r="X39" s="43"/>
      <c r="Y39" s="49"/>
      <c r="Z39" s="15"/>
      <c r="AA39" s="52"/>
      <c r="AB39" s="52"/>
    </row>
    <row r="40" spans="1:36" ht="13.5" customHeight="1" x14ac:dyDescent="0.3">
      <c r="A40" s="17"/>
      <c r="B40" s="17"/>
      <c r="C40" s="17"/>
      <c r="D40" s="17"/>
      <c r="E40" s="53" t="s">
        <v>71</v>
      </c>
      <c r="F40" s="15"/>
      <c r="G40" s="15"/>
      <c r="H40" s="15"/>
      <c r="I40" s="53" t="s">
        <v>66</v>
      </c>
      <c r="J40" s="15"/>
      <c r="K40" s="15"/>
      <c r="L40" s="15"/>
      <c r="M40" s="53" t="s">
        <v>66</v>
      </c>
      <c r="N40" s="73">
        <v>239</v>
      </c>
      <c r="O40" s="74">
        <v>0.95</v>
      </c>
      <c r="P40" s="75">
        <v>57</v>
      </c>
      <c r="Q40" s="53" t="s">
        <v>69</v>
      </c>
      <c r="R40" s="15"/>
      <c r="S40" s="52"/>
      <c r="T40" s="52"/>
      <c r="U40" s="53" t="s">
        <v>66</v>
      </c>
      <c r="V40" s="43">
        <v>142</v>
      </c>
      <c r="W40" s="71">
        <v>0.94</v>
      </c>
      <c r="X40" s="72">
        <v>54</v>
      </c>
      <c r="Y40" s="49"/>
      <c r="Z40" s="15"/>
      <c r="AA40" s="52"/>
      <c r="AB40" s="52"/>
    </row>
    <row r="41" spans="1:36" ht="13.5" customHeight="1" x14ac:dyDescent="0.3">
      <c r="A41" s="17"/>
      <c r="B41" s="17"/>
      <c r="C41" s="17"/>
      <c r="D41" s="17"/>
      <c r="E41" s="15"/>
      <c r="F41" s="15"/>
      <c r="G41" s="15"/>
      <c r="H41" s="15"/>
      <c r="I41" s="53" t="s">
        <v>74</v>
      </c>
      <c r="J41" s="16"/>
      <c r="K41" s="15"/>
      <c r="L41" s="15"/>
      <c r="M41" s="53" t="s">
        <v>74</v>
      </c>
      <c r="N41" s="15"/>
      <c r="O41" s="15"/>
      <c r="P41" s="15"/>
      <c r="Q41" s="53" t="s">
        <v>70</v>
      </c>
      <c r="R41" s="15"/>
      <c r="S41" s="52"/>
      <c r="T41" s="52"/>
      <c r="U41" s="53" t="s">
        <v>74</v>
      </c>
      <c r="V41" s="15"/>
      <c r="W41" s="52"/>
      <c r="X41" s="52"/>
      <c r="Y41" s="49"/>
      <c r="Z41" s="15"/>
      <c r="AA41" s="52"/>
      <c r="AB41" s="52"/>
    </row>
    <row r="42" spans="1:36" ht="13.5" customHeight="1" x14ac:dyDescent="0.3">
      <c r="A42" s="17"/>
      <c r="B42" s="17"/>
      <c r="C42" s="17"/>
      <c r="D42" s="17"/>
      <c r="E42" s="15"/>
      <c r="F42" s="15"/>
      <c r="G42" s="15"/>
      <c r="H42" s="15"/>
      <c r="I42" s="53" t="s">
        <v>75</v>
      </c>
      <c r="J42" s="16"/>
      <c r="K42" s="15"/>
      <c r="L42" s="15"/>
      <c r="M42" s="53" t="s">
        <v>75</v>
      </c>
      <c r="N42" s="15"/>
      <c r="O42" s="15"/>
      <c r="P42" s="15"/>
      <c r="Q42" s="53" t="s">
        <v>71</v>
      </c>
      <c r="R42" s="15"/>
      <c r="S42" s="52"/>
      <c r="T42" s="52"/>
      <c r="U42" s="53" t="s">
        <v>75</v>
      </c>
      <c r="V42" s="15"/>
      <c r="W42" s="52"/>
      <c r="X42" s="52"/>
      <c r="Y42" s="49"/>
      <c r="Z42" s="15"/>
      <c r="AA42" s="52"/>
      <c r="AB42" s="52"/>
    </row>
    <row r="43" spans="1:36" ht="13.5" customHeight="1" x14ac:dyDescent="0.3">
      <c r="A43" s="17"/>
      <c r="B43" s="17"/>
      <c r="C43" s="17"/>
      <c r="D43" s="17"/>
      <c r="E43" s="15"/>
      <c r="F43" s="15"/>
      <c r="G43" s="15"/>
      <c r="H43" s="15"/>
      <c r="I43" s="15"/>
      <c r="J43" s="16"/>
      <c r="K43" s="15"/>
      <c r="L43" s="15"/>
      <c r="M43" s="49"/>
      <c r="N43" s="15"/>
      <c r="O43" s="15"/>
      <c r="P43" s="15"/>
      <c r="Q43" s="49"/>
      <c r="R43" s="15"/>
      <c r="S43" s="17"/>
      <c r="T43" s="17"/>
      <c r="U43" s="17"/>
      <c r="V43" s="17"/>
      <c r="W43" s="17"/>
      <c r="X43" s="17"/>
      <c r="Y43" s="17"/>
      <c r="Z43" s="17"/>
      <c r="AA43" s="17"/>
    </row>
    <row r="44" spans="1:36" ht="13.5" customHeight="1" x14ac:dyDescent="0.3">
      <c r="A44" s="17"/>
      <c r="B44" s="17"/>
      <c r="C44" s="17"/>
      <c r="D44" s="17"/>
      <c r="E44" s="15"/>
      <c r="F44" s="15"/>
      <c r="G44" s="15"/>
      <c r="H44" s="15"/>
      <c r="I44" s="15"/>
      <c r="J44" s="16"/>
      <c r="K44" s="15"/>
      <c r="L44" s="15"/>
      <c r="M44" s="15"/>
      <c r="N44" s="15"/>
      <c r="O44" s="15"/>
      <c r="P44" s="15"/>
      <c r="Q44" s="15"/>
      <c r="R44" s="15"/>
      <c r="S44" s="17"/>
      <c r="T44" s="17"/>
      <c r="U44" s="17"/>
      <c r="V44" s="17"/>
      <c r="W44" s="17"/>
      <c r="X44" s="17"/>
      <c r="Y44" s="17"/>
      <c r="Z44" s="17"/>
      <c r="AA44" s="17"/>
    </row>
    <row r="45" spans="1:36" s="54" customFormat="1" ht="7.2" customHeight="1" x14ac:dyDescent="0.3">
      <c r="E45" s="59"/>
      <c r="F45" s="59"/>
      <c r="G45" s="59"/>
      <c r="H45" s="59"/>
      <c r="I45" s="59"/>
      <c r="J45" s="60"/>
      <c r="K45" s="59"/>
      <c r="L45" s="59"/>
      <c r="M45" s="59"/>
      <c r="N45" s="59"/>
      <c r="O45" s="59"/>
      <c r="P45" s="59"/>
    </row>
    <row r="46" spans="1:36" ht="13.5" customHeight="1" x14ac:dyDescent="0.3">
      <c r="A46" s="17"/>
      <c r="B46" s="17"/>
      <c r="C46" s="17"/>
      <c r="D46" s="17"/>
      <c r="E46" s="46" t="s">
        <v>78</v>
      </c>
      <c r="F46" s="17"/>
      <c r="G46" s="17"/>
      <c r="H46" s="17"/>
      <c r="I46" s="17"/>
      <c r="J46" s="18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</row>
    <row r="47" spans="1:36" ht="13.5" customHeight="1" x14ac:dyDescent="0.3">
      <c r="A47" s="17"/>
      <c r="B47" s="17"/>
      <c r="C47" s="17"/>
      <c r="D47" s="17"/>
      <c r="E47" s="68" t="s">
        <v>23</v>
      </c>
      <c r="F47" s="61" t="s">
        <v>9</v>
      </c>
      <c r="G47" s="61" t="s">
        <v>60</v>
      </c>
      <c r="H47" s="61" t="s">
        <v>16</v>
      </c>
      <c r="I47" s="68" t="s">
        <v>24</v>
      </c>
      <c r="J47" s="61" t="s">
        <v>9</v>
      </c>
      <c r="K47" s="61" t="s">
        <v>60</v>
      </c>
      <c r="L47" s="61" t="s">
        <v>16</v>
      </c>
      <c r="M47" s="68" t="s">
        <v>82</v>
      </c>
      <c r="N47" s="61" t="s">
        <v>9</v>
      </c>
      <c r="O47" s="61" t="s">
        <v>60</v>
      </c>
      <c r="P47" s="61" t="s">
        <v>16</v>
      </c>
      <c r="Q47" s="68" t="s">
        <v>21</v>
      </c>
      <c r="R47" s="61" t="s">
        <v>9</v>
      </c>
      <c r="S47" s="61" t="s">
        <v>60</v>
      </c>
      <c r="T47" s="61" t="s">
        <v>16</v>
      </c>
      <c r="U47" s="68" t="s">
        <v>81</v>
      </c>
      <c r="V47" s="61" t="s">
        <v>9</v>
      </c>
      <c r="W47" s="61" t="s">
        <v>60</v>
      </c>
      <c r="X47" s="61" t="s">
        <v>16</v>
      </c>
      <c r="Y47" s="68" t="s">
        <v>39</v>
      </c>
      <c r="Z47" s="61" t="s">
        <v>9</v>
      </c>
      <c r="AA47" s="61" t="s">
        <v>60</v>
      </c>
      <c r="AB47" s="61" t="s">
        <v>16</v>
      </c>
      <c r="AC47" s="68" t="s">
        <v>32</v>
      </c>
      <c r="AD47" s="61" t="s">
        <v>9</v>
      </c>
      <c r="AE47" s="61" t="s">
        <v>60</v>
      </c>
      <c r="AF47" s="61" t="s">
        <v>16</v>
      </c>
      <c r="AG47" s="63" t="s">
        <v>47</v>
      </c>
      <c r="AH47" s="61" t="s">
        <v>9</v>
      </c>
      <c r="AI47" s="61" t="s">
        <v>60</v>
      </c>
      <c r="AJ47" s="61" t="s">
        <v>16</v>
      </c>
    </row>
    <row r="48" spans="1:36" ht="13.5" customHeight="1" x14ac:dyDescent="0.3">
      <c r="A48" s="17"/>
      <c r="B48" s="17"/>
      <c r="C48" s="17"/>
      <c r="D48" s="17"/>
      <c r="E48" s="13" t="s">
        <v>56</v>
      </c>
      <c r="F48" s="36"/>
      <c r="G48" s="36"/>
      <c r="H48" s="36"/>
      <c r="I48" s="13" t="s">
        <v>56</v>
      </c>
      <c r="J48" s="36"/>
      <c r="K48" s="36"/>
      <c r="L48" s="36"/>
      <c r="M48" s="13" t="s">
        <v>55</v>
      </c>
      <c r="N48" s="36"/>
      <c r="O48" s="36"/>
      <c r="P48" s="36"/>
      <c r="Q48" s="13" t="s">
        <v>55</v>
      </c>
      <c r="R48" s="36"/>
      <c r="S48" s="36"/>
      <c r="T48" s="36"/>
      <c r="U48" s="13" t="s">
        <v>55</v>
      </c>
      <c r="V48" s="36"/>
      <c r="W48" s="36"/>
      <c r="X48" s="36"/>
      <c r="Y48" s="13"/>
      <c r="Z48" s="36"/>
      <c r="AA48" s="36"/>
      <c r="AB48" s="36"/>
      <c r="AC48" s="13"/>
      <c r="AD48" s="36"/>
      <c r="AE48" s="36"/>
      <c r="AF48" s="36"/>
      <c r="AG48" s="13"/>
      <c r="AH48" s="36"/>
      <c r="AI48" s="36"/>
      <c r="AJ48" s="36"/>
    </row>
    <row r="49" spans="1:36" ht="13.5" customHeight="1" x14ac:dyDescent="0.3">
      <c r="A49" s="17"/>
      <c r="B49" s="17"/>
      <c r="C49" s="17"/>
      <c r="D49" s="17"/>
      <c r="E49" s="13" t="s">
        <v>54</v>
      </c>
      <c r="F49" s="36">
        <v>5</v>
      </c>
      <c r="G49" s="50">
        <v>0.83</v>
      </c>
      <c r="H49" s="51">
        <v>5</v>
      </c>
      <c r="I49" s="13" t="s">
        <v>54</v>
      </c>
      <c r="J49" s="36">
        <v>32</v>
      </c>
      <c r="K49" s="50">
        <v>0.94</v>
      </c>
      <c r="L49" s="51">
        <v>22</v>
      </c>
      <c r="M49" s="13" t="s">
        <v>57</v>
      </c>
      <c r="N49" s="51" t="s">
        <v>44</v>
      </c>
      <c r="O49" s="36"/>
      <c r="P49" s="36"/>
      <c r="Q49" s="13" t="s">
        <v>57</v>
      </c>
      <c r="R49" s="51" t="s">
        <v>44</v>
      </c>
      <c r="S49" s="36"/>
      <c r="T49" s="36"/>
      <c r="U49" s="13" t="s">
        <v>57</v>
      </c>
      <c r="V49" s="51" t="s">
        <v>44</v>
      </c>
      <c r="W49" s="36"/>
      <c r="X49" s="36"/>
      <c r="Y49" s="13"/>
      <c r="Z49" s="36"/>
      <c r="AA49" s="36"/>
      <c r="AB49" s="36"/>
      <c r="AC49" s="13"/>
      <c r="AD49" s="36"/>
      <c r="AE49" s="36"/>
      <c r="AF49" s="36"/>
      <c r="AG49" s="13"/>
      <c r="AH49" s="36"/>
      <c r="AI49" s="36"/>
      <c r="AJ49" s="36"/>
    </row>
    <row r="50" spans="1:36" ht="13.5" customHeight="1" x14ac:dyDescent="0.3">
      <c r="A50" s="17"/>
      <c r="B50" s="17"/>
      <c r="C50" s="17"/>
      <c r="D50" s="17"/>
      <c r="E50" s="13" t="s">
        <v>69</v>
      </c>
      <c r="F50" s="36"/>
      <c r="G50" s="36"/>
      <c r="H50" s="36"/>
      <c r="I50" s="13" t="s">
        <v>69</v>
      </c>
      <c r="J50" s="36"/>
      <c r="K50" s="36"/>
      <c r="L50" s="36"/>
      <c r="M50" s="13" t="s">
        <v>70</v>
      </c>
      <c r="N50" s="36"/>
      <c r="O50" s="36"/>
      <c r="P50" s="36"/>
      <c r="Q50" s="13" t="s">
        <v>70</v>
      </c>
      <c r="R50" s="36"/>
      <c r="S50" s="36"/>
      <c r="T50" s="36"/>
      <c r="U50" s="13" t="s">
        <v>70</v>
      </c>
      <c r="V50" s="36"/>
      <c r="W50" s="36"/>
      <c r="X50" s="36"/>
      <c r="Y50" s="13"/>
      <c r="Z50" s="36"/>
      <c r="AA50" s="36"/>
      <c r="AB50" s="36"/>
      <c r="AC50" s="13"/>
      <c r="AD50" s="36"/>
      <c r="AE50" s="36"/>
      <c r="AF50" s="36"/>
      <c r="AG50" s="13"/>
      <c r="AH50" s="36"/>
      <c r="AI50" s="36"/>
      <c r="AJ50" s="36"/>
    </row>
    <row r="51" spans="1:36" ht="13.5" customHeight="1" x14ac:dyDescent="0.3">
      <c r="A51" s="17"/>
      <c r="B51" s="17"/>
      <c r="C51" s="17"/>
      <c r="D51" s="17"/>
      <c r="E51" s="13" t="s">
        <v>75</v>
      </c>
      <c r="F51" s="36"/>
      <c r="G51" s="36"/>
      <c r="H51" s="36"/>
      <c r="I51" s="13" t="s">
        <v>75</v>
      </c>
      <c r="J51" s="36"/>
      <c r="K51" s="36"/>
      <c r="L51" s="36"/>
      <c r="M51" s="13" t="s">
        <v>55</v>
      </c>
      <c r="N51" s="36"/>
      <c r="O51" s="36"/>
      <c r="P51" s="36"/>
      <c r="Q51" s="13" t="s">
        <v>55</v>
      </c>
      <c r="R51" s="36"/>
      <c r="S51" s="36"/>
      <c r="T51" s="36"/>
      <c r="U51" s="13" t="s">
        <v>55</v>
      </c>
      <c r="V51" s="36"/>
      <c r="W51" s="36"/>
      <c r="X51" s="36"/>
      <c r="Y51" s="13"/>
      <c r="Z51" s="36"/>
      <c r="AA51" s="36"/>
      <c r="AB51" s="36"/>
      <c r="AC51" s="13"/>
      <c r="AD51" s="36"/>
      <c r="AE51" s="36"/>
      <c r="AF51" s="36"/>
      <c r="AG51" s="13"/>
      <c r="AH51" s="36"/>
      <c r="AI51" s="36"/>
      <c r="AJ51" s="36"/>
    </row>
    <row r="52" spans="1:36" ht="13.5" customHeight="1" x14ac:dyDescent="0.3">
      <c r="A52" s="17"/>
      <c r="B52" s="17"/>
      <c r="C52" s="17"/>
      <c r="D52" s="17"/>
    </row>
    <row r="53" spans="1:36" ht="13.5" customHeight="1" x14ac:dyDescent="0.3">
      <c r="A53" s="17"/>
      <c r="B53" s="17"/>
      <c r="C53" s="17"/>
      <c r="D53" s="17"/>
    </row>
    <row r="54" spans="1:36" ht="13.5" customHeight="1" x14ac:dyDescent="0.3">
      <c r="A54" s="17"/>
      <c r="B54" s="17"/>
      <c r="C54" s="17"/>
      <c r="D54" s="17"/>
    </row>
    <row r="55" spans="1:36" ht="13.5" customHeight="1" x14ac:dyDescent="0.3">
      <c r="A55" s="17"/>
      <c r="B55" s="17"/>
      <c r="C55" s="17"/>
      <c r="D55" s="17"/>
    </row>
    <row r="56" spans="1:36" ht="13.5" customHeight="1" x14ac:dyDescent="0.3">
      <c r="A56" s="17"/>
      <c r="B56" s="17"/>
      <c r="C56" s="17"/>
      <c r="D56" s="17"/>
    </row>
    <row r="57" spans="1:36" ht="13.5" customHeight="1" x14ac:dyDescent="0.3">
      <c r="A57" s="17"/>
      <c r="B57" s="17"/>
      <c r="C57" s="17"/>
      <c r="D57" s="17"/>
    </row>
    <row r="58" spans="1:36" ht="13.5" customHeight="1" x14ac:dyDescent="0.3">
      <c r="A58" s="17"/>
      <c r="B58" s="17"/>
      <c r="C58" s="17"/>
      <c r="D58" s="17"/>
    </row>
    <row r="59" spans="1:36" ht="13.5" customHeight="1" x14ac:dyDescent="0.3">
      <c r="A59" s="17"/>
      <c r="B59" s="17"/>
      <c r="C59" s="17"/>
      <c r="D59" s="17"/>
    </row>
    <row r="60" spans="1:36" ht="13.5" customHeight="1" x14ac:dyDescent="0.3">
      <c r="A60" s="17"/>
      <c r="B60" s="17"/>
      <c r="C60" s="17"/>
      <c r="D60" s="17"/>
    </row>
    <row r="61" spans="1:36" ht="13.5" customHeight="1" x14ac:dyDescent="0.3">
      <c r="A61" s="17"/>
      <c r="B61" s="17"/>
      <c r="C61" s="17"/>
      <c r="D61" s="17"/>
    </row>
    <row r="62" spans="1:36" ht="13.5" customHeight="1" x14ac:dyDescent="0.3">
      <c r="A62" s="17"/>
      <c r="B62" s="17"/>
      <c r="C62" s="17"/>
      <c r="D62" s="17"/>
    </row>
    <row r="63" spans="1:36" ht="13.5" customHeight="1" x14ac:dyDescent="0.3">
      <c r="A63" s="17"/>
      <c r="B63" s="17"/>
      <c r="C63" s="17"/>
      <c r="D63" s="17"/>
    </row>
    <row r="64" spans="1:36" ht="13.5" customHeight="1" x14ac:dyDescent="0.3">
      <c r="A64" s="17"/>
      <c r="B64" s="17"/>
      <c r="C64" s="17"/>
      <c r="D64" s="17"/>
    </row>
    <row r="65" spans="1:4" ht="13.5" customHeight="1" x14ac:dyDescent="0.3">
      <c r="A65" s="17"/>
      <c r="B65" s="17"/>
      <c r="C65" s="17"/>
      <c r="D65" s="17"/>
    </row>
    <row r="66" spans="1:4" ht="13.5" customHeight="1" x14ac:dyDescent="0.3">
      <c r="A66" s="17"/>
      <c r="B66" s="17"/>
      <c r="C66" s="17"/>
      <c r="D66" s="17"/>
    </row>
    <row r="67" spans="1:4" ht="13.5" customHeight="1" x14ac:dyDescent="0.3">
      <c r="A67" s="17"/>
      <c r="B67" s="17"/>
      <c r="C67" s="17"/>
      <c r="D67" s="17"/>
    </row>
    <row r="68" spans="1:4" ht="13.5" customHeight="1" x14ac:dyDescent="0.3">
      <c r="A68" s="17"/>
      <c r="B68" s="17"/>
      <c r="C68" s="17"/>
      <c r="D68" s="17"/>
    </row>
    <row r="69" spans="1:4" ht="13.5" customHeight="1" x14ac:dyDescent="0.3">
      <c r="A69" s="17"/>
      <c r="B69" s="17"/>
      <c r="C69" s="17"/>
      <c r="D69" s="17"/>
    </row>
    <row r="70" spans="1:4" ht="13.5" customHeight="1" x14ac:dyDescent="0.3">
      <c r="A70" s="17"/>
      <c r="B70" s="17"/>
      <c r="C70" s="17"/>
      <c r="D70" s="17"/>
    </row>
    <row r="71" spans="1:4" ht="13.5" customHeight="1" x14ac:dyDescent="0.3">
      <c r="A71" s="17"/>
      <c r="B71" s="17"/>
      <c r="C71" s="17"/>
      <c r="D71" s="17"/>
    </row>
    <row r="72" spans="1:4" ht="13.5" customHeight="1" x14ac:dyDescent="0.3">
      <c r="A72" s="17"/>
      <c r="B72" s="17"/>
      <c r="C72" s="17"/>
      <c r="D72" s="17"/>
    </row>
    <row r="73" spans="1:4" ht="13.5" customHeight="1" x14ac:dyDescent="0.3">
      <c r="A73" s="17"/>
      <c r="B73" s="17"/>
      <c r="C73" s="17"/>
      <c r="D73" s="17"/>
    </row>
    <row r="74" spans="1:4" ht="13.5" customHeight="1" x14ac:dyDescent="0.3">
      <c r="A74" s="17"/>
      <c r="B74" s="17"/>
      <c r="C74" s="17"/>
      <c r="D74" s="17"/>
    </row>
    <row r="75" spans="1:4" ht="13.5" customHeight="1" x14ac:dyDescent="0.3">
      <c r="A75" s="17"/>
      <c r="B75" s="17"/>
      <c r="C75" s="17"/>
      <c r="D75" s="17"/>
    </row>
    <row r="76" spans="1:4" ht="13.5" customHeight="1" x14ac:dyDescent="0.3">
      <c r="A76" s="17"/>
      <c r="B76" s="17"/>
      <c r="C76" s="17"/>
      <c r="D76" s="17"/>
    </row>
    <row r="77" spans="1:4" ht="13.5" customHeight="1" x14ac:dyDescent="0.3">
      <c r="A77" s="17"/>
      <c r="B77" s="17"/>
      <c r="C77" s="17"/>
      <c r="D77" s="17"/>
    </row>
    <row r="78" spans="1:4" ht="13.5" customHeight="1" x14ac:dyDescent="0.3">
      <c r="A78" s="17"/>
      <c r="B78" s="17"/>
      <c r="C78" s="17"/>
      <c r="D78" s="17"/>
    </row>
    <row r="79" spans="1:4" ht="13.5" customHeight="1" x14ac:dyDescent="0.3">
      <c r="A79" s="17"/>
      <c r="B79" s="17"/>
      <c r="C79" s="17"/>
      <c r="D79" s="17"/>
    </row>
    <row r="80" spans="1:4" ht="13.5" customHeight="1" x14ac:dyDescent="0.3">
      <c r="A80" s="17"/>
      <c r="B80" s="17"/>
      <c r="C80" s="17"/>
      <c r="D80" s="17"/>
    </row>
    <row r="81" spans="1:4" ht="13.5" customHeight="1" x14ac:dyDescent="0.3">
      <c r="A81" s="17"/>
      <c r="B81" s="17"/>
      <c r="C81" s="17"/>
      <c r="D81" s="17"/>
    </row>
    <row r="82" spans="1:4" ht="13.5" customHeight="1" x14ac:dyDescent="0.3">
      <c r="A82" s="17"/>
      <c r="B82" s="17"/>
      <c r="C82" s="17"/>
      <c r="D82" s="17"/>
    </row>
    <row r="83" spans="1:4" ht="13.5" customHeight="1" x14ac:dyDescent="0.3">
      <c r="A83" s="17"/>
      <c r="B83" s="17"/>
      <c r="C83" s="17"/>
      <c r="D83" s="17"/>
    </row>
    <row r="84" spans="1:4" ht="13.5" customHeight="1" x14ac:dyDescent="0.3">
      <c r="A84" s="17"/>
      <c r="B84" s="17"/>
      <c r="C84" s="17"/>
      <c r="D84" s="17"/>
    </row>
    <row r="85" spans="1:4" ht="13.5" customHeight="1" x14ac:dyDescent="0.3">
      <c r="A85" s="17"/>
      <c r="B85" s="17"/>
      <c r="C85" s="17"/>
      <c r="D85" s="17"/>
    </row>
    <row r="86" spans="1:4" ht="13.5" customHeight="1" x14ac:dyDescent="0.3">
      <c r="A86" s="17"/>
      <c r="B86" s="17"/>
      <c r="C86" s="17"/>
      <c r="D86" s="17"/>
    </row>
    <row r="87" spans="1:4" ht="13.5" customHeight="1" x14ac:dyDescent="0.3">
      <c r="A87" s="17"/>
      <c r="B87" s="17"/>
      <c r="C87" s="17"/>
      <c r="D87" s="17"/>
    </row>
    <row r="88" spans="1:4" ht="13.5" customHeight="1" x14ac:dyDescent="0.3">
      <c r="A88" s="17"/>
      <c r="B88" s="17"/>
      <c r="C88" s="17"/>
      <c r="D88" s="17"/>
    </row>
    <row r="89" spans="1:4" ht="13.5" customHeight="1" x14ac:dyDescent="0.3">
      <c r="A89" s="17"/>
      <c r="B89" s="17"/>
      <c r="C89" s="17"/>
      <c r="D89" s="17"/>
    </row>
    <row r="90" spans="1:4" ht="13.5" customHeight="1" x14ac:dyDescent="0.3">
      <c r="A90" s="17"/>
      <c r="B90" s="17"/>
      <c r="C90" s="17"/>
      <c r="D90" s="17"/>
    </row>
    <row r="91" spans="1:4" ht="13.5" customHeight="1" x14ac:dyDescent="0.3">
      <c r="A91" s="17"/>
      <c r="B91" s="17"/>
      <c r="C91" s="17"/>
      <c r="D91" s="17"/>
    </row>
    <row r="92" spans="1:4" ht="13.5" customHeight="1" x14ac:dyDescent="0.3">
      <c r="A92" s="17"/>
      <c r="B92" s="17"/>
      <c r="C92" s="17"/>
      <c r="D92" s="17"/>
    </row>
    <row r="93" spans="1:4" ht="13.5" customHeight="1" x14ac:dyDescent="0.3">
      <c r="A93" s="17"/>
      <c r="B93" s="17"/>
      <c r="C93" s="17"/>
      <c r="D93" s="17"/>
    </row>
    <row r="94" spans="1:4" ht="13.5" customHeight="1" x14ac:dyDescent="0.3">
      <c r="A94" s="17"/>
      <c r="B94" s="17"/>
      <c r="C94" s="17"/>
      <c r="D94" s="17"/>
    </row>
    <row r="95" spans="1:4" ht="13.5" customHeight="1" x14ac:dyDescent="0.3">
      <c r="A95" s="17"/>
      <c r="B95" s="17"/>
      <c r="C95" s="17"/>
      <c r="D95" s="17"/>
    </row>
    <row r="96" spans="1:4" ht="13.5" customHeight="1" x14ac:dyDescent="0.3">
      <c r="A96" s="17"/>
      <c r="B96" s="17"/>
      <c r="C96" s="17"/>
      <c r="D96" s="17"/>
    </row>
    <row r="97" spans="1:4" ht="13.5" customHeight="1" x14ac:dyDescent="0.3">
      <c r="A97" s="17"/>
      <c r="B97" s="17"/>
      <c r="C97" s="17"/>
      <c r="D97" s="17"/>
    </row>
    <row r="98" spans="1:4" ht="13.5" customHeight="1" x14ac:dyDescent="0.3">
      <c r="A98" s="17"/>
      <c r="B98" s="17"/>
      <c r="C98" s="17"/>
      <c r="D98" s="17"/>
    </row>
    <row r="99" spans="1:4" ht="13.5" customHeight="1" x14ac:dyDescent="0.3">
      <c r="A99" s="17"/>
      <c r="B99" s="17"/>
      <c r="C99" s="17"/>
      <c r="D99" s="17"/>
    </row>
    <row r="100" spans="1:4" ht="13.5" customHeight="1" x14ac:dyDescent="0.3">
      <c r="A100" s="17"/>
      <c r="B100" s="17"/>
      <c r="C100" s="17"/>
      <c r="D100" s="17"/>
    </row>
    <row r="101" spans="1:4" ht="13.5" customHeight="1" x14ac:dyDescent="0.3">
      <c r="A101" s="17"/>
      <c r="B101" s="17"/>
      <c r="C101" s="17"/>
      <c r="D101" s="17"/>
    </row>
    <row r="102" spans="1:4" ht="13.5" customHeight="1" x14ac:dyDescent="0.3">
      <c r="A102" s="17"/>
      <c r="B102" s="17"/>
      <c r="C102" s="17"/>
      <c r="D102" s="17"/>
    </row>
    <row r="103" spans="1:4" ht="13.5" customHeight="1" x14ac:dyDescent="0.3">
      <c r="A103" s="17"/>
      <c r="B103" s="17"/>
      <c r="C103" s="17"/>
      <c r="D103" s="17"/>
    </row>
    <row r="104" spans="1:4" ht="13.5" customHeight="1" x14ac:dyDescent="0.3">
      <c r="A104" s="17"/>
      <c r="B104" s="17"/>
      <c r="C104" s="17"/>
      <c r="D104" s="17"/>
    </row>
    <row r="105" spans="1:4" ht="13.5" customHeight="1" x14ac:dyDescent="0.3">
      <c r="A105" s="17"/>
      <c r="B105" s="17"/>
      <c r="C105" s="17"/>
      <c r="D105" s="17"/>
    </row>
    <row r="106" spans="1:4" ht="13.5" customHeight="1" x14ac:dyDescent="0.3">
      <c r="A106" s="17"/>
      <c r="B106" s="17"/>
      <c r="C106" s="17"/>
      <c r="D106" s="17"/>
    </row>
    <row r="107" spans="1:4" ht="13.5" customHeight="1" x14ac:dyDescent="0.3">
      <c r="A107" s="17"/>
      <c r="B107" s="17"/>
      <c r="C107" s="17"/>
      <c r="D107" s="17"/>
    </row>
    <row r="108" spans="1:4" ht="13.5" customHeight="1" x14ac:dyDescent="0.3">
      <c r="A108" s="17"/>
      <c r="B108" s="17"/>
      <c r="C108" s="17"/>
      <c r="D108" s="17"/>
    </row>
    <row r="109" spans="1:4" ht="13.5" customHeight="1" x14ac:dyDescent="0.3">
      <c r="A109" s="17"/>
      <c r="B109" s="17"/>
      <c r="C109" s="17"/>
      <c r="D109" s="17"/>
    </row>
    <row r="110" spans="1:4" ht="13.5" customHeight="1" x14ac:dyDescent="0.3">
      <c r="A110" s="17"/>
      <c r="B110" s="17"/>
      <c r="C110" s="17"/>
      <c r="D110" s="17"/>
    </row>
    <row r="111" spans="1:4" ht="13.5" customHeight="1" x14ac:dyDescent="0.3">
      <c r="A111" s="17"/>
      <c r="B111" s="17"/>
      <c r="C111" s="17"/>
      <c r="D111" s="17"/>
    </row>
    <row r="112" spans="1:4" ht="13.5" customHeight="1" x14ac:dyDescent="0.3">
      <c r="A112" s="17"/>
      <c r="B112" s="17"/>
      <c r="C112" s="17"/>
      <c r="D112" s="17"/>
    </row>
    <row r="113" spans="1:4" ht="13.5" customHeight="1" x14ac:dyDescent="0.3">
      <c r="A113" s="17"/>
      <c r="B113" s="17"/>
      <c r="C113" s="17"/>
      <c r="D113" s="17"/>
    </row>
    <row r="114" spans="1:4" ht="13.5" customHeight="1" x14ac:dyDescent="0.3">
      <c r="A114" s="17"/>
      <c r="B114" s="17"/>
      <c r="C114" s="17"/>
      <c r="D114" s="17"/>
    </row>
    <row r="115" spans="1:4" ht="13.5" customHeight="1" x14ac:dyDescent="0.3">
      <c r="A115" s="17"/>
      <c r="B115" s="17"/>
      <c r="C115" s="17"/>
      <c r="D115" s="17"/>
    </row>
    <row r="116" spans="1:4" ht="13.5" customHeight="1" x14ac:dyDescent="0.3">
      <c r="A116" s="17"/>
      <c r="B116" s="17"/>
      <c r="C116" s="17"/>
      <c r="D116" s="17"/>
    </row>
    <row r="117" spans="1:4" ht="13.5" customHeight="1" x14ac:dyDescent="0.3">
      <c r="A117" s="17"/>
      <c r="B117" s="17"/>
      <c r="C117" s="17"/>
      <c r="D117" s="17"/>
    </row>
    <row r="118" spans="1:4" ht="13.5" customHeight="1" x14ac:dyDescent="0.3">
      <c r="A118" s="17"/>
      <c r="B118" s="17"/>
      <c r="C118" s="17"/>
      <c r="D118" s="17"/>
    </row>
    <row r="119" spans="1:4" ht="13.5" customHeight="1" x14ac:dyDescent="0.3">
      <c r="A119" s="17"/>
      <c r="B119" s="17"/>
      <c r="C119" s="17"/>
      <c r="D119" s="17"/>
    </row>
    <row r="120" spans="1:4" ht="13.5" customHeight="1" x14ac:dyDescent="0.3">
      <c r="A120" s="17"/>
      <c r="B120" s="17"/>
      <c r="C120" s="17"/>
      <c r="D120" s="17"/>
    </row>
    <row r="121" spans="1:4" ht="13.5" customHeight="1" x14ac:dyDescent="0.3">
      <c r="A121" s="17"/>
      <c r="B121" s="17"/>
      <c r="C121" s="17"/>
      <c r="D121" s="17"/>
    </row>
    <row r="122" spans="1:4" ht="13.5" customHeight="1" x14ac:dyDescent="0.3">
      <c r="A122" s="17"/>
      <c r="B122" s="17"/>
      <c r="C122" s="17"/>
      <c r="D122" s="17"/>
    </row>
    <row r="123" spans="1:4" ht="13.5" customHeight="1" x14ac:dyDescent="0.3">
      <c r="A123" s="17"/>
      <c r="B123" s="17"/>
      <c r="C123" s="17"/>
      <c r="D123" s="17"/>
    </row>
    <row r="124" spans="1:4" ht="13.5" customHeight="1" x14ac:dyDescent="0.3">
      <c r="A124" s="17"/>
      <c r="B124" s="17"/>
      <c r="C124" s="17"/>
      <c r="D124" s="17"/>
    </row>
    <row r="125" spans="1:4" ht="13.5" customHeight="1" x14ac:dyDescent="0.3">
      <c r="A125" s="17"/>
      <c r="B125" s="17"/>
      <c r="C125" s="17"/>
      <c r="D125" s="17"/>
    </row>
    <row r="126" spans="1:4" ht="13.5" customHeight="1" x14ac:dyDescent="0.3">
      <c r="A126" s="17"/>
      <c r="B126" s="17"/>
      <c r="C126" s="17"/>
      <c r="D126" s="17"/>
    </row>
    <row r="127" spans="1:4" ht="13.5" customHeight="1" x14ac:dyDescent="0.3">
      <c r="A127" s="17"/>
      <c r="B127" s="17"/>
      <c r="C127" s="17"/>
      <c r="D127" s="17"/>
    </row>
    <row r="128" spans="1:4" ht="13.5" customHeight="1" x14ac:dyDescent="0.3">
      <c r="A128" s="17"/>
      <c r="B128" s="17"/>
      <c r="C128" s="17"/>
      <c r="D128" s="17"/>
    </row>
    <row r="129" spans="1:4" ht="13.5" customHeight="1" x14ac:dyDescent="0.3">
      <c r="A129" s="17"/>
      <c r="B129" s="17"/>
      <c r="C129" s="17"/>
      <c r="D129" s="17"/>
    </row>
    <row r="130" spans="1:4" ht="13.5" customHeight="1" x14ac:dyDescent="0.3">
      <c r="A130" s="17"/>
      <c r="B130" s="17"/>
      <c r="C130" s="17"/>
      <c r="D130" s="17"/>
    </row>
    <row r="131" spans="1:4" ht="13.5" customHeight="1" x14ac:dyDescent="0.3">
      <c r="A131" s="17"/>
      <c r="B131" s="17"/>
      <c r="C131" s="17"/>
      <c r="D131" s="17"/>
    </row>
    <row r="132" spans="1:4" ht="13.5" customHeight="1" x14ac:dyDescent="0.3">
      <c r="A132" s="17"/>
      <c r="B132" s="17"/>
      <c r="C132" s="17"/>
      <c r="D132" s="17"/>
    </row>
    <row r="133" spans="1:4" ht="13.5" customHeight="1" x14ac:dyDescent="0.3">
      <c r="A133" s="17"/>
      <c r="B133" s="17"/>
      <c r="C133" s="17"/>
      <c r="D133" s="17"/>
    </row>
    <row r="134" spans="1:4" ht="13.5" customHeight="1" x14ac:dyDescent="0.3">
      <c r="A134" s="17"/>
      <c r="B134" s="17"/>
      <c r="C134" s="17"/>
      <c r="D134" s="17"/>
    </row>
    <row r="135" spans="1:4" ht="13.5" customHeight="1" x14ac:dyDescent="0.3">
      <c r="A135" s="17"/>
      <c r="B135" s="17"/>
      <c r="C135" s="17"/>
      <c r="D135" s="17"/>
    </row>
    <row r="136" spans="1:4" ht="13.5" customHeight="1" x14ac:dyDescent="0.3">
      <c r="A136" s="17"/>
      <c r="B136" s="17"/>
      <c r="C136" s="17"/>
      <c r="D136" s="17"/>
    </row>
    <row r="137" spans="1:4" ht="13.5" customHeight="1" x14ac:dyDescent="0.3">
      <c r="A137" s="17"/>
      <c r="B137" s="17"/>
      <c r="C137" s="17"/>
      <c r="D137" s="17"/>
    </row>
    <row r="138" spans="1:4" ht="13.5" customHeight="1" x14ac:dyDescent="0.3">
      <c r="A138" s="17"/>
      <c r="B138" s="17"/>
      <c r="C138" s="17"/>
      <c r="D138" s="17"/>
    </row>
    <row r="139" spans="1:4" ht="13.5" customHeight="1" x14ac:dyDescent="0.3"/>
    <row r="140" spans="1:4" ht="13.5" customHeight="1" x14ac:dyDescent="0.3"/>
    <row r="141" spans="1:4" ht="13.5" customHeight="1" x14ac:dyDescent="0.3"/>
    <row r="142" spans="1:4" ht="13.5" customHeight="1" x14ac:dyDescent="0.3"/>
    <row r="143" spans="1:4" ht="13.5" customHeight="1" x14ac:dyDescent="0.3"/>
    <row r="144" spans="1: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</sheetData>
  <mergeCells count="11">
    <mergeCell ref="E6:M6"/>
    <mergeCell ref="C7:D7"/>
    <mergeCell ref="E7:M7"/>
    <mergeCell ref="C2:D2"/>
    <mergeCell ref="C3:D3"/>
    <mergeCell ref="E3:M3"/>
    <mergeCell ref="C4:D4"/>
    <mergeCell ref="E4:M4"/>
    <mergeCell ref="C5:D5"/>
    <mergeCell ref="E5:M5"/>
    <mergeCell ref="C6:D6"/>
  </mergeCells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4C24-A8CD-4EA1-892E-F603B456F1B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Priorización de GPC</vt:lpstr>
      <vt:lpstr>Cálculo de la muestra mensual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TOLEDO ROJAS</dc:creator>
  <cp:lastModifiedBy>LEIDY TOLEDO ROJAS</cp:lastModifiedBy>
  <dcterms:created xsi:type="dcterms:W3CDTF">2025-08-20T01:54:03Z</dcterms:created>
  <dcterms:modified xsi:type="dcterms:W3CDTF">2026-07-21T19:59:45Z</dcterms:modified>
</cp:coreProperties>
</file>