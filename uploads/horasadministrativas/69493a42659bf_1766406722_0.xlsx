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idy\Downloads\"/>
    </mc:Choice>
  </mc:AlternateContent>
  <xr:revisionPtr revIDLastSave="0" documentId="13_ncr:1_{49073818-FC11-4F2C-9A78-2050151B5C46}" xr6:coauthVersionLast="47" xr6:coauthVersionMax="47" xr10:uidLastSave="{00000000-0000-0000-0000-000000000000}"/>
  <bookViews>
    <workbookView xWindow="-108" yWindow="-108" windowWidth="23256" windowHeight="12456" activeTab="1" xr2:uid="{00000000-000D-0000-FFFF-FFFF00000000}"/>
  </bookViews>
  <sheets>
    <sheet name="SEDE PRINCIPAL" sheetId="4" r:id="rId1"/>
    <sheet name="SEDE CENTRO" sheetId="8" r:id="rId2"/>
    <sheet name="AJUSTES" sheetId="12" state="hidden" r:id="rId3"/>
    <sheet name="FORMULA" sheetId="7" state="hidden" r:id="rId4"/>
  </sheets>
  <definedNames>
    <definedName name="_xlnm._FilterDatabase" localSheetId="2" hidden="1">AJUSTES!$A$3:$P$143</definedName>
    <definedName name="_xlnm._FilterDatabase" localSheetId="1" hidden="1">'SEDE CENTRO'!$A$2:$J$8</definedName>
    <definedName name="_xlnm._FilterDatabase" localSheetId="0" hidden="1">'SEDE PRINCIPAL'!$A$2:$L$137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30" i="12" l="1"/>
  <c r="P131" i="12"/>
  <c r="P132" i="12"/>
  <c r="P133" i="12"/>
  <c r="P138" i="12"/>
  <c r="N130" i="12"/>
  <c r="N131" i="12"/>
  <c r="N132" i="12"/>
  <c r="N133" i="12"/>
  <c r="N134" i="12"/>
  <c r="P134" i="12" s="1"/>
  <c r="N135" i="12"/>
  <c r="P135" i="12" s="1"/>
  <c r="N136" i="12"/>
  <c r="P136" i="12" s="1"/>
  <c r="N137" i="12"/>
  <c r="P137" i="12" s="1"/>
  <c r="N128" i="12"/>
  <c r="N129"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5" i="12"/>
  <c r="P127" i="12"/>
  <c r="P128" i="12"/>
  <c r="P129"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P124" i="12" s="1"/>
  <c r="N125" i="12"/>
  <c r="N126" i="12"/>
  <c r="P126" i="12" s="1"/>
  <c r="N127" i="12"/>
  <c r="H96" i="12"/>
  <c r="I96" i="12"/>
  <c r="H97" i="12"/>
  <c r="I97" i="12" s="1"/>
  <c r="H98" i="12"/>
  <c r="I98" i="12"/>
  <c r="H99" i="12"/>
  <c r="I99" i="12"/>
  <c r="H100" i="12"/>
  <c r="I100" i="12"/>
  <c r="H101" i="12"/>
  <c r="I101" i="12"/>
  <c r="H102" i="12"/>
  <c r="I102" i="12"/>
  <c r="H103" i="12"/>
  <c r="I103" i="12"/>
  <c r="H104" i="12"/>
  <c r="I104" i="12"/>
  <c r="H105" i="12"/>
  <c r="I105" i="12" s="1"/>
  <c r="H106" i="12"/>
  <c r="I106" i="12"/>
  <c r="H107" i="12"/>
  <c r="I107" i="12"/>
  <c r="H108" i="12"/>
  <c r="I108" i="12"/>
  <c r="H109" i="12"/>
  <c r="I109" i="12"/>
  <c r="H110" i="12"/>
  <c r="I110" i="12"/>
  <c r="H111" i="12"/>
  <c r="I111" i="12"/>
  <c r="H112" i="12"/>
  <c r="I112" i="12"/>
  <c r="H113" i="12"/>
  <c r="I113" i="12" s="1"/>
  <c r="H114" i="12"/>
  <c r="I114" i="12"/>
  <c r="H115" i="12"/>
  <c r="I115" i="12"/>
  <c r="H116" i="12"/>
  <c r="I116" i="12"/>
  <c r="H117" i="12"/>
  <c r="I117" i="12"/>
  <c r="H118" i="12"/>
  <c r="I118" i="12"/>
  <c r="H119" i="12"/>
  <c r="I119" i="12"/>
  <c r="H120" i="12"/>
  <c r="I120" i="12"/>
  <c r="H121" i="12"/>
  <c r="I121" i="12" s="1"/>
  <c r="H122" i="12"/>
  <c r="I122" i="12"/>
  <c r="H123" i="12"/>
  <c r="I123" i="12"/>
  <c r="H124" i="12"/>
  <c r="I124" i="12" s="1"/>
  <c r="H125" i="12"/>
  <c r="I125" i="12"/>
  <c r="H126" i="12"/>
  <c r="I126" i="12"/>
  <c r="H127" i="12"/>
  <c r="I127" i="12"/>
  <c r="H128" i="12"/>
  <c r="I128" i="12"/>
  <c r="H129" i="12"/>
  <c r="I129" i="12" s="1"/>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H34" i="12"/>
  <c r="I34" i="12" s="1"/>
  <c r="H35" i="12"/>
  <c r="I35" i="12"/>
  <c r="H36" i="12"/>
  <c r="I36" i="12"/>
  <c r="H37" i="12"/>
  <c r="I37" i="12"/>
  <c r="H38" i="12"/>
  <c r="I38" i="12"/>
  <c r="H39" i="12"/>
  <c r="I39" i="12"/>
  <c r="H40" i="12"/>
  <c r="I40" i="12"/>
  <c r="H41" i="12"/>
  <c r="I41" i="12"/>
  <c r="H42" i="12"/>
  <c r="I42" i="12" s="1"/>
  <c r="H43" i="12"/>
  <c r="I43" i="12"/>
  <c r="H44" i="12"/>
  <c r="I44" i="12"/>
  <c r="H45" i="12"/>
  <c r="I45" i="12"/>
  <c r="H46" i="12"/>
  <c r="I46" i="12"/>
  <c r="H47" i="12"/>
  <c r="I47" i="12"/>
  <c r="H48" i="12"/>
  <c r="I48" i="12"/>
  <c r="H49" i="12"/>
  <c r="I49" i="12" s="1"/>
  <c r="H50" i="12"/>
  <c r="I50" i="12" s="1"/>
  <c r="H51" i="12"/>
  <c r="I51" i="12"/>
  <c r="H52" i="12"/>
  <c r="I52" i="12"/>
  <c r="H53" i="12"/>
  <c r="I53" i="12"/>
  <c r="H54" i="12"/>
  <c r="I54" i="12"/>
  <c r="H55" i="12"/>
  <c r="I55" i="12"/>
  <c r="H56" i="12"/>
  <c r="I56" i="12"/>
  <c r="H57" i="12"/>
  <c r="I57" i="12"/>
  <c r="H58" i="12"/>
  <c r="I58" i="12" s="1"/>
  <c r="H59" i="12"/>
  <c r="I59" i="12"/>
  <c r="H60" i="12"/>
  <c r="I60" i="12"/>
  <c r="H61" i="12"/>
  <c r="I61" i="12"/>
  <c r="H62" i="12"/>
  <c r="I62" i="12"/>
  <c r="H63" i="12"/>
  <c r="I63" i="12"/>
  <c r="H64" i="12"/>
  <c r="I64" i="12"/>
  <c r="H65" i="12"/>
  <c r="I65" i="12"/>
  <c r="H66" i="12"/>
  <c r="I66" i="12" s="1"/>
  <c r="H67" i="12"/>
  <c r="I67" i="12"/>
  <c r="H68" i="12"/>
  <c r="I68" i="12"/>
  <c r="H69" i="12"/>
  <c r="I69" i="12"/>
  <c r="H70" i="12"/>
  <c r="I70" i="12"/>
  <c r="H71" i="12"/>
  <c r="I71" i="12"/>
  <c r="H72" i="12"/>
  <c r="I72" i="12"/>
  <c r="H73" i="12"/>
  <c r="I73" i="12"/>
  <c r="H74" i="12"/>
  <c r="I74" i="12" s="1"/>
  <c r="H75" i="12"/>
  <c r="I75" i="12"/>
  <c r="H76" i="12"/>
  <c r="I76" i="12"/>
  <c r="H77" i="12"/>
  <c r="I77" i="12"/>
  <c r="H78" i="12"/>
  <c r="I78" i="12"/>
  <c r="H79" i="12"/>
  <c r="I79" i="12"/>
  <c r="H80" i="12"/>
  <c r="I80" i="12"/>
  <c r="H81" i="12"/>
  <c r="I81" i="12"/>
  <c r="H82" i="12"/>
  <c r="I82" i="12" s="1"/>
  <c r="H83" i="12"/>
  <c r="I83" i="12"/>
  <c r="H84" i="12"/>
  <c r="I84" i="12"/>
  <c r="H85" i="12"/>
  <c r="I85" i="12"/>
  <c r="H86" i="12"/>
  <c r="I86" i="12"/>
  <c r="H87" i="12"/>
  <c r="I87" i="12"/>
  <c r="H88" i="12"/>
  <c r="I88" i="12"/>
  <c r="H89" i="12"/>
  <c r="I89" i="12"/>
  <c r="H90" i="12"/>
  <c r="I90" i="12" s="1"/>
  <c r="H91" i="12"/>
  <c r="I91" i="12"/>
  <c r="H92" i="12"/>
  <c r="I92" i="12"/>
  <c r="H93" i="12"/>
  <c r="I93" i="12"/>
  <c r="H94" i="12"/>
  <c r="I94" i="12"/>
  <c r="H95" i="12"/>
  <c r="I95" i="12"/>
  <c r="P32" i="12"/>
  <c r="H32" i="12"/>
  <c r="I32" i="12" s="1"/>
  <c r="N32" i="12"/>
  <c r="N25" i="12"/>
  <c r="P25" i="12" s="1"/>
  <c r="H25" i="12"/>
  <c r="I25" i="12"/>
  <c r="N24" i="12"/>
  <c r="P24" i="12" s="1"/>
  <c r="N26" i="12"/>
  <c r="P26" i="12" s="1"/>
  <c r="N27" i="12"/>
  <c r="P27" i="12" s="1"/>
  <c r="N28" i="12"/>
  <c r="P28" i="12" s="1"/>
  <c r="N29" i="12"/>
  <c r="P29" i="12" s="1"/>
  <c r="N30" i="12"/>
  <c r="P30" i="12" s="1"/>
  <c r="N31" i="12"/>
  <c r="P31" i="12" s="1"/>
  <c r="N33" i="12"/>
  <c r="P33" i="12" s="1"/>
  <c r="N20" i="12"/>
  <c r="P20" i="12"/>
  <c r="H20" i="12"/>
  <c r="I20" i="12" s="1"/>
  <c r="N18" i="12"/>
  <c r="P18" i="12" s="1"/>
  <c r="N19" i="12"/>
  <c r="P19" i="12" s="1"/>
  <c r="N21" i="12"/>
  <c r="P21" i="12" s="1"/>
  <c r="N22" i="12"/>
  <c r="P22" i="12" s="1"/>
  <c r="N23" i="12"/>
  <c r="P23" i="12" s="1"/>
  <c r="H16" i="12"/>
  <c r="I16" i="12" s="1"/>
  <c r="H17" i="12"/>
  <c r="I17" i="12" s="1"/>
  <c r="H18" i="12"/>
  <c r="I18" i="12" s="1"/>
  <c r="H19" i="12"/>
  <c r="I19" i="12" s="1"/>
  <c r="H21" i="12"/>
  <c r="I21" i="12" s="1"/>
  <c r="H22" i="12"/>
  <c r="I22" i="12" s="1"/>
  <c r="H23" i="12"/>
  <c r="I23" i="12" s="1"/>
  <c r="H24" i="12"/>
  <c r="I24" i="12" s="1"/>
  <c r="H26" i="12"/>
  <c r="I26" i="12" s="1"/>
  <c r="H27" i="12"/>
  <c r="I27" i="12" s="1"/>
  <c r="H28" i="12"/>
  <c r="I28" i="12" s="1"/>
  <c r="H29" i="12"/>
  <c r="I29" i="12" s="1"/>
  <c r="H30" i="12"/>
  <c r="I30" i="12" s="1"/>
  <c r="H31" i="12"/>
  <c r="I31" i="12" s="1"/>
  <c r="H33" i="12"/>
  <c r="I33" i="12" s="1"/>
  <c r="H12" i="12"/>
  <c r="I12" i="12"/>
  <c r="H13" i="12"/>
  <c r="I13" i="12" s="1"/>
  <c r="H14" i="12"/>
  <c r="I14" i="12" s="1"/>
  <c r="H15" i="12"/>
  <c r="I15" i="12" s="1"/>
  <c r="N12" i="12"/>
  <c r="P12" i="12" s="1"/>
  <c r="H9" i="12"/>
  <c r="I9" i="12" s="1"/>
  <c r="N9" i="12"/>
  <c r="P9" i="12" s="1"/>
  <c r="N5" i="12"/>
  <c r="P5" i="12" s="1"/>
  <c r="N6" i="12"/>
  <c r="P6" i="12" s="1"/>
  <c r="N7" i="12"/>
  <c r="P7" i="12" s="1"/>
  <c r="N8" i="12"/>
  <c r="P8" i="12" s="1"/>
  <c r="N10" i="12"/>
  <c r="P10" i="12" s="1"/>
  <c r="N11" i="12"/>
  <c r="P11" i="12" s="1"/>
  <c r="N13" i="12"/>
  <c r="P13" i="12" s="1"/>
  <c r="N14" i="12"/>
  <c r="P14" i="12" s="1"/>
  <c r="N15" i="12"/>
  <c r="P15" i="12" s="1"/>
  <c r="N16" i="12"/>
  <c r="P16" i="12" s="1"/>
  <c r="N17" i="12"/>
  <c r="P17" i="12" s="1"/>
  <c r="H5" i="12"/>
  <c r="I5" i="12" s="1"/>
  <c r="H6" i="12"/>
  <c r="I6" i="12" s="1"/>
  <c r="H7" i="12"/>
  <c r="I7" i="12" s="1"/>
  <c r="H8" i="12"/>
  <c r="I8" i="12" s="1"/>
  <c r="H10" i="12"/>
  <c r="I10" i="12" s="1"/>
  <c r="H11" i="12"/>
  <c r="I11" i="12" s="1"/>
  <c r="N4" i="12"/>
  <c r="P4" i="12" s="1"/>
  <c r="H4" i="12"/>
  <c r="I4" i="12" s="1"/>
  <c r="H128" i="4"/>
  <c r="H129" i="4"/>
  <c r="H130" i="4"/>
  <c r="H131" i="4"/>
  <c r="H127" i="4"/>
  <c r="H85" i="4"/>
  <c r="H86" i="4"/>
  <c r="H87" i="4"/>
  <c r="H88" i="4"/>
  <c r="H89" i="4"/>
  <c r="H79" i="4"/>
  <c r="H80" i="4"/>
  <c r="H81" i="4"/>
  <c r="H82" i="4"/>
  <c r="H83" i="4"/>
  <c r="H73" i="4"/>
  <c r="H74" i="4"/>
  <c r="H75" i="4"/>
  <c r="H76" i="4"/>
  <c r="H77" i="4"/>
  <c r="H66" i="4"/>
  <c r="H67" i="4"/>
  <c r="H68" i="4"/>
  <c r="H69" i="4"/>
  <c r="H70" i="4"/>
  <c r="H71" i="4"/>
  <c r="H60" i="4"/>
  <c r="H61" i="4"/>
  <c r="H62" i="4"/>
  <c r="H63" i="4"/>
  <c r="H64" i="4"/>
  <c r="H54" i="4"/>
  <c r="H55" i="4"/>
  <c r="H56" i="4"/>
  <c r="H57" i="4"/>
  <c r="H58" i="4"/>
  <c r="H52" i="4"/>
  <c r="H51" i="4"/>
  <c r="H50" i="4"/>
  <c r="H49" i="4"/>
  <c r="H48" i="4"/>
  <c r="H46" i="4"/>
  <c r="H45" i="4"/>
  <c r="H44" i="4"/>
  <c r="H43" i="4"/>
  <c r="H42" i="4"/>
  <c r="H36" i="4"/>
  <c r="H37" i="4"/>
  <c r="H38" i="4"/>
  <c r="H39" i="4"/>
  <c r="H40" i="4"/>
  <c r="H35" i="4"/>
  <c r="H34" i="4"/>
  <c r="H33" i="4"/>
  <c r="H32" i="4"/>
  <c r="H31" i="4"/>
  <c r="H30" i="4"/>
  <c r="H29" i="4"/>
  <c r="H12" i="4"/>
  <c r="H4" i="4"/>
  <c r="H11" i="4"/>
  <c r="H41" i="4"/>
  <c r="H47" i="4"/>
  <c r="H53" i="4"/>
  <c r="H59" i="4"/>
  <c r="H65" i="4"/>
  <c r="H72" i="4"/>
  <c r="H78" i="4"/>
  <c r="H84" i="4"/>
  <c r="H8" i="8" l="1"/>
  <c r="I8" i="8" s="1"/>
  <c r="H7" i="8"/>
  <c r="I7" i="8" s="1"/>
  <c r="H5" i="8"/>
  <c r="I5" i="8" s="1"/>
  <c r="H4" i="8"/>
  <c r="I4" i="8" s="1"/>
  <c r="H3" i="8"/>
  <c r="I3" i="8" s="1"/>
  <c r="H113" i="4"/>
  <c r="H119" i="4"/>
  <c r="H117" i="4"/>
  <c r="H122" i="4" l="1"/>
  <c r="H134" i="4"/>
  <c r="H133" i="4"/>
  <c r="H132" i="4"/>
  <c r="H120" i="4"/>
  <c r="H136" i="4" l="1"/>
  <c r="H26" i="4"/>
  <c r="H25" i="4"/>
  <c r="H28" i="4"/>
  <c r="D2" i="7"/>
  <c r="D3" i="7"/>
  <c r="D4" i="7"/>
  <c r="D5" i="7"/>
  <c r="D6" i="7"/>
  <c r="D7" i="7"/>
  <c r="D8" i="7"/>
  <c r="D9" i="7"/>
  <c r="D10" i="7"/>
  <c r="D11" i="7"/>
  <c r="D12" i="7"/>
  <c r="D1" i="7"/>
  <c r="H137" i="4"/>
  <c r="H135" i="4"/>
  <c r="H115" i="4"/>
  <c r="H114" i="4"/>
  <c r="H112" i="4"/>
  <c r="G118" i="4"/>
  <c r="H118" i="4" s="1"/>
  <c r="H116" i="4"/>
  <c r="H27" i="4" l="1"/>
  <c r="H24" i="4"/>
  <c r="H23" i="4"/>
  <c r="H22" i="4"/>
  <c r="H21" i="4"/>
  <c r="H20" i="4"/>
  <c r="H19" i="4"/>
  <c r="H18" i="4"/>
  <c r="H17" i="4"/>
  <c r="H16" i="4"/>
  <c r="H15" i="4"/>
  <c r="H14" i="4"/>
  <c r="H13" i="4"/>
  <c r="H8" i="4"/>
  <c r="H9" i="4"/>
  <c r="H7" i="4"/>
  <c r="H6" i="4"/>
  <c r="H5" i="4"/>
  <c r="H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APOYO TALENTO HUMANO</author>
    <author>tc={0C14F765-05CF-45FC-A95A-3AEB632277E5}</author>
  </authors>
  <commentList>
    <comment ref="G2" authorId="0" shapeId="0" xr:uid="{61C57188-D5B3-4FAC-BD4E-77C33C63760C}">
      <text>
        <r>
          <rPr>
            <b/>
            <sz val="9"/>
            <color indexed="81"/>
            <rFont val="Tahoma"/>
            <family val="2"/>
          </rPr>
          <t>APOYO TALENTO HUMANO:</t>
        </r>
        <r>
          <rPr>
            <sz val="9"/>
            <color indexed="81"/>
            <rFont val="Tahoma"/>
            <family val="2"/>
          </rPr>
          <t xml:space="preserve">
Cuantas consultas realizan en 1 hora</t>
        </r>
      </text>
    </comment>
    <comment ref="E125" authorId="1" shapeId="0" xr:uid="{0C14F765-05CF-45FC-A95A-3AEB632277E5}">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MODULOS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APOYO TALENTO HUMANO</author>
    <author>Melbi Henández S</author>
    <author>tc={B9F5DFC8-8FC0-4042-88F8-81156A333A8A}</author>
    <author>LIDER GETION HUMANA</author>
  </authors>
  <commentList>
    <comment ref="G3" authorId="0" shapeId="0" xr:uid="{E407EDDD-882E-4298-8185-847F3489000C}">
      <text>
        <r>
          <rPr>
            <b/>
            <sz val="9"/>
            <color indexed="81"/>
            <rFont val="Tahoma"/>
            <family val="2"/>
          </rPr>
          <t>APOYO TALENTO HUMANO:</t>
        </r>
        <r>
          <rPr>
            <sz val="9"/>
            <color indexed="81"/>
            <rFont val="Tahoma"/>
            <family val="2"/>
          </rPr>
          <t xml:space="preserve">
Cuantas consultas realizan en 1 hora</t>
        </r>
      </text>
    </comment>
    <comment ref="B13" authorId="1" shapeId="0" xr:uid="{C7C336EA-05F3-4E70-BA51-FA1AC3D3F39C}">
      <text>
        <r>
          <rPr>
            <b/>
            <sz val="9"/>
            <color indexed="81"/>
            <rFont val="Tahoma"/>
            <family val="2"/>
          </rPr>
          <t>Melbi Henández S:</t>
        </r>
        <r>
          <rPr>
            <sz val="9"/>
            <color indexed="81"/>
            <rFont val="Tahoma"/>
            <family val="2"/>
          </rPr>
          <t xml:space="preserve">
Al mes de junio se hizo cierre temporal del servicio por insuficiencia de Talento Humano
</t>
        </r>
      </text>
    </comment>
    <comment ref="E131" authorId="2" shapeId="0" xr:uid="{B9F5DFC8-8FC0-4042-88F8-81156A333A8A}">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MODULOS</t>
        </r>
      </text>
    </comment>
    <comment ref="I131" authorId="3" shapeId="0" xr:uid="{3B67F5DF-732D-4132-ADBB-29B8C2BBB5D6}">
      <text>
        <r>
          <rPr>
            <b/>
            <sz val="9"/>
            <color indexed="81"/>
            <rFont val="Tahoma"/>
            <family val="2"/>
          </rPr>
          <t>LIDER GETION HUMANA:</t>
        </r>
        <r>
          <rPr>
            <sz val="9"/>
            <color indexed="81"/>
            <rFont val="Tahoma"/>
            <family val="2"/>
          </rPr>
          <t xml:space="preserve">
DIAS OFERTA
</t>
        </r>
      </text>
    </comment>
  </commentList>
</comments>
</file>

<file path=xl/sharedStrings.xml><?xml version="1.0" encoding="utf-8"?>
<sst xmlns="http://schemas.openxmlformats.org/spreadsheetml/2006/main" count="976" uniqueCount="237">
  <si>
    <t>Consulta externa general</t>
  </si>
  <si>
    <t>MEDICINA GENERAL</t>
  </si>
  <si>
    <t>ENFERMERÍA</t>
  </si>
  <si>
    <t>ODONTOLOGÍA GENERAL</t>
  </si>
  <si>
    <t>PSICOLOGÍA</t>
  </si>
  <si>
    <t>NUTRICIÓN Y DIETÉTICA</t>
  </si>
  <si>
    <t>Servicio Consulta externa especializada</t>
  </si>
  <si>
    <t>MEDICINA FÍSICA Y REHABILITACIÓN</t>
  </si>
  <si>
    <t>NEUROCIRUGÍA</t>
  </si>
  <si>
    <t>MEDICINA FAMILIAR</t>
  </si>
  <si>
    <t>OFTALMOLOGÍA</t>
  </si>
  <si>
    <t>OTORRINOLARINGOLOGÍA</t>
  </si>
  <si>
    <t>PSIQUIATRÍA</t>
  </si>
  <si>
    <t>ANESTESIA</t>
  </si>
  <si>
    <t>CIRUGÍA GENERAL</t>
  </si>
  <si>
    <t>GASTROENTEROLOGÍA</t>
  </si>
  <si>
    <t>GINECOBSTETRICIA</t>
  </si>
  <si>
    <t>MEDICINA INTERNA</t>
  </si>
  <si>
    <t>ORTOPEDIA Y/O TRAUMATOLOGÍA</t>
  </si>
  <si>
    <t>PEDIATRÍA</t>
  </si>
  <si>
    <t>UROLOGÍA</t>
  </si>
  <si>
    <t>Servicio de cirugia</t>
  </si>
  <si>
    <t>CIRUGÍA OFTALMOLÓGICA</t>
  </si>
  <si>
    <t>CIRUGÍA OTORRINOLARINGOLOGÍA</t>
  </si>
  <si>
    <t>CIRUGÍA GINECOLÓGICA</t>
  </si>
  <si>
    <t>CIRUGÍA ORTOPÉDICA</t>
  </si>
  <si>
    <t>CIRUGÍA UROLÓGICA</t>
  </si>
  <si>
    <t>Servicio de cuidado intensivo adultos</t>
  </si>
  <si>
    <t>CUIDADO INTENSIVO ADULTOS</t>
  </si>
  <si>
    <t>Servicio de cuidado intermedio adulto</t>
  </si>
  <si>
    <t>CUIDADO INTERMEDIO ADULTOS</t>
  </si>
  <si>
    <t>Servicio de farmaceutico</t>
  </si>
  <si>
    <t>SERVICIO FARMACÉUTICO</t>
  </si>
  <si>
    <t>Servicio de hospitalizacion</t>
  </si>
  <si>
    <t>HOSPITALIZACIÓN ADULTOS</t>
  </si>
  <si>
    <t>HOSPITALIZACIÓN PEDIÁTRICA</t>
  </si>
  <si>
    <t>Servicio de diagnostico cardiovascular</t>
  </si>
  <si>
    <t>DIAGNÓSTICO VASCULAR</t>
  </si>
  <si>
    <t xml:space="preserve">Servicio de imágenes diagnósticas
Métodos diagnosticos con imágenes obtenidas mediante equipos generadores de radiaciones ionizantes
</t>
  </si>
  <si>
    <t>IMÁGENES DIAGNOSTICAS - IONIZANTES</t>
  </si>
  <si>
    <t>Servicio de imágenes diagnósticas
Métodos diagnosticos con imágenes obtenidas mediante equipos generadores de radiaciones no ionizantes</t>
  </si>
  <si>
    <t>IMÁGENES DIAGNOSTICAS - NO IONIZANTES</t>
  </si>
  <si>
    <t>Servicio de terapias</t>
  </si>
  <si>
    <t>TERAPIA RESPIRATORIA</t>
  </si>
  <si>
    <t>FISIOTERAPIA</t>
  </si>
  <si>
    <t>FONOAUDIOLOGÍA Y/O TERAPIA DEL LENGUAJE</t>
  </si>
  <si>
    <t>servicio de gestión pre transfusional</t>
  </si>
  <si>
    <t>GESTION PRE-TRANSFUSIONAL</t>
  </si>
  <si>
    <t>Servicio de laboratorio clínico</t>
  </si>
  <si>
    <t>LABORATORIO CLÍNICO</t>
  </si>
  <si>
    <t>Servicio de toma de muestras de laboratorio clinico</t>
  </si>
  <si>
    <t>TOMA DE MUESTRAS DE LABORATORIO CLÍNICO</t>
  </si>
  <si>
    <t>Servicio de transporte asistencial</t>
  </si>
  <si>
    <t>TRANSPORTE ASISTENCIAL BASICO</t>
  </si>
  <si>
    <t>TRANSPORTE ASISTENCIAL MEDICALIZADO</t>
  </si>
  <si>
    <t>Servicio de Urgencias</t>
  </si>
  <si>
    <t>URGENCIAS</t>
  </si>
  <si>
    <t>Servicio de Vacunacion</t>
  </si>
  <si>
    <t>VACUNACIÓN</t>
  </si>
  <si>
    <t>Servicio para la atencion del parto</t>
  </si>
  <si>
    <t>ATENCIÓN DEL PARTO</t>
  </si>
  <si>
    <t>Servicio de toma de muestras de cuello uterino y ginecologicas</t>
  </si>
  <si>
    <t>TOMA DE MUESTRAS DE CUELLO UTERINO Y GINECOLÓGICAS</t>
  </si>
  <si>
    <t xml:space="preserve">DERMATOLOGIA </t>
  </si>
  <si>
    <t xml:space="preserve">MEDICINA DEL DOLOR Y CUIDADOS PALEATIVOS </t>
  </si>
  <si>
    <t xml:space="preserve">CIRUGIA  DERMATOLOGIA </t>
  </si>
  <si>
    <t xml:space="preserve">Ambulatorio </t>
  </si>
  <si>
    <t>Baja</t>
  </si>
  <si>
    <t xml:space="preserve">Ambulatorio, Intramural </t>
  </si>
  <si>
    <t>Ambulatorio, Hospitalario</t>
  </si>
  <si>
    <t xml:space="preserve">Media </t>
  </si>
  <si>
    <t>Ambulatorio</t>
  </si>
  <si>
    <t>Intramural</t>
  </si>
  <si>
    <t xml:space="preserve">Ambulatorio, hospitalario </t>
  </si>
  <si>
    <t>Media, Alta</t>
  </si>
  <si>
    <t>Media</t>
  </si>
  <si>
    <t>Ambulatorio, Hospitalario, Intramural</t>
  </si>
  <si>
    <t>Hospitalario</t>
  </si>
  <si>
    <t xml:space="preserve">Alta </t>
  </si>
  <si>
    <t>Intramural, Domiciliaria</t>
  </si>
  <si>
    <t xml:space="preserve">Ambulatorio, Hospitalario, Intramural </t>
  </si>
  <si>
    <t>Ambulatoria, Intramural</t>
  </si>
  <si>
    <t>Sin Complejidad</t>
  </si>
  <si>
    <t>Ambulatorio, Hospitalario, Intramural , domiciliario</t>
  </si>
  <si>
    <t>Extramural</t>
  </si>
  <si>
    <t>intramural</t>
  </si>
  <si>
    <t xml:space="preserve">Sin Complejidad </t>
  </si>
  <si>
    <t xml:space="preserve">NEUROLOGÍA </t>
  </si>
  <si>
    <t xml:space="preserve">CONSULTA EXTERNA </t>
  </si>
  <si>
    <t>GRUPO
SERVICIO</t>
  </si>
  <si>
    <t>SERVICIOS HABILIATADOS</t>
  </si>
  <si>
    <t>MODALIDAD</t>
  </si>
  <si>
    <t>COMPLEJIDAD</t>
  </si>
  <si>
    <t>Ambulatorio, Intramural</t>
  </si>
  <si>
    <t>MEDICINA GENERAL (3280)</t>
  </si>
  <si>
    <t>CONSULT.</t>
  </si>
  <si>
    <t>HR. DISP./ CONSULT.</t>
  </si>
  <si>
    <t>OFERTA / HR.</t>
  </si>
  <si>
    <t>T. OFERTA /HR.</t>
  </si>
  <si>
    <t>T. OFERTA /HR. MES</t>
  </si>
  <si>
    <t>DÍAS</t>
  </si>
  <si>
    <t>CAPACIDAD INSTALADA FÍSICA</t>
  </si>
  <si>
    <t>CAPACIDAD INSTALADA T.H.</t>
  </si>
  <si>
    <t>T. PERS.</t>
  </si>
  <si>
    <t>HR. LAB. / MES</t>
  </si>
  <si>
    <t>HR. CONTR. / MES</t>
  </si>
  <si>
    <t>T. HR. LAB / MES</t>
  </si>
  <si>
    <t>ESTANDAR / HR.</t>
  </si>
  <si>
    <t>TODO EL MES</t>
  </si>
  <si>
    <t>T. OFERTA /ACTV. MES</t>
  </si>
  <si>
    <t>CARDIOLOGÍA (consultas)</t>
  </si>
  <si>
    <t>PROF. ATENCIÓN</t>
  </si>
  <si>
    <t>Médico General</t>
  </si>
  <si>
    <t>Médico Especialista Medicina Interna</t>
  </si>
  <si>
    <t>ME Pediatría</t>
  </si>
  <si>
    <t>ME Ginecología y Obstetricia</t>
  </si>
  <si>
    <t>ME Cirugía General</t>
  </si>
  <si>
    <t>ME Ortopedia</t>
  </si>
  <si>
    <t>ME Anestesia</t>
  </si>
  <si>
    <t>ME Medicina Crítica</t>
  </si>
  <si>
    <t>ME Psiquiatría</t>
  </si>
  <si>
    <t>ME Urología</t>
  </si>
  <si>
    <t>Otra Especialidad</t>
  </si>
  <si>
    <t>Odontólogo General</t>
  </si>
  <si>
    <t>Enfermero profesional</t>
  </si>
  <si>
    <t>Nutricionista</t>
  </si>
  <si>
    <t>Cardiologo</t>
  </si>
  <si>
    <t>Psiquiatra</t>
  </si>
  <si>
    <t>Tecnologo RX</t>
  </si>
  <si>
    <t>ME Radiología</t>
  </si>
  <si>
    <t>Terp. Resp.</t>
  </si>
  <si>
    <t>Fisioterapeuta</t>
  </si>
  <si>
    <t>Fonoaudiologo</t>
  </si>
  <si>
    <t>Bacteriología</t>
  </si>
  <si>
    <t>TENIENDO EN CUENTA QUE LOS MÉDICOS DE CUIDADO CRITICO SE APOYAN EN ESPECIALISTAS DE MEDICINA INTERNA Y CIRUGIA GENERAL PARA CUBRI LAS NOCHES</t>
  </si>
  <si>
    <t>Terapia Ocupacional</t>
  </si>
  <si>
    <t>Aux Enfermeria</t>
  </si>
  <si>
    <t>Profesional Enfermeria</t>
  </si>
  <si>
    <t>Domiciliaria</t>
  </si>
  <si>
    <t>Quimico Farmaceutico</t>
  </si>
  <si>
    <t>Regente</t>
  </si>
  <si>
    <t>Aux Farmacia</t>
  </si>
  <si>
    <t>TERAPIA OCUPACIONAL</t>
  </si>
  <si>
    <t>Cirujano Vascular</t>
  </si>
  <si>
    <t xml:space="preserve"> Intramural, Ambulatorio</t>
  </si>
  <si>
    <t>CARDIOLOGÍA PEDIÁTRICA</t>
  </si>
  <si>
    <t>CIRUGÍA PLÁSTICA Y ESTÉTICA</t>
  </si>
  <si>
    <t>CIRUGIA VASCULAR</t>
  </si>
  <si>
    <t>CIRUGÍA VASCULAR Y ANGIOLÓGICA</t>
  </si>
  <si>
    <t>media</t>
  </si>
  <si>
    <t>media,alta</t>
  </si>
  <si>
    <t>sin complejidad</t>
  </si>
  <si>
    <t>ENFERMERÍA  (procedimientos menores)</t>
  </si>
  <si>
    <t>Profesional enfermería</t>
  </si>
  <si>
    <t>Odontólogo</t>
  </si>
  <si>
    <t>Psicólogo</t>
  </si>
  <si>
    <t>Med Fisiatra</t>
  </si>
  <si>
    <t>Med Neurólogo</t>
  </si>
  <si>
    <t>Med Neurocirujano</t>
  </si>
  <si>
    <t>Cirujano Plástico</t>
  </si>
  <si>
    <t>Med Cardiólogo Pediátrico</t>
  </si>
  <si>
    <t>Med Cardiólogo</t>
  </si>
  <si>
    <t>Med Familiar</t>
  </si>
  <si>
    <t>Med Oftalmologo</t>
  </si>
  <si>
    <t>Méd Otorrinolaringologo</t>
  </si>
  <si>
    <t>Med Anestesiólogo</t>
  </si>
  <si>
    <t>Cirujano General</t>
  </si>
  <si>
    <t>Med Gastroenterólogo</t>
  </si>
  <si>
    <t>Med Ginecología y Obstetricia</t>
  </si>
  <si>
    <t>Med Internista</t>
  </si>
  <si>
    <t>Med Ortopedista</t>
  </si>
  <si>
    <t>Med Pediatra</t>
  </si>
  <si>
    <t>Med Dermatólogo</t>
  </si>
  <si>
    <t>Med Urólogo</t>
  </si>
  <si>
    <t>Med esp cuidados paleativos - dolor</t>
  </si>
  <si>
    <t>Med Otorrinolaringologo</t>
  </si>
  <si>
    <t>Otra especialidad</t>
  </si>
  <si>
    <t>Aux enfermería</t>
  </si>
  <si>
    <t>Enfermero</t>
  </si>
  <si>
    <t>-</t>
  </si>
  <si>
    <t>Medico General</t>
  </si>
  <si>
    <t>Instrumentador</t>
  </si>
  <si>
    <t xml:space="preserve">Anestesiologo </t>
  </si>
  <si>
    <t>Radiologia (ocasional)</t>
  </si>
  <si>
    <t>Aux. Enfermeria</t>
  </si>
  <si>
    <t>Conductor</t>
  </si>
  <si>
    <t>Auxliar Enfermeria</t>
  </si>
  <si>
    <t xml:space="preserve">Higienista </t>
  </si>
  <si>
    <t xml:space="preserve">ENFERMERÍA  </t>
  </si>
  <si>
    <t>Sala de Procedimientos  MEDICINA FÍSICA Y REHABILITACIÓN</t>
  </si>
  <si>
    <t xml:space="preserve">Sala de Procedimientos  NEUROLOGÍA </t>
  </si>
  <si>
    <t>Sala de Procedmientos  OTORRINOLARINGOLOGÍA</t>
  </si>
  <si>
    <t>Sala de Procedmientos GASTROENTOROLOGÍA</t>
  </si>
  <si>
    <t xml:space="preserve">Sala de Procedimientos MEDICINA DEL DOLOR Y CUIDADOS PALEATIVOS </t>
  </si>
  <si>
    <t>Total de personal permitido por normativa</t>
  </si>
  <si>
    <t>Total de personal actual</t>
  </si>
  <si>
    <t>NÚMERO DE ESTUDIANTES ACTUALES</t>
  </si>
  <si>
    <t>SERVICIOS HABILITADOS</t>
  </si>
  <si>
    <t xml:space="preserve">MEDICINA DEL DOLOR Y CUIDADOS PALiATIVOS </t>
  </si>
  <si>
    <t>2 residentes (de primera o segunda especialidad), en roles de observador, ayudante o incluso operador principal según el nivel de formación.
1 interno o estudiante de pregrado de medicina u odontología.
1 estudiante de enfermería.
1 estudiante de instrumentación quirúrgica (IQ).</t>
  </si>
  <si>
    <t>TIPO PERSONAL DE FORMACIÓN</t>
  </si>
  <si>
    <t>NA</t>
  </si>
  <si>
    <t>2 residentes (de primera o segunda especialidad), en roles de observador, ayudante o incluso operador principal según el nivel de formación.</t>
  </si>
  <si>
    <t>Estudiantes de pregrado (no interno): Máximo un (1) estudiante por cada tres (3) camas.
Estudiantes de internado: Máximo un (1) interno por cada seis (6) camas.
Estudiante de especializaciones médicas y quirúrgicas (Residente): Máximo un (1) residente por cada
diez (10) camas para Medicina Interna, Cirugía General, Gineco-obstetricia, Pediatría y Ortopedia</t>
  </si>
  <si>
    <t xml:space="preserve"> (1) estudiante por cada tres (3) camas</t>
  </si>
  <si>
    <t>CAPACIDAD INSTALADA PARA CONVENIOS DOCENCIA DE SERVICIO</t>
  </si>
  <si>
    <t xml:space="preserve">Estudiantes de Enfermería </t>
  </si>
  <si>
    <t>(2) estudiantes por consultorio incluyendo pregrado y posgrado</t>
  </si>
  <si>
    <t>(2) estudiantes por consultorio</t>
  </si>
  <si>
    <t>NÚMERO DE ESTUDIANTES ACTUALES     (2026-1)</t>
  </si>
  <si>
    <t>(1) estudiante por unidad odontológica</t>
  </si>
  <si>
    <t xml:space="preserve">NÚMERO DE ESTUDIANTES PERMITIDO POR NORMA </t>
  </si>
  <si>
    <t>Estudiante de Psicología pregrado</t>
  </si>
  <si>
    <t>Médico Interno</t>
  </si>
  <si>
    <t>Enfermero Interno</t>
  </si>
  <si>
    <t>1 estudiante por consultorio medicina, 1 estudiante por consultorio enfermería.Si solo realiza prácticas uno de los dos programas, pueden realizar práctica dos estudiantes de
medicina o dos estudiantes de enfermería.</t>
  </si>
  <si>
    <t>Estudiante Enfermería</t>
  </si>
  <si>
    <t xml:space="preserve">Máximo dos (2) estudiantes por consultorio de fisioterapia.
Máximo tres (3) estudiantes por gimnasio. </t>
  </si>
  <si>
    <t xml:space="preserve">(2) estudiantes por consultorio. </t>
  </si>
  <si>
    <t>(1) estudiante por cada tres (3) unidades de trabajo</t>
  </si>
  <si>
    <t xml:space="preserve"> (3) estudiantes por taller. Cuando el procedimiento de tamizaje de audiología se realice en el consultorio de
fonoaudiología, solo se permitirán los dos (2) estudiantes ya mencionados. En el caso de que el
procedimiento se realice en un espacio fuera del consultorio, se podrán asignar dos (2) estudiantes
adicionales a los del consultorio</t>
  </si>
  <si>
    <t xml:space="preserve"> (2) estudiantes </t>
  </si>
  <si>
    <t>(3) estudiantes, si solo ejecutan los procesos generales y la atención farmacéutica
definidos en la Resolución 3100 de 2019</t>
  </si>
  <si>
    <t>Estudiantes Regencia de Farmacia</t>
  </si>
  <si>
    <t xml:space="preserve">(1) estudiante de posgrado en radiología e imágenes diagnósticas por cada unidad de
trabajo. (1) estudiante por sala de examen de tecnología. (5) estudiantes de medicina entre sala de lectura y unidad de trabajo. (2) estudiantes en todas las unidades de trabajo del área. </t>
  </si>
  <si>
    <t xml:space="preserve"> (2) estudiantes posgrado por cada sala de procedimientos del servicio. (1) estudiante de pregrado de medicina interno por cada sala de procedimientos del
servicio. (1) estudiante de pregrado o posgrado de enfermería</t>
  </si>
  <si>
    <t xml:space="preserve">(1) estudiante de bacteriología en el servicio. </t>
  </si>
  <si>
    <t>Estudiante de Bacteriología</t>
  </si>
  <si>
    <t>(1) estudiante por cada Ambiente técnico de procedimientos (pregrado y posgrado)</t>
  </si>
  <si>
    <t>No refiere</t>
  </si>
  <si>
    <t>Médico Interno Ortopedia</t>
  </si>
  <si>
    <t>Médico Interno Anestesiología</t>
  </si>
  <si>
    <t>Médico Interno Ginecología</t>
  </si>
  <si>
    <t>Médico Interno Cirugía Generla</t>
  </si>
  <si>
    <t xml:space="preserve">Triage: (1) estudiante de pregrado de enfermería o de medicina, o de posgrado por consultorio. Observación:  (1) estudiante de pregrado de medicina por cada tres (3) camillas.(1) estudiante de pregrado de enfermería por cada tres (3) camillas.  (1) estudiante de programas de pregrado de fisioterapia y/o terapia respiratoria por cada
10 camillas (1) estudiante de programas de pregrado de nutrición y dietética por cada 10 camillas.1) estudiante de pregrado medicina por unidad de trabajo de la Sala de yesos. (1) estudiante de pregrado de medicina por consultorio de urgencias.  (2) estudiantes de pregrado de enfermería o medicina por camilla en sala d eprocedimientos (1) estudiantes de pregrado de medicina en sala de reanimación  (1) estudiante de pregrado de enfermería en sala de reanimación </t>
  </si>
  <si>
    <t>Médico Interno Urgencias</t>
  </si>
  <si>
    <t>Estudiante Psicología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</si>
</sst>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Calibri"/>
      <family val="2"/>
      <scheme val="minor"/>
    </font>
    <font>
      <sz val="11"/>
      <color theme="1"/>
      <name val="Century Gothic"/>
      <family val="2"/>
    </font>
    <font>
      <sz val="11"/>
      <color theme="1"/>
      <name val="Century Gothic"/>
      <family val="2"/>
    </font>
    <font>
      <sz val="11"/>
      <color theme="1"/>
      <name val="Calibri"/>
      <family val="2"/>
      <scheme val="minor"/>
    </font>
    <font>
      <sz val="10"/>
      <name val="Arial"/>
      <family val="2"/>
    </font>
    <font>
      <b/>
      <sz val="9"/>
      <color indexed="81"/>
      <name val="Tahoma"/>
      <family val="2"/>
    </font>
    <font>
      <sz val="9"/>
      <color indexed="81"/>
      <name val="Tahoma"/>
      <family val="2"/>
    </font>
    <font>
      <sz val="11"/>
      <color theme="1"/>
      <name val="Century Gothic"/>
      <family val="2"/>
    </font>
    <font>
      <b/>
      <sz val="11"/>
      <name val="Century Gothic"/>
      <family val="2"/>
    </font>
    <font>
      <b/>
      <sz val="12"/>
      <color theme="1"/>
      <name val="Century Gothic"/>
      <family val="2"/>
    </font>
    <font>
      <b/>
      <sz val="16"/>
      <color theme="1"/>
      <name val="Century Gothic"/>
      <family val="2"/>
    </font>
    <font>
      <b/>
      <sz val="14"/>
      <color theme="1"/>
      <name val="Century Gothic"/>
      <family val="2"/>
    </font>
    <font>
      <b/>
      <sz val="8"/>
      <color theme="1"/>
      <name val="Century Gothic"/>
      <family val="2"/>
    </font>
    <font>
      <sz val="11"/>
      <color rgb="FF222222"/>
      <name val="Arial"/>
      <family val="2"/>
    </font>
    <font>
      <sz val="11"/>
      <name val="Century Gothic"/>
      <family val="2"/>
    </font>
    <font>
      <b/>
      <sz val="11"/>
      <color theme="1"/>
      <name val="Century Gothic"/>
      <family val="2"/>
    </font>
    <font>
      <sz val="8"/>
      <name val="Calibri"/>
      <family val="2"/>
      <scheme val="minor"/>
    </font>
    <font>
      <sz val="10"/>
      <color theme="1"/>
      <name val="Calibri"/>
      <family val="2"/>
      <scheme val="minor"/>
    </font>
    <font>
      <sz val="9"/>
      <color theme="1"/>
      <name val="Calibri"/>
      <family val="2"/>
      <scheme val="minor"/>
    </font>
    <font>
      <sz val="10"/>
      <color theme="1"/>
      <name val="Century Gothic"/>
      <family val="2"/>
    </font>
    <font>
      <sz val="8"/>
      <color theme="1"/>
      <name val="Calibri"/>
      <family val="2"/>
      <scheme val="minor"/>
    </font>
  </fonts>
  <fills count="16">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E8A790"/>
        <bgColor indexed="64"/>
      </patternFill>
    </fill>
    <fill>
      <patternFill patternType="solid">
        <fgColor theme="8"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43" fontId="4" fillId="0" borderId="0" applyFont="0" applyFill="0" applyBorder="0" applyAlignment="0" applyProtection="0"/>
  </cellStyleXfs>
  <cellXfs count="182">
    <xf numFmtId="0" fontId="0" fillId="0" borderId="0" xfId="0"/>
    <xf numFmtId="0" fontId="8"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7" fillId="3" borderId="1" xfId="0" applyFont="1" applyFill="1" applyBorder="1" applyAlignment="1">
      <alignment horizontal="lef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1" xfId="0" applyFont="1" applyBorder="1" applyAlignment="1">
      <alignment horizontal="center" vertical="center" wrapText="1"/>
    </xf>
    <xf numFmtId="0" fontId="7" fillId="0" borderId="5" xfId="0" applyFont="1" applyBorder="1" applyAlignment="1">
      <alignment horizontal="left" vertical="center" wrapText="1"/>
    </xf>
    <xf numFmtId="0" fontId="11" fillId="0" borderId="10" xfId="0" applyFont="1" applyBorder="1" applyAlignment="1">
      <alignment horizontal="center" vertical="center" wrapText="1"/>
    </xf>
    <xf numFmtId="0" fontId="11" fillId="0" borderId="0" xfId="0" applyFont="1" applyAlignment="1">
      <alignment vertical="center" wrapText="1"/>
    </xf>
    <xf numFmtId="0" fontId="12" fillId="0" borderId="1" xfId="0" applyFont="1" applyBorder="1" applyAlignment="1">
      <alignment horizontal="center" vertical="top" wrapText="1"/>
    </xf>
    <xf numFmtId="0" fontId="10" fillId="0" borderId="0" xfId="0" applyFont="1" applyAlignment="1">
      <alignment horizontal="center" vertical="center" wrapText="1"/>
    </xf>
    <xf numFmtId="0" fontId="10" fillId="0" borderId="0" xfId="0" applyFont="1" applyAlignment="1">
      <alignment vertical="center" wrapText="1"/>
    </xf>
    <xf numFmtId="0" fontId="13" fillId="0" borderId="0" xfId="0" applyFont="1" applyAlignment="1">
      <alignment vertical="center"/>
    </xf>
    <xf numFmtId="0" fontId="0" fillId="0" borderId="1" xfId="0" applyBorder="1" applyAlignment="1">
      <alignment horizontal="center" vertical="center" wrapText="1"/>
    </xf>
    <xf numFmtId="0" fontId="8" fillId="2" borderId="5" xfId="0" applyFont="1" applyFill="1" applyBorder="1" applyAlignment="1">
      <alignment horizontal="left" vertical="center" wrapText="1"/>
    </xf>
    <xf numFmtId="0" fontId="7" fillId="0" borderId="14" xfId="0" applyFont="1" applyBorder="1" applyAlignment="1">
      <alignment horizontal="center" vertical="center" wrapText="1"/>
    </xf>
    <xf numFmtId="0" fontId="1" fillId="5" borderId="5" xfId="0" applyFont="1" applyFill="1" applyBorder="1" applyAlignment="1">
      <alignment horizontal="left" vertical="center" wrapText="1"/>
    </xf>
    <xf numFmtId="0" fontId="14" fillId="0" borderId="5" xfId="0" applyFont="1" applyBorder="1" applyAlignment="1">
      <alignment horizontal="left" vertical="center" wrapText="1"/>
    </xf>
    <xf numFmtId="0" fontId="1" fillId="0" borderId="1" xfId="0" applyFont="1" applyBorder="1" applyAlignment="1">
      <alignment horizontal="center" vertical="center" wrapText="1"/>
    </xf>
    <xf numFmtId="0" fontId="8" fillId="7"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1" fillId="8"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4" fillId="8" borderId="5"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7" fillId="12" borderId="1" xfId="0" applyFont="1" applyFill="1" applyBorder="1" applyAlignment="1">
      <alignment horizontal="left" vertical="center" wrapText="1"/>
    </xf>
    <xf numFmtId="0" fontId="1" fillId="12"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vertical="center" wrapText="1"/>
    </xf>
    <xf numFmtId="0" fontId="7"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7" fillId="11" borderId="0" xfId="0" applyFont="1" applyFill="1" applyAlignment="1">
      <alignment vertical="center" wrapText="1"/>
    </xf>
    <xf numFmtId="0" fontId="1" fillId="11" borderId="1" xfId="0" applyFont="1" applyFill="1" applyBorder="1" applyAlignment="1">
      <alignment horizontal="center" vertical="center" wrapText="1"/>
    </xf>
    <xf numFmtId="0" fontId="7" fillId="11" borderId="0" xfId="0" applyFont="1" applyFill="1" applyAlignment="1">
      <alignment horizontal="center" vertical="center" wrapText="1"/>
    </xf>
    <xf numFmtId="0" fontId="1" fillId="11" borderId="5" xfId="0" applyFont="1" applyFill="1" applyBorder="1" applyAlignment="1">
      <alignment horizontal="left" vertical="center" wrapText="1"/>
    </xf>
    <xf numFmtId="0" fontId="11" fillId="0" borderId="0" xfId="0" applyFont="1" applyAlignment="1">
      <alignment horizontal="center" vertical="center" wrapText="1"/>
    </xf>
    <xf numFmtId="0" fontId="0" fillId="5" borderId="1" xfId="0" applyFill="1" applyBorder="1" applyAlignment="1">
      <alignment horizontal="center" vertical="center" wrapText="1"/>
    </xf>
    <xf numFmtId="0" fontId="11" fillId="0" borderId="5" xfId="0" applyFont="1" applyBorder="1" applyAlignment="1">
      <alignment vertical="center"/>
    </xf>
    <xf numFmtId="0" fontId="11" fillId="0" borderId="11" xfId="0" applyFont="1" applyBorder="1" applyAlignment="1">
      <alignment vertical="center"/>
    </xf>
    <xf numFmtId="0" fontId="7" fillId="9"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9" fillId="0" borderId="14"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2" xfId="0" applyFont="1" applyBorder="1" applyAlignment="1">
      <alignment horizontal="center" vertical="center" wrapText="1"/>
    </xf>
    <xf numFmtId="0" fontId="1" fillId="0" borderId="14"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7" fillId="6" borderId="14" xfId="0" applyFont="1" applyFill="1" applyBorder="1" applyAlignment="1">
      <alignment horizontal="left" vertical="center" wrapText="1"/>
    </xf>
    <xf numFmtId="0" fontId="7" fillId="6" borderId="13" xfId="0" applyFont="1" applyFill="1" applyBorder="1" applyAlignment="1">
      <alignment horizontal="left" vertical="center" wrapText="1"/>
    </xf>
    <xf numFmtId="0" fontId="9" fillId="0" borderId="1" xfId="0" applyFont="1" applyBorder="1" applyAlignment="1">
      <alignment horizontal="center"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5" borderId="14" xfId="0" applyFont="1" applyFill="1" applyBorder="1" applyAlignment="1">
      <alignment horizontal="left" vertical="center" wrapText="1"/>
    </xf>
    <xf numFmtId="0" fontId="7" fillId="5" borderId="12" xfId="0" applyFont="1" applyFill="1" applyBorder="1" applyAlignment="1">
      <alignment horizontal="left" vertical="center" wrapText="1"/>
    </xf>
    <xf numFmtId="0" fontId="7" fillId="5" borderId="13" xfId="0" applyFont="1" applyFill="1" applyBorder="1" applyAlignment="1">
      <alignment horizontal="left"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2" fillId="0" borderId="12" xfId="0" applyFont="1" applyBorder="1" applyAlignment="1">
      <alignment horizontal="left" vertical="center" wrapText="1"/>
    </xf>
    <xf numFmtId="0" fontId="2" fillId="6" borderId="14" xfId="0" applyFont="1" applyFill="1" applyBorder="1" applyAlignment="1">
      <alignment horizontal="left" vertical="center" wrapText="1"/>
    </xf>
    <xf numFmtId="0" fontId="2" fillId="6" borderId="13" xfId="0" applyFont="1" applyFill="1" applyBorder="1" applyAlignment="1">
      <alignment horizontal="left"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1" fillId="0" borderId="5"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5" fillId="0" borderId="15" xfId="0" applyFont="1" applyBorder="1" applyAlignment="1">
      <alignment horizontal="center" vertical="center" wrapText="1"/>
    </xf>
    <xf numFmtId="0" fontId="7" fillId="0" borderId="15" xfId="0" applyFont="1" applyBorder="1" applyAlignment="1">
      <alignment horizontal="center" vertical="center" wrapText="1"/>
    </xf>
    <xf numFmtId="0" fontId="7" fillId="3" borderId="14"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4" borderId="6"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7" fillId="4" borderId="12" xfId="0" applyFont="1" applyFill="1" applyBorder="1" applyAlignment="1">
      <alignment horizontal="left" vertical="center" wrapText="1"/>
    </xf>
    <xf numFmtId="0" fontId="1" fillId="11" borderId="14" xfId="0" applyFont="1" applyFill="1" applyBorder="1" applyAlignment="1">
      <alignment vertical="center" wrapText="1"/>
    </xf>
    <xf numFmtId="0" fontId="1" fillId="11" borderId="12" xfId="0" applyFont="1" applyFill="1" applyBorder="1" applyAlignment="1">
      <alignment vertical="center" wrapText="1"/>
    </xf>
    <xf numFmtId="0" fontId="1" fillId="11" borderId="13" xfId="0" applyFont="1" applyFill="1" applyBorder="1" applyAlignment="1">
      <alignment vertical="center" wrapText="1"/>
    </xf>
    <xf numFmtId="0" fontId="7" fillId="11" borderId="14" xfId="0" applyFont="1" applyFill="1" applyBorder="1" applyAlignment="1">
      <alignment horizontal="left" vertical="center" wrapText="1"/>
    </xf>
    <xf numFmtId="0" fontId="7" fillId="11" borderId="12" xfId="0" applyFont="1" applyFill="1" applyBorder="1" applyAlignment="1">
      <alignment horizontal="left" vertical="center" wrapText="1"/>
    </xf>
    <xf numFmtId="0" fontId="7" fillId="11" borderId="13" xfId="0" applyFont="1" applyFill="1" applyBorder="1" applyAlignment="1">
      <alignment horizontal="left" vertical="center" wrapText="1"/>
    </xf>
    <xf numFmtId="0" fontId="1" fillId="11" borderId="14" xfId="0" applyFont="1" applyFill="1" applyBorder="1" applyAlignment="1">
      <alignment horizontal="center" vertical="center" wrapText="1"/>
    </xf>
    <xf numFmtId="0" fontId="1" fillId="11" borderId="12" xfId="0" applyFont="1" applyFill="1" applyBorder="1" applyAlignment="1">
      <alignment horizontal="center" vertical="center" wrapText="1"/>
    </xf>
    <xf numFmtId="0" fontId="1" fillId="11" borderId="13" xfId="0" applyFont="1" applyFill="1" applyBorder="1" applyAlignment="1">
      <alignment horizontal="center" vertical="center" wrapText="1"/>
    </xf>
    <xf numFmtId="0" fontId="7" fillId="11" borderId="14" xfId="0" applyFont="1" applyFill="1" applyBorder="1" applyAlignment="1">
      <alignment vertical="center" wrapText="1"/>
    </xf>
    <xf numFmtId="0" fontId="7" fillId="11" borderId="12" xfId="0" applyFont="1" applyFill="1" applyBorder="1" applyAlignment="1">
      <alignment vertical="center" wrapText="1"/>
    </xf>
    <xf numFmtId="0" fontId="7" fillId="11" borderId="13" xfId="0" applyFont="1" applyFill="1" applyBorder="1" applyAlignment="1">
      <alignment vertical="center" wrapText="1"/>
    </xf>
    <xf numFmtId="0" fontId="1" fillId="11" borderId="14" xfId="0" applyFont="1" applyFill="1" applyBorder="1" applyAlignment="1">
      <alignment horizontal="left" vertical="center" wrapText="1"/>
    </xf>
    <xf numFmtId="0" fontId="1" fillId="11" borderId="12" xfId="0" applyFont="1" applyFill="1" applyBorder="1" applyAlignment="1">
      <alignment horizontal="left" vertical="center" wrapText="1"/>
    </xf>
    <xf numFmtId="0" fontId="1" fillId="11" borderId="13" xfId="0" applyFont="1" applyFill="1" applyBorder="1" applyAlignment="1">
      <alignment horizontal="left" vertical="center" wrapText="1"/>
    </xf>
    <xf numFmtId="0" fontId="7" fillId="11" borderId="14" xfId="0" applyFont="1" applyFill="1" applyBorder="1" applyAlignment="1">
      <alignment horizontal="center" vertical="center" wrapText="1"/>
    </xf>
    <xf numFmtId="0" fontId="7" fillId="11" borderId="12" xfId="0" applyFont="1" applyFill="1" applyBorder="1" applyAlignment="1">
      <alignment horizontal="center" vertical="center" wrapText="1"/>
    </xf>
    <xf numFmtId="0" fontId="7" fillId="11" borderId="13" xfId="0" applyFont="1" applyFill="1" applyBorder="1" applyAlignment="1">
      <alignment horizontal="center" vertical="center" wrapText="1"/>
    </xf>
    <xf numFmtId="0" fontId="11" fillId="0" borderId="1" xfId="0" applyFont="1" applyBorder="1" applyAlignment="1">
      <alignment horizontal="center" vertical="center" wrapText="1"/>
    </xf>
    <xf numFmtId="0" fontId="9"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1" borderId="14"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9" fillId="11" borderId="13" xfId="0" applyFont="1" applyFill="1" applyBorder="1" applyAlignment="1">
      <alignment horizontal="center" vertical="center" wrapText="1"/>
    </xf>
    <xf numFmtId="0" fontId="7" fillId="13" borderId="14" xfId="0" applyFont="1" applyFill="1" applyBorder="1" applyAlignment="1">
      <alignment vertical="center" wrapText="1"/>
    </xf>
    <xf numFmtId="0" fontId="7" fillId="13" borderId="12" xfId="0" applyFont="1" applyFill="1" applyBorder="1" applyAlignment="1">
      <alignment vertical="center" wrapText="1"/>
    </xf>
    <xf numFmtId="0" fontId="7" fillId="13" borderId="13" xfId="0" applyFont="1" applyFill="1" applyBorder="1" applyAlignment="1">
      <alignment vertical="center" wrapText="1"/>
    </xf>
    <xf numFmtId="0" fontId="1" fillId="13" borderId="14" xfId="0" applyFont="1" applyFill="1" applyBorder="1" applyAlignment="1">
      <alignment vertical="center" wrapText="1"/>
    </xf>
    <xf numFmtId="0" fontId="1" fillId="13" borderId="12" xfId="0" applyFont="1" applyFill="1" applyBorder="1" applyAlignment="1">
      <alignment vertical="center" wrapText="1"/>
    </xf>
    <xf numFmtId="0" fontId="1" fillId="13" borderId="13" xfId="0" applyFont="1" applyFill="1" applyBorder="1" applyAlignment="1">
      <alignment vertical="center" wrapText="1"/>
    </xf>
    <xf numFmtId="0" fontId="7" fillId="8" borderId="1" xfId="0" applyFont="1" applyFill="1" applyBorder="1" applyAlignment="1">
      <alignment horizontal="lef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center" vertical="top" wrapText="1"/>
    </xf>
    <xf numFmtId="0" fontId="18" fillId="0" borderId="1" xfId="0" applyFont="1" applyBorder="1" applyAlignment="1">
      <alignment horizontal="center" vertical="top" wrapText="1"/>
    </xf>
    <xf numFmtId="0" fontId="7" fillId="14" borderId="1" xfId="0" applyFont="1" applyFill="1" applyBorder="1" applyAlignment="1">
      <alignment horizontal="left" vertical="center" wrapText="1"/>
    </xf>
    <xf numFmtId="0" fontId="7" fillId="14" borderId="1" xfId="0" applyFont="1" applyFill="1" applyBorder="1" applyAlignment="1">
      <alignment horizontal="center" vertical="center" wrapText="1"/>
    </xf>
    <xf numFmtId="0" fontId="0" fillId="14" borderId="1" xfId="0" applyFill="1" applyBorder="1" applyAlignment="1">
      <alignment horizontal="center" vertical="center" wrapText="1"/>
    </xf>
    <xf numFmtId="0" fontId="18" fillId="14"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1" fillId="14" borderId="5" xfId="0" applyFont="1" applyFill="1" applyBorder="1" applyAlignment="1">
      <alignment horizontal="left" vertical="center" wrapText="1"/>
    </xf>
    <xf numFmtId="0" fontId="7" fillId="14" borderId="5" xfId="0" applyFont="1" applyFill="1" applyBorder="1" applyAlignment="1">
      <alignment horizontal="left" vertical="center" wrapText="1"/>
    </xf>
    <xf numFmtId="0" fontId="20" fillId="0" borderId="1" xfId="0" applyFont="1" applyBorder="1" applyAlignment="1">
      <alignment horizontal="center" vertical="center" wrapText="1"/>
    </xf>
    <xf numFmtId="0" fontId="14" fillId="5" borderId="5" xfId="0" applyFont="1" applyFill="1" applyBorder="1" applyAlignment="1">
      <alignment horizontal="left" vertical="center" wrapText="1"/>
    </xf>
    <xf numFmtId="0" fontId="7" fillId="5" borderId="14" xfId="0" applyFont="1" applyFill="1" applyBorder="1" applyAlignment="1">
      <alignment horizontal="center" vertical="center" wrapText="1"/>
    </xf>
    <xf numFmtId="0" fontId="18" fillId="5" borderId="1" xfId="0" applyFont="1" applyFill="1" applyBorder="1" applyAlignment="1">
      <alignment horizontal="center" vertical="top" wrapText="1"/>
    </xf>
    <xf numFmtId="0" fontId="17" fillId="0" borderId="1" xfId="0" applyFont="1" applyBorder="1" applyAlignment="1">
      <alignment horizontal="center" vertical="top" wrapText="1"/>
    </xf>
    <xf numFmtId="0" fontId="0" fillId="0" borderId="1" xfId="0" applyFont="1" applyBorder="1" applyAlignment="1">
      <alignment horizontal="center" vertical="top" wrapText="1"/>
    </xf>
    <xf numFmtId="0" fontId="9" fillId="14" borderId="14" xfId="0" applyFont="1" applyFill="1" applyBorder="1" applyAlignment="1">
      <alignment horizontal="center" vertical="center" wrapText="1"/>
    </xf>
    <xf numFmtId="0" fontId="7" fillId="14" borderId="14" xfId="0" applyFont="1" applyFill="1" applyBorder="1" applyAlignment="1">
      <alignment horizontal="left" vertical="center" wrapText="1"/>
    </xf>
    <xf numFmtId="0" fontId="7" fillId="14" borderId="14" xfId="0" applyFont="1" applyFill="1" applyBorder="1" applyAlignment="1">
      <alignment horizontal="center" vertical="center" wrapText="1"/>
    </xf>
    <xf numFmtId="0" fontId="18" fillId="14" borderId="1" xfId="0" applyFont="1" applyFill="1" applyBorder="1" applyAlignment="1">
      <alignment horizontal="center" vertical="top" wrapText="1"/>
    </xf>
    <xf numFmtId="0" fontId="9" fillId="14" borderId="12" xfId="0" applyFont="1" applyFill="1" applyBorder="1" applyAlignment="1">
      <alignment horizontal="center" vertical="center" wrapText="1"/>
    </xf>
    <xf numFmtId="0" fontId="7" fillId="14" borderId="13" xfId="0" applyFont="1" applyFill="1" applyBorder="1" applyAlignment="1">
      <alignment horizontal="left" vertical="center" wrapText="1"/>
    </xf>
    <xf numFmtId="0" fontId="7" fillId="14" borderId="13" xfId="0" applyFont="1" applyFill="1" applyBorder="1" applyAlignment="1">
      <alignment horizontal="center" vertical="center" wrapText="1"/>
    </xf>
    <xf numFmtId="0" fontId="7" fillId="14" borderId="12" xfId="0" applyFont="1" applyFill="1" applyBorder="1" applyAlignment="1">
      <alignment horizontal="left" vertical="center" wrapText="1"/>
    </xf>
    <xf numFmtId="0" fontId="7" fillId="14" borderId="12" xfId="0" applyFont="1" applyFill="1" applyBorder="1" applyAlignment="1">
      <alignment horizontal="center" vertical="center" wrapText="1"/>
    </xf>
    <xf numFmtId="0" fontId="9" fillId="14" borderId="13"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2" fillId="5" borderId="1" xfId="0" applyFont="1" applyFill="1" applyBorder="1" applyAlignment="1">
      <alignment horizontal="center" vertical="top" wrapText="1"/>
    </xf>
    <xf numFmtId="0" fontId="7" fillId="5" borderId="5"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7" fillId="8" borderId="14" xfId="0" applyFont="1" applyFill="1" applyBorder="1" applyAlignment="1">
      <alignment horizontal="left" vertical="center" wrapText="1"/>
    </xf>
    <xf numFmtId="0" fontId="7" fillId="8" borderId="12" xfId="0" applyFont="1" applyFill="1" applyBorder="1" applyAlignment="1">
      <alignment horizontal="left" vertical="center" wrapText="1"/>
    </xf>
    <xf numFmtId="0" fontId="7" fillId="8" borderId="13" xfId="0" applyFont="1" applyFill="1" applyBorder="1" applyAlignment="1">
      <alignment horizontal="left" vertical="center" wrapText="1"/>
    </xf>
    <xf numFmtId="0" fontId="7" fillId="10" borderId="14" xfId="0" applyFont="1" applyFill="1" applyBorder="1" applyAlignment="1">
      <alignment horizontal="left" vertical="center" wrapText="1"/>
    </xf>
    <xf numFmtId="0" fontId="7" fillId="10" borderId="12" xfId="0" applyFont="1" applyFill="1" applyBorder="1" applyAlignment="1">
      <alignment horizontal="left" vertical="center" wrapText="1"/>
    </xf>
    <xf numFmtId="0" fontId="7" fillId="10"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3" xfId="0" applyFont="1" applyFill="1" applyBorder="1" applyAlignment="1">
      <alignment horizontal="left" vertical="center" wrapText="1"/>
    </xf>
    <xf numFmtId="0" fontId="18" fillId="0" borderId="14" xfId="0" applyFont="1" applyBorder="1" applyAlignment="1">
      <alignment horizontal="center" vertical="top" wrapText="1"/>
    </xf>
    <xf numFmtId="0" fontId="18" fillId="0" borderId="12" xfId="0" applyFont="1" applyBorder="1" applyAlignment="1">
      <alignment horizontal="center" vertical="top" wrapText="1"/>
    </xf>
    <xf numFmtId="0" fontId="18" fillId="0" borderId="13" xfId="0" applyFont="1" applyBorder="1" applyAlignment="1">
      <alignment horizontal="center" vertical="top" wrapText="1"/>
    </xf>
    <xf numFmtId="0" fontId="0" fillId="14" borderId="1" xfId="0" applyFont="1" applyFill="1" applyBorder="1" applyAlignment="1">
      <alignment horizontal="center" vertical="center" wrapText="1"/>
    </xf>
    <xf numFmtId="0" fontId="0" fillId="6" borderId="1" xfId="0" applyFont="1" applyFill="1" applyBorder="1" applyAlignment="1">
      <alignment horizontal="center" vertical="center" wrapText="1"/>
    </xf>
  </cellXfs>
  <cellStyles count="3">
    <cellStyle name="Millares 10 2" xfId="2" xr:uid="{00000000-0005-0000-0000-000001000000}"/>
    <cellStyle name="Millares 11" xfId="1" xr:uid="{00000000-0005-0000-0000-000002000000}"/>
    <cellStyle name="Normal" xfId="0" builtinId="0"/>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8A7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1657349</xdr:colOff>
      <xdr:row>144</xdr:row>
      <xdr:rowOff>47625</xdr:rowOff>
    </xdr:from>
    <xdr:to>
      <xdr:col>1</xdr:col>
      <xdr:colOff>1752599</xdr:colOff>
      <xdr:row>181</xdr:row>
      <xdr:rowOff>114299</xdr:rowOff>
    </xdr:to>
    <xdr:pic>
      <xdr:nvPicPr>
        <xdr:cNvPr id="2" name="Imagen 1">
          <a:extLst>
            <a:ext uri="{FF2B5EF4-FFF2-40B4-BE49-F238E27FC236}">
              <a16:creationId xmlns:a16="http://schemas.microsoft.com/office/drawing/2014/main" id="{A4AA8443-382D-44CF-86EC-D8872D813CC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0549"/>
        <a:stretch/>
      </xdr:blipFill>
      <xdr:spPr bwMode="auto">
        <a:xfrm>
          <a:off x="1657349" y="42719625"/>
          <a:ext cx="185737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TALENTO HUMANO" id="{2E4E7650-33FD-405C-A165-8093AA8F66BF}" userId="S::talentohumano1@hrm.gov.co::f3eec357-eb1b-441a-b028-b09dd665529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25" dT="2025-07-02T15:39:36.23" personId="{2E4E7650-33FD-405C-A165-8093AA8F66BF}" id="{0C14F765-05CF-45FC-A95A-3AEB632277E5}">
    <text>MODULOS</text>
  </threadedComment>
</ThreadedComments>
</file>

<file path=xl/threadedComments/threadedComment2.xml><?xml version="1.0" encoding="utf-8"?>
<ThreadedComments xmlns="http://schemas.microsoft.com/office/spreadsheetml/2018/threadedcomments" xmlns:x="http://schemas.openxmlformats.org/spreadsheetml/2006/main">
  <threadedComment ref="E131" dT="2025-07-02T15:39:36.23" personId="{2E4E7650-33FD-405C-A165-8093AA8F66BF}" id="{B9F5DFC8-8FC0-4042-88F8-81156A333A8A}">
    <text>MODULOS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view="pageBreakPreview" zoomScale="80" zoomScaleNormal="80" zoomScaleSheetLayoutView="80" workbookViewId="0">
      <pane ySplit="1" topLeftCell="A2" activePane="bottomLeft" state="frozen"/>
      <selection pane="bottomLeft" activeCell="L1" sqref="L1"/>
    </sheetView>
  </sheetViews>
  <sheetFormatPr baseColWidth="10" defaultColWidth="11.44140625" defaultRowHeight="13.8" x14ac:dyDescent="0.3"/>
  <cols>
    <col min="1" max="1" width="26.44140625" style="5" customWidth="1"/>
    <col min="2" max="2" width="57.5546875" style="6" customWidth="1"/>
    <col min="3" max="3" width="28" style="6" bestFit="1" customWidth="1"/>
    <col min="4" max="4" width="17" style="5" customWidth="1"/>
    <col min="5" max="6" width="11.6640625" style="5" customWidth="1"/>
    <col min="7" max="7" width="10.6640625" style="5" customWidth="1"/>
    <col min="8" max="8" width="10.44140625" style="5" customWidth="1"/>
    <col min="9" max="12" width="19.44140625" style="5" customWidth="1"/>
    <col min="13" max="16384" width="11.44140625" style="4"/>
  </cols>
  <sheetData>
    <row r="1" spans="1:12" ht="51" customHeight="1" x14ac:dyDescent="0.3">
      <c r="D1" s="10"/>
      <c r="E1" s="47" t="s">
        <v>205</v>
      </c>
      <c r="F1" s="48"/>
      <c r="G1" s="48"/>
      <c r="H1" s="48"/>
      <c r="I1" s="9"/>
      <c r="J1" s="9"/>
      <c r="K1" s="9"/>
      <c r="L1" s="9"/>
    </row>
    <row r="2" spans="1:12" s="5" customFormat="1" ht="136.5" customHeight="1" x14ac:dyDescent="0.3">
      <c r="A2" s="1" t="s">
        <v>89</v>
      </c>
      <c r="B2" s="1" t="s">
        <v>197</v>
      </c>
      <c r="C2" s="16" t="s">
        <v>91</v>
      </c>
      <c r="D2" s="1" t="s">
        <v>92</v>
      </c>
      <c r="E2" s="1" t="s">
        <v>95</v>
      </c>
      <c r="F2" s="1" t="s">
        <v>96</v>
      </c>
      <c r="G2" s="1" t="s">
        <v>97</v>
      </c>
      <c r="H2" s="1" t="s">
        <v>98</v>
      </c>
      <c r="I2" s="1" t="s">
        <v>111</v>
      </c>
      <c r="J2" s="1" t="s">
        <v>211</v>
      </c>
      <c r="K2" s="1" t="s">
        <v>209</v>
      </c>
      <c r="L2" s="1" t="s">
        <v>200</v>
      </c>
    </row>
    <row r="3" spans="1:12" ht="32.25" customHeight="1" x14ac:dyDescent="0.3">
      <c r="A3" s="62" t="s">
        <v>0</v>
      </c>
      <c r="B3" s="134" t="s">
        <v>1</v>
      </c>
      <c r="C3" s="149" t="s">
        <v>144</v>
      </c>
      <c r="D3" s="150" t="s">
        <v>67</v>
      </c>
      <c r="E3" s="50">
        <v>4</v>
      </c>
      <c r="F3" s="50">
        <v>10</v>
      </c>
      <c r="G3" s="50">
        <v>3</v>
      </c>
      <c r="H3" s="50">
        <f t="shared" ref="H3:H24" si="0">+E3*F3*G3</f>
        <v>120</v>
      </c>
      <c r="I3" s="46" t="s">
        <v>112</v>
      </c>
      <c r="J3" s="151" t="s">
        <v>208</v>
      </c>
      <c r="K3" s="46">
        <v>0</v>
      </c>
      <c r="L3" s="145" t="s">
        <v>201</v>
      </c>
    </row>
    <row r="4" spans="1:12" ht="28.8" x14ac:dyDescent="0.3">
      <c r="A4" s="62"/>
      <c r="B4" s="23" t="s">
        <v>152</v>
      </c>
      <c r="C4" s="19" t="s">
        <v>144</v>
      </c>
      <c r="D4" s="7" t="s">
        <v>67</v>
      </c>
      <c r="E4" s="7">
        <v>1</v>
      </c>
      <c r="F4" s="7">
        <v>12</v>
      </c>
      <c r="G4" s="7">
        <v>2</v>
      </c>
      <c r="H4" s="7">
        <f>+E4*F4*G4</f>
        <v>24</v>
      </c>
      <c r="I4" s="15" t="s">
        <v>153</v>
      </c>
      <c r="J4" s="137" t="s">
        <v>208</v>
      </c>
      <c r="K4" s="15">
        <v>2</v>
      </c>
      <c r="L4" s="135" t="s">
        <v>206</v>
      </c>
    </row>
    <row r="5" spans="1:12" ht="34.5" customHeight="1" x14ac:dyDescent="0.3">
      <c r="A5" s="62"/>
      <c r="B5" s="134" t="s">
        <v>4</v>
      </c>
      <c r="C5" s="19" t="s">
        <v>144</v>
      </c>
      <c r="D5" s="7" t="s">
        <v>67</v>
      </c>
      <c r="E5" s="7">
        <v>1</v>
      </c>
      <c r="F5" s="7">
        <v>6</v>
      </c>
      <c r="G5" s="7">
        <v>2</v>
      </c>
      <c r="H5" s="7">
        <f t="shared" si="0"/>
        <v>12</v>
      </c>
      <c r="I5" s="15" t="s">
        <v>155</v>
      </c>
      <c r="J5" s="137" t="s">
        <v>207</v>
      </c>
      <c r="K5" s="15">
        <v>1</v>
      </c>
      <c r="L5" s="144" t="s">
        <v>212</v>
      </c>
    </row>
    <row r="6" spans="1:12" ht="33.6" customHeight="1" x14ac:dyDescent="0.3">
      <c r="A6" s="62"/>
      <c r="B6" s="134" t="s">
        <v>5</v>
      </c>
      <c r="C6" s="19" t="s">
        <v>144</v>
      </c>
      <c r="D6" s="7" t="s">
        <v>67</v>
      </c>
      <c r="E6" s="7">
        <v>1</v>
      </c>
      <c r="F6" s="7">
        <v>12</v>
      </c>
      <c r="G6" s="7">
        <v>3</v>
      </c>
      <c r="H6" s="7">
        <f t="shared" si="0"/>
        <v>36</v>
      </c>
      <c r="I6" s="15" t="s">
        <v>125</v>
      </c>
      <c r="J6" s="137" t="s">
        <v>207</v>
      </c>
      <c r="K6" s="15">
        <v>0</v>
      </c>
      <c r="L6" s="145" t="s">
        <v>201</v>
      </c>
    </row>
    <row r="7" spans="1:12" ht="22.95" customHeight="1" x14ac:dyDescent="0.3">
      <c r="A7" s="62" t="s">
        <v>6</v>
      </c>
      <c r="B7" s="49" t="s">
        <v>7</v>
      </c>
      <c r="C7" s="19" t="s">
        <v>144</v>
      </c>
      <c r="D7" s="7" t="s">
        <v>70</v>
      </c>
      <c r="E7" s="7">
        <v>1</v>
      </c>
      <c r="F7" s="7">
        <v>7</v>
      </c>
      <c r="G7" s="7">
        <v>2</v>
      </c>
      <c r="H7" s="7">
        <f t="shared" si="0"/>
        <v>14</v>
      </c>
      <c r="I7" s="15" t="s">
        <v>156</v>
      </c>
      <c r="J7" s="137" t="s">
        <v>207</v>
      </c>
      <c r="K7" s="15">
        <v>0</v>
      </c>
      <c r="L7" s="145" t="s">
        <v>201</v>
      </c>
    </row>
    <row r="8" spans="1:12" ht="34.950000000000003" customHeight="1" x14ac:dyDescent="0.3">
      <c r="A8" s="62"/>
      <c r="B8" s="49" t="s">
        <v>8</v>
      </c>
      <c r="C8" s="19" t="s">
        <v>144</v>
      </c>
      <c r="D8" s="7" t="s">
        <v>70</v>
      </c>
      <c r="E8" s="7">
        <v>1</v>
      </c>
      <c r="F8" s="7">
        <v>6</v>
      </c>
      <c r="G8" s="7">
        <v>3</v>
      </c>
      <c r="H8" s="7">
        <f t="shared" si="0"/>
        <v>18</v>
      </c>
      <c r="I8" s="15" t="s">
        <v>158</v>
      </c>
      <c r="J8" s="137" t="s">
        <v>207</v>
      </c>
      <c r="K8" s="15">
        <v>0</v>
      </c>
      <c r="L8" s="145" t="s">
        <v>201</v>
      </c>
    </row>
    <row r="9" spans="1:12" ht="26.4" customHeight="1" x14ac:dyDescent="0.3">
      <c r="A9" s="62"/>
      <c r="B9" s="28" t="s">
        <v>87</v>
      </c>
      <c r="C9" s="19" t="s">
        <v>144</v>
      </c>
      <c r="D9" s="7" t="s">
        <v>70</v>
      </c>
      <c r="E9" s="7">
        <v>1</v>
      </c>
      <c r="F9" s="7">
        <v>6</v>
      </c>
      <c r="G9" s="7">
        <v>3</v>
      </c>
      <c r="H9" s="7">
        <f t="shared" si="0"/>
        <v>18</v>
      </c>
      <c r="I9" s="15" t="s">
        <v>157</v>
      </c>
      <c r="J9" s="137" t="s">
        <v>207</v>
      </c>
      <c r="K9" s="15">
        <v>0</v>
      </c>
      <c r="L9" s="145" t="s">
        <v>201</v>
      </c>
    </row>
    <row r="10" spans="1:12" ht="28.95" customHeight="1" x14ac:dyDescent="0.3">
      <c r="A10" s="62"/>
      <c r="B10" s="28" t="s">
        <v>146</v>
      </c>
      <c r="C10" s="19" t="s">
        <v>144</v>
      </c>
      <c r="D10" s="7" t="s">
        <v>70</v>
      </c>
      <c r="E10" s="7">
        <v>1</v>
      </c>
      <c r="F10" s="20" t="s">
        <v>179</v>
      </c>
      <c r="G10" s="7">
        <v>3</v>
      </c>
      <c r="H10" s="20" t="s">
        <v>179</v>
      </c>
      <c r="I10" s="15" t="s">
        <v>159</v>
      </c>
      <c r="J10" s="137" t="s">
        <v>207</v>
      </c>
      <c r="K10" s="15">
        <v>0</v>
      </c>
      <c r="L10" s="145" t="s">
        <v>201</v>
      </c>
    </row>
    <row r="11" spans="1:12" ht="28.5" customHeight="1" x14ac:dyDescent="0.3">
      <c r="A11" s="62"/>
      <c r="B11" s="28" t="s">
        <v>147</v>
      </c>
      <c r="C11" s="19" t="s">
        <v>144</v>
      </c>
      <c r="D11" s="7" t="s">
        <v>70</v>
      </c>
      <c r="E11" s="7">
        <v>1</v>
      </c>
      <c r="F11" s="7">
        <v>9</v>
      </c>
      <c r="G11" s="7">
        <v>4</v>
      </c>
      <c r="H11" s="7">
        <f>+E11*F11*G11</f>
        <v>36</v>
      </c>
      <c r="I11" s="15" t="s">
        <v>143</v>
      </c>
      <c r="J11" s="137" t="s">
        <v>207</v>
      </c>
      <c r="K11" s="15">
        <v>0</v>
      </c>
      <c r="L11" s="145" t="s">
        <v>201</v>
      </c>
    </row>
    <row r="12" spans="1:12" ht="36" x14ac:dyDescent="0.3">
      <c r="A12" s="62"/>
      <c r="B12" s="28" t="s">
        <v>145</v>
      </c>
      <c r="C12" s="19" t="s">
        <v>144</v>
      </c>
      <c r="D12" s="7" t="s">
        <v>70</v>
      </c>
      <c r="E12" s="7">
        <v>1</v>
      </c>
      <c r="F12" s="7">
        <v>6</v>
      </c>
      <c r="G12" s="7">
        <v>2</v>
      </c>
      <c r="H12" s="7">
        <f>+E12*F12*G12</f>
        <v>12</v>
      </c>
      <c r="I12" s="15" t="s">
        <v>160</v>
      </c>
      <c r="J12" s="137" t="s">
        <v>207</v>
      </c>
      <c r="K12" s="15">
        <v>0</v>
      </c>
      <c r="L12" s="145" t="s">
        <v>201</v>
      </c>
    </row>
    <row r="13" spans="1:12" ht="26.4" customHeight="1" x14ac:dyDescent="0.3">
      <c r="A13" s="62"/>
      <c r="B13" s="49" t="s">
        <v>110</v>
      </c>
      <c r="C13" s="19" t="s">
        <v>144</v>
      </c>
      <c r="D13" s="7" t="s">
        <v>70</v>
      </c>
      <c r="E13" s="7">
        <v>1</v>
      </c>
      <c r="F13" s="7">
        <v>9</v>
      </c>
      <c r="G13" s="7">
        <v>3</v>
      </c>
      <c r="H13" s="7">
        <f t="shared" si="0"/>
        <v>27</v>
      </c>
      <c r="I13" s="15" t="s">
        <v>161</v>
      </c>
      <c r="J13" s="137" t="s">
        <v>207</v>
      </c>
      <c r="K13" s="15">
        <v>0</v>
      </c>
      <c r="L13" s="145" t="s">
        <v>201</v>
      </c>
    </row>
    <row r="14" spans="1:12" ht="26.4" customHeight="1" x14ac:dyDescent="0.3">
      <c r="A14" s="62"/>
      <c r="B14" s="49" t="s">
        <v>9</v>
      </c>
      <c r="C14" s="19" t="s">
        <v>144</v>
      </c>
      <c r="D14" s="7" t="s">
        <v>70</v>
      </c>
      <c r="E14" s="7">
        <v>1</v>
      </c>
      <c r="F14" s="7">
        <v>12</v>
      </c>
      <c r="G14" s="7">
        <v>2</v>
      </c>
      <c r="H14" s="7">
        <f t="shared" si="0"/>
        <v>24</v>
      </c>
      <c r="I14" s="15" t="s">
        <v>162</v>
      </c>
      <c r="J14" s="137" t="s">
        <v>207</v>
      </c>
      <c r="K14" s="15">
        <v>1</v>
      </c>
      <c r="L14" s="144" t="s">
        <v>213</v>
      </c>
    </row>
    <row r="15" spans="1:12" ht="30.75" customHeight="1" x14ac:dyDescent="0.3">
      <c r="A15" s="62"/>
      <c r="B15" s="49" t="s">
        <v>10</v>
      </c>
      <c r="C15" s="19" t="s">
        <v>144</v>
      </c>
      <c r="D15" s="7" t="s">
        <v>70</v>
      </c>
      <c r="E15" s="7">
        <v>2</v>
      </c>
      <c r="F15" s="7">
        <v>12</v>
      </c>
      <c r="G15" s="7">
        <v>4</v>
      </c>
      <c r="H15" s="7">
        <f t="shared" si="0"/>
        <v>96</v>
      </c>
      <c r="I15" s="15" t="s">
        <v>163</v>
      </c>
      <c r="J15" s="137" t="s">
        <v>207</v>
      </c>
      <c r="K15" s="15">
        <v>0</v>
      </c>
      <c r="L15" s="145" t="s">
        <v>201</v>
      </c>
    </row>
    <row r="16" spans="1:12" ht="36" x14ac:dyDescent="0.3">
      <c r="A16" s="62"/>
      <c r="B16" s="49" t="s">
        <v>11</v>
      </c>
      <c r="C16" s="19" t="s">
        <v>144</v>
      </c>
      <c r="D16" s="7" t="s">
        <v>70</v>
      </c>
      <c r="E16" s="7">
        <v>1</v>
      </c>
      <c r="F16" s="7">
        <v>10</v>
      </c>
      <c r="G16" s="7">
        <v>4</v>
      </c>
      <c r="H16" s="7">
        <f t="shared" si="0"/>
        <v>40</v>
      </c>
      <c r="I16" s="15" t="s">
        <v>164</v>
      </c>
      <c r="J16" s="137" t="s">
        <v>207</v>
      </c>
      <c r="K16" s="15">
        <v>0</v>
      </c>
      <c r="L16" s="145" t="s">
        <v>201</v>
      </c>
    </row>
    <row r="17" spans="1:12" ht="27" customHeight="1" x14ac:dyDescent="0.3">
      <c r="A17" s="62"/>
      <c r="B17" s="49" t="s">
        <v>12</v>
      </c>
      <c r="C17" s="19" t="s">
        <v>144</v>
      </c>
      <c r="D17" s="7" t="s">
        <v>70</v>
      </c>
      <c r="E17" s="7">
        <v>1</v>
      </c>
      <c r="F17" s="7">
        <v>7</v>
      </c>
      <c r="G17" s="7">
        <v>2</v>
      </c>
      <c r="H17" s="7">
        <f t="shared" si="0"/>
        <v>14</v>
      </c>
      <c r="I17" s="15" t="s">
        <v>127</v>
      </c>
      <c r="J17" s="137" t="s">
        <v>207</v>
      </c>
      <c r="K17" s="15">
        <v>0</v>
      </c>
      <c r="L17" s="145" t="s">
        <v>201</v>
      </c>
    </row>
    <row r="18" spans="1:12" ht="25.95" customHeight="1" x14ac:dyDescent="0.3">
      <c r="A18" s="62"/>
      <c r="B18" s="49" t="s">
        <v>13</v>
      </c>
      <c r="C18" s="19" t="s">
        <v>144</v>
      </c>
      <c r="D18" s="7" t="s">
        <v>70</v>
      </c>
      <c r="E18" s="7">
        <v>1</v>
      </c>
      <c r="F18" s="7">
        <v>6</v>
      </c>
      <c r="G18" s="7">
        <v>3</v>
      </c>
      <c r="H18" s="7">
        <f t="shared" si="0"/>
        <v>18</v>
      </c>
      <c r="I18" s="15" t="s">
        <v>165</v>
      </c>
      <c r="J18" s="137" t="s">
        <v>207</v>
      </c>
      <c r="K18" s="15">
        <v>1</v>
      </c>
      <c r="L18" s="144" t="s">
        <v>213</v>
      </c>
    </row>
    <row r="19" spans="1:12" ht="27" customHeight="1" x14ac:dyDescent="0.3">
      <c r="A19" s="62"/>
      <c r="B19" s="49" t="s">
        <v>14</v>
      </c>
      <c r="C19" s="19" t="s">
        <v>144</v>
      </c>
      <c r="D19" s="7" t="s">
        <v>70</v>
      </c>
      <c r="E19" s="7">
        <v>1</v>
      </c>
      <c r="F19" s="7">
        <v>6</v>
      </c>
      <c r="G19" s="7">
        <v>3</v>
      </c>
      <c r="H19" s="7">
        <f t="shared" si="0"/>
        <v>18</v>
      </c>
      <c r="I19" s="15" t="s">
        <v>166</v>
      </c>
      <c r="J19" s="137" t="s">
        <v>207</v>
      </c>
      <c r="K19" s="15">
        <v>1</v>
      </c>
      <c r="L19" s="144" t="s">
        <v>213</v>
      </c>
    </row>
    <row r="20" spans="1:12" ht="28.5" customHeight="1" x14ac:dyDescent="0.3">
      <c r="A20" s="62"/>
      <c r="B20" s="49" t="s">
        <v>15</v>
      </c>
      <c r="C20" s="19" t="s">
        <v>144</v>
      </c>
      <c r="D20" s="7" t="s">
        <v>70</v>
      </c>
      <c r="E20" s="7">
        <v>1</v>
      </c>
      <c r="F20" s="7">
        <v>9</v>
      </c>
      <c r="G20" s="7">
        <v>3</v>
      </c>
      <c r="H20" s="7">
        <f t="shared" si="0"/>
        <v>27</v>
      </c>
      <c r="I20" s="15" t="s">
        <v>167</v>
      </c>
      <c r="J20" s="137" t="s">
        <v>207</v>
      </c>
      <c r="K20" s="15">
        <v>0</v>
      </c>
      <c r="L20" s="145" t="s">
        <v>201</v>
      </c>
    </row>
    <row r="21" spans="1:12" ht="30.75" customHeight="1" x14ac:dyDescent="0.3">
      <c r="A21" s="62"/>
      <c r="B21" s="49" t="s">
        <v>16</v>
      </c>
      <c r="C21" s="19" t="s">
        <v>144</v>
      </c>
      <c r="D21" s="7" t="s">
        <v>70</v>
      </c>
      <c r="E21" s="7">
        <v>1</v>
      </c>
      <c r="F21" s="7">
        <v>6</v>
      </c>
      <c r="G21" s="7">
        <v>3</v>
      </c>
      <c r="H21" s="7">
        <f t="shared" si="0"/>
        <v>18</v>
      </c>
      <c r="I21" s="15" t="s">
        <v>168</v>
      </c>
      <c r="J21" s="137" t="s">
        <v>207</v>
      </c>
      <c r="K21" s="15">
        <v>1</v>
      </c>
      <c r="L21" s="144" t="s">
        <v>213</v>
      </c>
    </row>
    <row r="22" spans="1:12" ht="27.75" customHeight="1" x14ac:dyDescent="0.3">
      <c r="A22" s="62"/>
      <c r="B22" s="49" t="s">
        <v>17</v>
      </c>
      <c r="C22" s="19" t="s">
        <v>144</v>
      </c>
      <c r="D22" s="7" t="s">
        <v>70</v>
      </c>
      <c r="E22" s="7">
        <v>1</v>
      </c>
      <c r="F22" s="7">
        <v>6</v>
      </c>
      <c r="G22" s="7">
        <v>3</v>
      </c>
      <c r="H22" s="7">
        <f t="shared" si="0"/>
        <v>18</v>
      </c>
      <c r="I22" s="15" t="s">
        <v>169</v>
      </c>
      <c r="J22" s="137" t="s">
        <v>207</v>
      </c>
      <c r="K22" s="15">
        <v>1</v>
      </c>
      <c r="L22" s="144" t="s">
        <v>213</v>
      </c>
    </row>
    <row r="23" spans="1:12" ht="27" customHeight="1" x14ac:dyDescent="0.3">
      <c r="A23" s="62"/>
      <c r="B23" s="49" t="s">
        <v>18</v>
      </c>
      <c r="C23" s="19" t="s">
        <v>144</v>
      </c>
      <c r="D23" s="7" t="s">
        <v>70</v>
      </c>
      <c r="E23" s="7">
        <v>1</v>
      </c>
      <c r="F23" s="7">
        <v>6</v>
      </c>
      <c r="G23" s="7">
        <v>3</v>
      </c>
      <c r="H23" s="7">
        <f t="shared" si="0"/>
        <v>18</v>
      </c>
      <c r="I23" s="15" t="s">
        <v>170</v>
      </c>
      <c r="J23" s="137" t="s">
        <v>207</v>
      </c>
      <c r="K23" s="15">
        <v>1</v>
      </c>
      <c r="L23" s="144" t="s">
        <v>213</v>
      </c>
    </row>
    <row r="24" spans="1:12" ht="27" customHeight="1" x14ac:dyDescent="0.3">
      <c r="A24" s="62"/>
      <c r="B24" s="49" t="s">
        <v>19</v>
      </c>
      <c r="C24" s="19" t="s">
        <v>144</v>
      </c>
      <c r="D24" s="7" t="s">
        <v>70</v>
      </c>
      <c r="E24" s="7">
        <v>1</v>
      </c>
      <c r="F24" s="7">
        <v>12</v>
      </c>
      <c r="G24" s="7">
        <v>3</v>
      </c>
      <c r="H24" s="7">
        <f t="shared" si="0"/>
        <v>36</v>
      </c>
      <c r="I24" s="15" t="s">
        <v>171</v>
      </c>
      <c r="J24" s="137" t="s">
        <v>207</v>
      </c>
      <c r="K24" s="15">
        <v>1</v>
      </c>
      <c r="L24" s="144" t="s">
        <v>213</v>
      </c>
    </row>
    <row r="25" spans="1:12" ht="32.25" customHeight="1" x14ac:dyDescent="0.3">
      <c r="A25" s="62"/>
      <c r="B25" s="49" t="s">
        <v>63</v>
      </c>
      <c r="C25" s="8" t="s">
        <v>93</v>
      </c>
      <c r="D25" s="7" t="s">
        <v>70</v>
      </c>
      <c r="E25" s="7">
        <v>1</v>
      </c>
      <c r="F25" s="7">
        <v>12</v>
      </c>
      <c r="G25" s="7">
        <v>3</v>
      </c>
      <c r="H25" s="7">
        <f>+E25*F25*G25</f>
        <v>36</v>
      </c>
      <c r="I25" s="15" t="s">
        <v>172</v>
      </c>
      <c r="J25" s="137" t="s">
        <v>207</v>
      </c>
      <c r="K25" s="15">
        <v>0</v>
      </c>
      <c r="L25" s="145" t="s">
        <v>201</v>
      </c>
    </row>
    <row r="26" spans="1:12" ht="27" customHeight="1" x14ac:dyDescent="0.3">
      <c r="A26" s="62"/>
      <c r="B26" s="49" t="s">
        <v>198</v>
      </c>
      <c r="C26" s="8" t="s">
        <v>93</v>
      </c>
      <c r="D26" s="7" t="s">
        <v>70</v>
      </c>
      <c r="E26" s="7">
        <v>1</v>
      </c>
      <c r="F26" s="7">
        <v>6</v>
      </c>
      <c r="G26" s="7">
        <v>3</v>
      </c>
      <c r="H26" s="7">
        <f>+E26*F26*G26</f>
        <v>18</v>
      </c>
      <c r="I26" s="15" t="s">
        <v>174</v>
      </c>
      <c r="J26" s="137" t="s">
        <v>207</v>
      </c>
      <c r="K26" s="15">
        <v>0</v>
      </c>
      <c r="L26" s="145" t="s">
        <v>201</v>
      </c>
    </row>
    <row r="27" spans="1:12" ht="32.4" customHeight="1" x14ac:dyDescent="0.3">
      <c r="A27" s="62"/>
      <c r="B27" s="49" t="s">
        <v>20</v>
      </c>
      <c r="C27" s="8" t="s">
        <v>93</v>
      </c>
      <c r="D27" s="7" t="s">
        <v>70</v>
      </c>
      <c r="E27" s="7">
        <v>1</v>
      </c>
      <c r="F27" s="7">
        <v>12</v>
      </c>
      <c r="G27" s="7">
        <v>4</v>
      </c>
      <c r="H27" s="7">
        <f>+E27*F27*G27</f>
        <v>48</v>
      </c>
      <c r="I27" s="15" t="s">
        <v>173</v>
      </c>
      <c r="J27" s="137" t="s">
        <v>207</v>
      </c>
      <c r="K27" s="15">
        <v>0</v>
      </c>
      <c r="L27" s="145" t="s">
        <v>201</v>
      </c>
    </row>
    <row r="28" spans="1:12" ht="14.4" x14ac:dyDescent="0.3">
      <c r="A28" s="51" t="s">
        <v>21</v>
      </c>
      <c r="B28" s="128" t="s">
        <v>8</v>
      </c>
      <c r="C28" s="54" t="s">
        <v>73</v>
      </c>
      <c r="D28" s="54" t="s">
        <v>74</v>
      </c>
      <c r="E28" s="7">
        <v>1</v>
      </c>
      <c r="F28" s="7">
        <v>6</v>
      </c>
      <c r="G28" s="7">
        <v>1</v>
      </c>
      <c r="H28" s="7">
        <f t="shared" ref="H28" si="1">+E28*F28*G28</f>
        <v>6</v>
      </c>
      <c r="I28" s="15" t="s">
        <v>158</v>
      </c>
      <c r="J28" s="138" t="s">
        <v>199</v>
      </c>
      <c r="K28" s="15">
        <v>0</v>
      </c>
      <c r="L28" s="145" t="s">
        <v>201</v>
      </c>
    </row>
    <row r="29" spans="1:12" ht="14.4" x14ac:dyDescent="0.3">
      <c r="A29" s="52"/>
      <c r="B29" s="129"/>
      <c r="C29" s="56"/>
      <c r="D29" s="56"/>
      <c r="E29" s="7">
        <v>1</v>
      </c>
      <c r="F29" s="7">
        <v>6</v>
      </c>
      <c r="G29" s="7">
        <v>1</v>
      </c>
      <c r="H29" s="7">
        <f t="shared" ref="H29:H40" si="2">+E29*F29*G29</f>
        <v>6</v>
      </c>
      <c r="I29" s="15" t="s">
        <v>178</v>
      </c>
      <c r="J29" s="138"/>
      <c r="K29" s="15">
        <v>0</v>
      </c>
      <c r="L29" s="145" t="s">
        <v>201</v>
      </c>
    </row>
    <row r="30" spans="1:12" ht="14.4" x14ac:dyDescent="0.3">
      <c r="A30" s="52"/>
      <c r="B30" s="129"/>
      <c r="C30" s="56"/>
      <c r="D30" s="56"/>
      <c r="E30" s="7">
        <v>1</v>
      </c>
      <c r="F30" s="7">
        <v>6</v>
      </c>
      <c r="G30" s="7">
        <v>1</v>
      </c>
      <c r="H30" s="7">
        <f t="shared" si="2"/>
        <v>6</v>
      </c>
      <c r="I30" s="15" t="s">
        <v>177</v>
      </c>
      <c r="J30" s="138"/>
      <c r="K30" s="15">
        <v>0</v>
      </c>
      <c r="L30" s="145" t="s">
        <v>201</v>
      </c>
    </row>
    <row r="31" spans="1:12" ht="14.4" x14ac:dyDescent="0.3">
      <c r="A31" s="52"/>
      <c r="B31" s="129"/>
      <c r="C31" s="56"/>
      <c r="D31" s="56"/>
      <c r="E31" s="7">
        <v>1</v>
      </c>
      <c r="F31" s="7">
        <v>6</v>
      </c>
      <c r="G31" s="7">
        <v>1</v>
      </c>
      <c r="H31" s="7">
        <f t="shared" si="2"/>
        <v>6</v>
      </c>
      <c r="I31" s="15" t="s">
        <v>180</v>
      </c>
      <c r="J31" s="138"/>
      <c r="K31" s="15">
        <v>0</v>
      </c>
      <c r="L31" s="145" t="s">
        <v>201</v>
      </c>
    </row>
    <row r="32" spans="1:12" ht="14.4" x14ac:dyDescent="0.3">
      <c r="A32" s="52"/>
      <c r="B32" s="129"/>
      <c r="C32" s="56"/>
      <c r="D32" s="56"/>
      <c r="E32" s="7">
        <v>1</v>
      </c>
      <c r="F32" s="7">
        <v>6</v>
      </c>
      <c r="G32" s="7">
        <v>1</v>
      </c>
      <c r="H32" s="7">
        <f t="shared" si="2"/>
        <v>6</v>
      </c>
      <c r="I32" s="15" t="s">
        <v>181</v>
      </c>
      <c r="J32" s="138"/>
      <c r="K32" s="15">
        <v>0</v>
      </c>
      <c r="L32" s="145" t="s">
        <v>201</v>
      </c>
    </row>
    <row r="33" spans="1:12" ht="27.6" x14ac:dyDescent="0.3">
      <c r="A33" s="52"/>
      <c r="B33" s="129"/>
      <c r="C33" s="56"/>
      <c r="D33" s="56"/>
      <c r="E33" s="7">
        <v>1</v>
      </c>
      <c r="F33" s="7">
        <v>6</v>
      </c>
      <c r="G33" s="7">
        <v>1</v>
      </c>
      <c r="H33" s="7">
        <f t="shared" si="2"/>
        <v>6</v>
      </c>
      <c r="I33" s="15" t="s">
        <v>182</v>
      </c>
      <c r="J33" s="138"/>
      <c r="K33" s="15">
        <v>0</v>
      </c>
      <c r="L33" s="144" t="s">
        <v>231</v>
      </c>
    </row>
    <row r="34" spans="1:12" ht="14.4" x14ac:dyDescent="0.3">
      <c r="A34" s="52"/>
      <c r="B34" s="130"/>
      <c r="C34" s="55"/>
      <c r="D34" s="55"/>
      <c r="E34" s="7">
        <v>1</v>
      </c>
      <c r="F34" s="7">
        <v>6</v>
      </c>
      <c r="G34" s="7">
        <v>1</v>
      </c>
      <c r="H34" s="7">
        <f t="shared" si="2"/>
        <v>6</v>
      </c>
      <c r="I34" s="15" t="s">
        <v>183</v>
      </c>
      <c r="J34" s="138"/>
      <c r="K34" s="15">
        <v>0</v>
      </c>
      <c r="L34" s="145" t="s">
        <v>201</v>
      </c>
    </row>
    <row r="35" spans="1:12" ht="14.4" x14ac:dyDescent="0.3">
      <c r="A35" s="52"/>
      <c r="B35" s="128" t="s">
        <v>22</v>
      </c>
      <c r="C35" s="65" t="s">
        <v>71</v>
      </c>
      <c r="D35" s="54" t="s">
        <v>75</v>
      </c>
      <c r="E35" s="7">
        <v>1</v>
      </c>
      <c r="F35" s="7">
        <v>12</v>
      </c>
      <c r="G35" s="7">
        <v>2</v>
      </c>
      <c r="H35" s="7">
        <f t="shared" si="2"/>
        <v>24</v>
      </c>
      <c r="I35" s="15" t="s">
        <v>163</v>
      </c>
      <c r="J35" s="138" t="s">
        <v>199</v>
      </c>
      <c r="K35" s="15">
        <v>0</v>
      </c>
      <c r="L35" s="145" t="s">
        <v>201</v>
      </c>
    </row>
    <row r="36" spans="1:12" ht="14.4" x14ac:dyDescent="0.3">
      <c r="A36" s="52"/>
      <c r="B36" s="129"/>
      <c r="C36" s="66"/>
      <c r="D36" s="56"/>
      <c r="E36" s="7">
        <v>1</v>
      </c>
      <c r="F36" s="7">
        <v>12</v>
      </c>
      <c r="G36" s="7">
        <v>2</v>
      </c>
      <c r="H36" s="7">
        <f t="shared" si="2"/>
        <v>24</v>
      </c>
      <c r="I36" s="15" t="s">
        <v>178</v>
      </c>
      <c r="J36" s="138"/>
      <c r="K36" s="15">
        <v>0</v>
      </c>
      <c r="L36" s="145" t="s">
        <v>201</v>
      </c>
    </row>
    <row r="37" spans="1:12" ht="14.4" x14ac:dyDescent="0.3">
      <c r="A37" s="52"/>
      <c r="B37" s="129"/>
      <c r="C37" s="66"/>
      <c r="D37" s="56"/>
      <c r="E37" s="7">
        <v>1</v>
      </c>
      <c r="F37" s="7">
        <v>12</v>
      </c>
      <c r="G37" s="7">
        <v>2</v>
      </c>
      <c r="H37" s="7">
        <f t="shared" si="2"/>
        <v>24</v>
      </c>
      <c r="I37" s="15" t="s">
        <v>177</v>
      </c>
      <c r="J37" s="138"/>
      <c r="K37" s="15">
        <v>0</v>
      </c>
      <c r="L37" s="145" t="s">
        <v>201</v>
      </c>
    </row>
    <row r="38" spans="1:12" ht="14.4" x14ac:dyDescent="0.3">
      <c r="A38" s="52"/>
      <c r="B38" s="129"/>
      <c r="C38" s="66"/>
      <c r="D38" s="56"/>
      <c r="E38" s="7">
        <v>1</v>
      </c>
      <c r="F38" s="7">
        <v>12</v>
      </c>
      <c r="G38" s="7">
        <v>2</v>
      </c>
      <c r="H38" s="7">
        <f t="shared" si="2"/>
        <v>24</v>
      </c>
      <c r="I38" s="15" t="s">
        <v>180</v>
      </c>
      <c r="J38" s="138"/>
      <c r="K38" s="15">
        <v>0</v>
      </c>
      <c r="L38" s="145" t="s">
        <v>201</v>
      </c>
    </row>
    <row r="39" spans="1:12" ht="14.4" x14ac:dyDescent="0.3">
      <c r="A39" s="52"/>
      <c r="B39" s="129"/>
      <c r="C39" s="66"/>
      <c r="D39" s="56"/>
      <c r="E39" s="7">
        <v>1</v>
      </c>
      <c r="F39" s="7">
        <v>12</v>
      </c>
      <c r="G39" s="7">
        <v>2</v>
      </c>
      <c r="H39" s="7">
        <f t="shared" si="2"/>
        <v>24</v>
      </c>
      <c r="I39" s="15" t="s">
        <v>181</v>
      </c>
      <c r="J39" s="138"/>
      <c r="K39" s="15">
        <v>0</v>
      </c>
      <c r="L39" s="145" t="s">
        <v>201</v>
      </c>
    </row>
    <row r="40" spans="1:12" ht="14.4" x14ac:dyDescent="0.3">
      <c r="A40" s="52"/>
      <c r="B40" s="130"/>
      <c r="C40" s="67"/>
      <c r="D40" s="55"/>
      <c r="E40" s="7">
        <v>1</v>
      </c>
      <c r="F40" s="7">
        <v>12</v>
      </c>
      <c r="G40" s="7">
        <v>2</v>
      </c>
      <c r="H40" s="7">
        <f t="shared" si="2"/>
        <v>24</v>
      </c>
      <c r="I40" s="15" t="s">
        <v>182</v>
      </c>
      <c r="J40" s="138"/>
      <c r="K40" s="15">
        <v>0</v>
      </c>
      <c r="L40" s="145" t="s">
        <v>201</v>
      </c>
    </row>
    <row r="41" spans="1:12" ht="28.8" x14ac:dyDescent="0.3">
      <c r="A41" s="52"/>
      <c r="B41" s="128" t="s">
        <v>23</v>
      </c>
      <c r="C41" s="65" t="s">
        <v>71</v>
      </c>
      <c r="D41" s="54" t="s">
        <v>75</v>
      </c>
      <c r="E41" s="7">
        <v>1</v>
      </c>
      <c r="F41" s="7">
        <v>12</v>
      </c>
      <c r="G41" s="7">
        <v>2</v>
      </c>
      <c r="H41" s="7">
        <f t="shared" ref="H41:H52" si="3">+E41*F41*G41</f>
        <v>24</v>
      </c>
      <c r="I41" s="15" t="s">
        <v>175</v>
      </c>
      <c r="J41" s="138" t="s">
        <v>199</v>
      </c>
      <c r="K41" s="15">
        <v>0</v>
      </c>
      <c r="L41" s="145" t="s">
        <v>201</v>
      </c>
    </row>
    <row r="42" spans="1:12" ht="14.4" x14ac:dyDescent="0.3">
      <c r="A42" s="52"/>
      <c r="B42" s="129"/>
      <c r="C42" s="66"/>
      <c r="D42" s="56"/>
      <c r="E42" s="7">
        <v>1</v>
      </c>
      <c r="F42" s="7">
        <v>12</v>
      </c>
      <c r="G42" s="7">
        <v>2</v>
      </c>
      <c r="H42" s="7">
        <f t="shared" si="3"/>
        <v>24</v>
      </c>
      <c r="I42" s="15" t="s">
        <v>178</v>
      </c>
      <c r="J42" s="138"/>
      <c r="K42" s="15">
        <v>0</v>
      </c>
      <c r="L42" s="145" t="s">
        <v>201</v>
      </c>
    </row>
    <row r="43" spans="1:12" ht="14.4" x14ac:dyDescent="0.3">
      <c r="A43" s="52"/>
      <c r="B43" s="129"/>
      <c r="C43" s="66"/>
      <c r="D43" s="56"/>
      <c r="E43" s="7">
        <v>1</v>
      </c>
      <c r="F43" s="7">
        <v>12</v>
      </c>
      <c r="G43" s="7">
        <v>2</v>
      </c>
      <c r="H43" s="7">
        <f t="shared" si="3"/>
        <v>24</v>
      </c>
      <c r="I43" s="15" t="s">
        <v>177</v>
      </c>
      <c r="J43" s="138"/>
      <c r="K43" s="15">
        <v>0</v>
      </c>
      <c r="L43" s="145" t="s">
        <v>201</v>
      </c>
    </row>
    <row r="44" spans="1:12" ht="14.4" x14ac:dyDescent="0.3">
      <c r="A44" s="52"/>
      <c r="B44" s="129"/>
      <c r="C44" s="66"/>
      <c r="D44" s="56"/>
      <c r="E44" s="7">
        <v>1</v>
      </c>
      <c r="F44" s="7">
        <v>12</v>
      </c>
      <c r="G44" s="7">
        <v>2</v>
      </c>
      <c r="H44" s="7">
        <f t="shared" si="3"/>
        <v>24</v>
      </c>
      <c r="I44" s="15" t="s">
        <v>180</v>
      </c>
      <c r="J44" s="138"/>
      <c r="K44" s="15">
        <v>0</v>
      </c>
      <c r="L44" s="145" t="s">
        <v>201</v>
      </c>
    </row>
    <row r="45" spans="1:12" ht="14.4" x14ac:dyDescent="0.3">
      <c r="A45" s="52"/>
      <c r="B45" s="129"/>
      <c r="C45" s="66"/>
      <c r="D45" s="56"/>
      <c r="E45" s="7">
        <v>1</v>
      </c>
      <c r="F45" s="7">
        <v>12</v>
      </c>
      <c r="G45" s="7">
        <v>2</v>
      </c>
      <c r="H45" s="7">
        <f t="shared" si="3"/>
        <v>24</v>
      </c>
      <c r="I45" s="15" t="s">
        <v>181</v>
      </c>
      <c r="J45" s="138"/>
      <c r="K45" s="15">
        <v>0</v>
      </c>
      <c r="L45" s="145" t="s">
        <v>201</v>
      </c>
    </row>
    <row r="46" spans="1:12" ht="14.4" x14ac:dyDescent="0.3">
      <c r="A46" s="52"/>
      <c r="B46" s="130"/>
      <c r="C46" s="67"/>
      <c r="D46" s="55"/>
      <c r="E46" s="7">
        <v>1</v>
      </c>
      <c r="F46" s="7">
        <v>12</v>
      </c>
      <c r="G46" s="7">
        <v>2</v>
      </c>
      <c r="H46" s="7">
        <f t="shared" si="3"/>
        <v>24</v>
      </c>
      <c r="I46" s="15" t="s">
        <v>182</v>
      </c>
      <c r="J46" s="138"/>
      <c r="K46" s="15">
        <v>0</v>
      </c>
      <c r="L46" s="145" t="s">
        <v>201</v>
      </c>
    </row>
    <row r="47" spans="1:12" ht="14.4" x14ac:dyDescent="0.3">
      <c r="A47" s="52"/>
      <c r="B47" s="131" t="s">
        <v>146</v>
      </c>
      <c r="C47" s="74" t="s">
        <v>71</v>
      </c>
      <c r="D47" s="71" t="s">
        <v>149</v>
      </c>
      <c r="E47" s="7">
        <v>1</v>
      </c>
      <c r="F47" s="7">
        <v>6</v>
      </c>
      <c r="G47" s="7">
        <v>1</v>
      </c>
      <c r="H47" s="7">
        <f t="shared" si="3"/>
        <v>6</v>
      </c>
      <c r="I47" s="15" t="s">
        <v>159</v>
      </c>
      <c r="J47" s="138" t="s">
        <v>199</v>
      </c>
      <c r="K47" s="15">
        <v>0</v>
      </c>
      <c r="L47" s="145" t="s">
        <v>201</v>
      </c>
    </row>
    <row r="48" spans="1:12" ht="14.4" x14ac:dyDescent="0.3">
      <c r="A48" s="52"/>
      <c r="B48" s="132"/>
      <c r="C48" s="75"/>
      <c r="D48" s="72"/>
      <c r="E48" s="7">
        <v>1</v>
      </c>
      <c r="F48" s="7">
        <v>6</v>
      </c>
      <c r="G48" s="7">
        <v>1</v>
      </c>
      <c r="H48" s="7">
        <f t="shared" si="3"/>
        <v>6</v>
      </c>
      <c r="I48" s="15" t="s">
        <v>178</v>
      </c>
      <c r="J48" s="138"/>
      <c r="K48" s="15">
        <v>0</v>
      </c>
      <c r="L48" s="145" t="s">
        <v>201</v>
      </c>
    </row>
    <row r="49" spans="1:12" ht="14.4" x14ac:dyDescent="0.3">
      <c r="A49" s="52"/>
      <c r="B49" s="132"/>
      <c r="C49" s="75"/>
      <c r="D49" s="72"/>
      <c r="E49" s="7">
        <v>1</v>
      </c>
      <c r="F49" s="7">
        <v>6</v>
      </c>
      <c r="G49" s="7">
        <v>1</v>
      </c>
      <c r="H49" s="7">
        <f t="shared" si="3"/>
        <v>6</v>
      </c>
      <c r="I49" s="15" t="s">
        <v>177</v>
      </c>
      <c r="J49" s="138"/>
      <c r="K49" s="15">
        <v>0</v>
      </c>
      <c r="L49" s="145" t="s">
        <v>201</v>
      </c>
    </row>
    <row r="50" spans="1:12" ht="14.4" x14ac:dyDescent="0.3">
      <c r="A50" s="52"/>
      <c r="B50" s="132"/>
      <c r="C50" s="75"/>
      <c r="D50" s="72"/>
      <c r="E50" s="7">
        <v>1</v>
      </c>
      <c r="F50" s="7">
        <v>6</v>
      </c>
      <c r="G50" s="7">
        <v>1</v>
      </c>
      <c r="H50" s="7">
        <f t="shared" si="3"/>
        <v>6</v>
      </c>
      <c r="I50" s="15" t="s">
        <v>180</v>
      </c>
      <c r="J50" s="138"/>
      <c r="K50" s="15">
        <v>0</v>
      </c>
      <c r="L50" s="145" t="s">
        <v>201</v>
      </c>
    </row>
    <row r="51" spans="1:12" ht="14.4" x14ac:dyDescent="0.3">
      <c r="A51" s="52"/>
      <c r="B51" s="132"/>
      <c r="C51" s="75"/>
      <c r="D51" s="72"/>
      <c r="E51" s="7">
        <v>1</v>
      </c>
      <c r="F51" s="7">
        <v>6</v>
      </c>
      <c r="G51" s="7">
        <v>1</v>
      </c>
      <c r="H51" s="7">
        <f t="shared" si="3"/>
        <v>6</v>
      </c>
      <c r="I51" s="15" t="s">
        <v>181</v>
      </c>
      <c r="J51" s="138"/>
      <c r="K51" s="15">
        <v>0</v>
      </c>
      <c r="L51" s="145" t="s">
        <v>201</v>
      </c>
    </row>
    <row r="52" spans="1:12" ht="14.4" x14ac:dyDescent="0.3">
      <c r="A52" s="52"/>
      <c r="B52" s="133"/>
      <c r="C52" s="76"/>
      <c r="D52" s="73"/>
      <c r="E52" s="7">
        <v>1</v>
      </c>
      <c r="F52" s="7">
        <v>6</v>
      </c>
      <c r="G52" s="7">
        <v>1</v>
      </c>
      <c r="H52" s="7">
        <f t="shared" si="3"/>
        <v>6</v>
      </c>
      <c r="I52" s="15" t="s">
        <v>182</v>
      </c>
      <c r="J52" s="138"/>
      <c r="K52" s="15">
        <v>0</v>
      </c>
      <c r="L52" s="145" t="s">
        <v>201</v>
      </c>
    </row>
    <row r="53" spans="1:12" ht="33" customHeight="1" x14ac:dyDescent="0.3">
      <c r="A53" s="52"/>
      <c r="B53" s="128" t="s">
        <v>14</v>
      </c>
      <c r="C53" s="65" t="s">
        <v>76</v>
      </c>
      <c r="D53" s="54" t="s">
        <v>75</v>
      </c>
      <c r="E53" s="7">
        <v>2</v>
      </c>
      <c r="F53" s="7">
        <v>12</v>
      </c>
      <c r="G53" s="7">
        <v>1</v>
      </c>
      <c r="H53" s="7">
        <f>+E53*F53*G53</f>
        <v>24</v>
      </c>
      <c r="I53" s="15" t="s">
        <v>166</v>
      </c>
      <c r="J53" s="138" t="s">
        <v>199</v>
      </c>
      <c r="K53" s="80">
        <v>1</v>
      </c>
      <c r="L53" s="165" t="s">
        <v>233</v>
      </c>
    </row>
    <row r="54" spans="1:12" ht="14.4" x14ac:dyDescent="0.3">
      <c r="A54" s="52"/>
      <c r="B54" s="129"/>
      <c r="C54" s="66"/>
      <c r="D54" s="56"/>
      <c r="E54" s="7">
        <v>2</v>
      </c>
      <c r="F54" s="7">
        <v>12</v>
      </c>
      <c r="G54" s="7">
        <v>1</v>
      </c>
      <c r="H54" s="7">
        <f t="shared" ref="H54:H58" si="4">+E54*F54*G54</f>
        <v>24</v>
      </c>
      <c r="I54" s="15" t="s">
        <v>178</v>
      </c>
      <c r="J54" s="138"/>
      <c r="K54" s="81"/>
      <c r="L54" s="145" t="s">
        <v>201</v>
      </c>
    </row>
    <row r="55" spans="1:12" ht="14.4" x14ac:dyDescent="0.3">
      <c r="A55" s="52"/>
      <c r="B55" s="129"/>
      <c r="C55" s="66"/>
      <c r="D55" s="56"/>
      <c r="E55" s="7">
        <v>2</v>
      </c>
      <c r="F55" s="7">
        <v>12</v>
      </c>
      <c r="G55" s="7">
        <v>1</v>
      </c>
      <c r="H55" s="7">
        <f t="shared" si="4"/>
        <v>24</v>
      </c>
      <c r="I55" s="15" t="s">
        <v>177</v>
      </c>
      <c r="J55" s="138"/>
      <c r="K55" s="81"/>
      <c r="L55" s="145" t="s">
        <v>201</v>
      </c>
    </row>
    <row r="56" spans="1:12" ht="14.4" x14ac:dyDescent="0.3">
      <c r="A56" s="52"/>
      <c r="B56" s="129"/>
      <c r="C56" s="66"/>
      <c r="D56" s="56"/>
      <c r="E56" s="7">
        <v>2</v>
      </c>
      <c r="F56" s="7">
        <v>12</v>
      </c>
      <c r="G56" s="7">
        <v>1</v>
      </c>
      <c r="H56" s="7">
        <f t="shared" si="4"/>
        <v>24</v>
      </c>
      <c r="I56" s="15" t="s">
        <v>180</v>
      </c>
      <c r="J56" s="138"/>
      <c r="K56" s="81"/>
      <c r="L56" s="145" t="s">
        <v>201</v>
      </c>
    </row>
    <row r="57" spans="1:12" ht="14.4" x14ac:dyDescent="0.3">
      <c r="A57" s="52"/>
      <c r="B57" s="129"/>
      <c r="C57" s="66"/>
      <c r="D57" s="56"/>
      <c r="E57" s="7">
        <v>2</v>
      </c>
      <c r="F57" s="7">
        <v>12</v>
      </c>
      <c r="G57" s="7">
        <v>1</v>
      </c>
      <c r="H57" s="7">
        <f t="shared" si="4"/>
        <v>24</v>
      </c>
      <c r="I57" s="15" t="s">
        <v>181</v>
      </c>
      <c r="J57" s="138"/>
      <c r="K57" s="81"/>
      <c r="L57" s="145" t="s">
        <v>201</v>
      </c>
    </row>
    <row r="58" spans="1:12" ht="14.4" x14ac:dyDescent="0.3">
      <c r="A58" s="52"/>
      <c r="B58" s="130"/>
      <c r="C58" s="67"/>
      <c r="D58" s="55"/>
      <c r="E58" s="7">
        <v>2</v>
      </c>
      <c r="F58" s="7">
        <v>12</v>
      </c>
      <c r="G58" s="7">
        <v>1</v>
      </c>
      <c r="H58" s="7">
        <f t="shared" si="4"/>
        <v>24</v>
      </c>
      <c r="I58" s="15" t="s">
        <v>182</v>
      </c>
      <c r="J58" s="138"/>
      <c r="K58" s="82"/>
      <c r="L58" s="145" t="s">
        <v>201</v>
      </c>
    </row>
    <row r="59" spans="1:12" ht="26.4" customHeight="1" x14ac:dyDescent="0.3">
      <c r="A59" s="52"/>
      <c r="B59" s="128" t="s">
        <v>24</v>
      </c>
      <c r="C59" s="65" t="s">
        <v>76</v>
      </c>
      <c r="D59" s="54" t="s">
        <v>75</v>
      </c>
      <c r="E59" s="7">
        <v>2</v>
      </c>
      <c r="F59" s="7">
        <v>12</v>
      </c>
      <c r="G59" s="7">
        <v>1</v>
      </c>
      <c r="H59" s="7">
        <f>+E59*F59*G59</f>
        <v>24</v>
      </c>
      <c r="I59" s="15" t="s">
        <v>168</v>
      </c>
      <c r="J59" s="138" t="s">
        <v>199</v>
      </c>
      <c r="K59" s="80">
        <v>1</v>
      </c>
      <c r="L59" s="144" t="s">
        <v>232</v>
      </c>
    </row>
    <row r="60" spans="1:12" ht="14.4" x14ac:dyDescent="0.3">
      <c r="A60" s="52"/>
      <c r="B60" s="129"/>
      <c r="C60" s="66"/>
      <c r="D60" s="56"/>
      <c r="E60" s="7">
        <v>2</v>
      </c>
      <c r="F60" s="7">
        <v>12</v>
      </c>
      <c r="G60" s="7">
        <v>1</v>
      </c>
      <c r="H60" s="7">
        <f t="shared" ref="H60:H64" si="5">+E60*F60*G60</f>
        <v>24</v>
      </c>
      <c r="I60" s="15" t="s">
        <v>178</v>
      </c>
      <c r="J60" s="138"/>
      <c r="K60" s="81"/>
      <c r="L60" s="145" t="s">
        <v>201</v>
      </c>
    </row>
    <row r="61" spans="1:12" ht="14.4" x14ac:dyDescent="0.3">
      <c r="A61" s="52"/>
      <c r="B61" s="129"/>
      <c r="C61" s="66"/>
      <c r="D61" s="56"/>
      <c r="E61" s="7">
        <v>2</v>
      </c>
      <c r="F61" s="7">
        <v>12</v>
      </c>
      <c r="G61" s="7">
        <v>1</v>
      </c>
      <c r="H61" s="7">
        <f t="shared" si="5"/>
        <v>24</v>
      </c>
      <c r="I61" s="15" t="s">
        <v>177</v>
      </c>
      <c r="J61" s="138"/>
      <c r="K61" s="81"/>
      <c r="L61" s="145" t="s">
        <v>201</v>
      </c>
    </row>
    <row r="62" spans="1:12" ht="14.4" x14ac:dyDescent="0.3">
      <c r="A62" s="52"/>
      <c r="B62" s="129"/>
      <c r="C62" s="66"/>
      <c r="D62" s="56"/>
      <c r="E62" s="7">
        <v>2</v>
      </c>
      <c r="F62" s="7">
        <v>12</v>
      </c>
      <c r="G62" s="7">
        <v>1</v>
      </c>
      <c r="H62" s="7">
        <f t="shared" si="5"/>
        <v>24</v>
      </c>
      <c r="I62" s="15" t="s">
        <v>180</v>
      </c>
      <c r="J62" s="138"/>
      <c r="K62" s="81"/>
      <c r="L62" s="145" t="s">
        <v>201</v>
      </c>
    </row>
    <row r="63" spans="1:12" ht="14.4" x14ac:dyDescent="0.3">
      <c r="A63" s="52"/>
      <c r="B63" s="129"/>
      <c r="C63" s="66"/>
      <c r="D63" s="56"/>
      <c r="E63" s="7">
        <v>2</v>
      </c>
      <c r="F63" s="7">
        <v>12</v>
      </c>
      <c r="G63" s="7">
        <v>1</v>
      </c>
      <c r="H63" s="7">
        <f t="shared" si="5"/>
        <v>24</v>
      </c>
      <c r="I63" s="15" t="s">
        <v>181</v>
      </c>
      <c r="J63" s="138"/>
      <c r="K63" s="81"/>
      <c r="L63" s="145" t="s">
        <v>201</v>
      </c>
    </row>
    <row r="64" spans="1:12" ht="14.4" x14ac:dyDescent="0.3">
      <c r="A64" s="52"/>
      <c r="B64" s="130"/>
      <c r="C64" s="67"/>
      <c r="D64" s="55"/>
      <c r="E64" s="7">
        <v>2</v>
      </c>
      <c r="F64" s="7">
        <v>12</v>
      </c>
      <c r="G64" s="7">
        <v>1</v>
      </c>
      <c r="H64" s="7">
        <f t="shared" si="5"/>
        <v>24</v>
      </c>
      <c r="I64" s="15" t="s">
        <v>182</v>
      </c>
      <c r="J64" s="138"/>
      <c r="K64" s="82"/>
      <c r="L64" s="145" t="s">
        <v>201</v>
      </c>
    </row>
    <row r="65" spans="1:12" ht="33" customHeight="1" x14ac:dyDescent="0.3">
      <c r="A65" s="52"/>
      <c r="B65" s="128" t="s">
        <v>25</v>
      </c>
      <c r="C65" s="54" t="s">
        <v>76</v>
      </c>
      <c r="D65" s="54" t="s">
        <v>75</v>
      </c>
      <c r="E65" s="7">
        <v>2</v>
      </c>
      <c r="F65" s="7">
        <v>12</v>
      </c>
      <c r="G65" s="7">
        <v>1</v>
      </c>
      <c r="H65" s="7">
        <f>+E65*F65*G65</f>
        <v>24</v>
      </c>
      <c r="I65" s="15" t="s">
        <v>170</v>
      </c>
      <c r="J65" s="138" t="s">
        <v>199</v>
      </c>
      <c r="K65" s="80">
        <v>1</v>
      </c>
      <c r="L65" s="144" t="s">
        <v>230</v>
      </c>
    </row>
    <row r="66" spans="1:12" ht="14.4" x14ac:dyDescent="0.3">
      <c r="A66" s="52"/>
      <c r="B66" s="129"/>
      <c r="C66" s="56"/>
      <c r="D66" s="56"/>
      <c r="E66" s="7">
        <v>2</v>
      </c>
      <c r="F66" s="7">
        <v>12</v>
      </c>
      <c r="G66" s="7">
        <v>1</v>
      </c>
      <c r="H66" s="7">
        <f t="shared" ref="H66:H71" si="6">+E66*F66*G66</f>
        <v>24</v>
      </c>
      <c r="I66" s="15" t="s">
        <v>178</v>
      </c>
      <c r="J66" s="138"/>
      <c r="K66" s="81"/>
      <c r="L66" s="145" t="s">
        <v>201</v>
      </c>
    </row>
    <row r="67" spans="1:12" ht="14.4" x14ac:dyDescent="0.3">
      <c r="A67" s="52"/>
      <c r="B67" s="129"/>
      <c r="C67" s="56"/>
      <c r="D67" s="56"/>
      <c r="E67" s="7">
        <v>2</v>
      </c>
      <c r="F67" s="7">
        <v>12</v>
      </c>
      <c r="G67" s="7">
        <v>1</v>
      </c>
      <c r="H67" s="7">
        <f t="shared" si="6"/>
        <v>24</v>
      </c>
      <c r="I67" s="15" t="s">
        <v>177</v>
      </c>
      <c r="J67" s="138"/>
      <c r="K67" s="81"/>
      <c r="L67" s="145" t="s">
        <v>201</v>
      </c>
    </row>
    <row r="68" spans="1:12" ht="14.4" x14ac:dyDescent="0.3">
      <c r="A68" s="52"/>
      <c r="B68" s="129"/>
      <c r="C68" s="56"/>
      <c r="D68" s="56"/>
      <c r="E68" s="7">
        <v>2</v>
      </c>
      <c r="F68" s="7">
        <v>12</v>
      </c>
      <c r="G68" s="7">
        <v>1</v>
      </c>
      <c r="H68" s="7">
        <f t="shared" si="6"/>
        <v>24</v>
      </c>
      <c r="I68" s="15" t="s">
        <v>180</v>
      </c>
      <c r="J68" s="138"/>
      <c r="K68" s="81"/>
      <c r="L68" s="145" t="s">
        <v>201</v>
      </c>
    </row>
    <row r="69" spans="1:12" ht="14.4" x14ac:dyDescent="0.3">
      <c r="A69" s="52"/>
      <c r="B69" s="129"/>
      <c r="C69" s="56"/>
      <c r="D69" s="56"/>
      <c r="E69" s="7">
        <v>2</v>
      </c>
      <c r="F69" s="7">
        <v>12</v>
      </c>
      <c r="G69" s="7">
        <v>1</v>
      </c>
      <c r="H69" s="7">
        <f t="shared" si="6"/>
        <v>24</v>
      </c>
      <c r="I69" s="15" t="s">
        <v>181</v>
      </c>
      <c r="J69" s="138"/>
      <c r="K69" s="81"/>
      <c r="L69" s="145" t="s">
        <v>201</v>
      </c>
    </row>
    <row r="70" spans="1:12" ht="14.4" x14ac:dyDescent="0.3">
      <c r="A70" s="52"/>
      <c r="B70" s="129"/>
      <c r="C70" s="56"/>
      <c r="D70" s="56"/>
      <c r="E70" s="7">
        <v>2</v>
      </c>
      <c r="F70" s="7">
        <v>12</v>
      </c>
      <c r="G70" s="7">
        <v>1</v>
      </c>
      <c r="H70" s="7">
        <f t="shared" si="6"/>
        <v>24</v>
      </c>
      <c r="I70" s="15" t="s">
        <v>182</v>
      </c>
      <c r="J70" s="138"/>
      <c r="K70" s="81"/>
      <c r="L70" s="145" t="s">
        <v>201</v>
      </c>
    </row>
    <row r="71" spans="1:12" ht="14.4" x14ac:dyDescent="0.3">
      <c r="A71" s="52"/>
      <c r="B71" s="130"/>
      <c r="C71" s="55"/>
      <c r="D71" s="55"/>
      <c r="E71" s="7">
        <v>2</v>
      </c>
      <c r="F71" s="7">
        <v>12</v>
      </c>
      <c r="G71" s="7">
        <v>1</v>
      </c>
      <c r="H71" s="7">
        <f t="shared" si="6"/>
        <v>24</v>
      </c>
      <c r="I71" s="15" t="s">
        <v>183</v>
      </c>
      <c r="J71" s="138"/>
      <c r="K71" s="82"/>
      <c r="L71" s="145" t="s">
        <v>201</v>
      </c>
    </row>
    <row r="72" spans="1:12" ht="14.4" customHeight="1" x14ac:dyDescent="0.3">
      <c r="A72" s="52"/>
      <c r="B72" s="128" t="s">
        <v>65</v>
      </c>
      <c r="C72" s="57" t="s">
        <v>71</v>
      </c>
      <c r="D72" s="71" t="s">
        <v>149</v>
      </c>
      <c r="E72" s="7">
        <v>1</v>
      </c>
      <c r="F72" s="7">
        <v>12</v>
      </c>
      <c r="G72" s="7">
        <v>2</v>
      </c>
      <c r="H72" s="7">
        <f t="shared" ref="H72:H77" si="7">+E72*F72*G72</f>
        <v>24</v>
      </c>
      <c r="I72" s="15" t="s">
        <v>172</v>
      </c>
      <c r="J72" s="138" t="s">
        <v>199</v>
      </c>
      <c r="K72" s="15">
        <v>0</v>
      </c>
      <c r="L72" s="145" t="s">
        <v>201</v>
      </c>
    </row>
    <row r="73" spans="1:12" ht="14.4" x14ac:dyDescent="0.3">
      <c r="A73" s="52"/>
      <c r="B73" s="129"/>
      <c r="C73" s="58"/>
      <c r="D73" s="72"/>
      <c r="E73" s="7">
        <v>1</v>
      </c>
      <c r="F73" s="7">
        <v>12</v>
      </c>
      <c r="G73" s="7">
        <v>2</v>
      </c>
      <c r="H73" s="7">
        <f t="shared" si="7"/>
        <v>24</v>
      </c>
      <c r="I73" s="15" t="s">
        <v>178</v>
      </c>
      <c r="J73" s="138"/>
      <c r="K73" s="15">
        <v>0</v>
      </c>
      <c r="L73" s="145" t="s">
        <v>201</v>
      </c>
    </row>
    <row r="74" spans="1:12" ht="14.4" x14ac:dyDescent="0.3">
      <c r="A74" s="52"/>
      <c r="B74" s="129"/>
      <c r="C74" s="58"/>
      <c r="D74" s="72"/>
      <c r="E74" s="7">
        <v>1</v>
      </c>
      <c r="F74" s="7">
        <v>12</v>
      </c>
      <c r="G74" s="7">
        <v>2</v>
      </c>
      <c r="H74" s="7">
        <f t="shared" si="7"/>
        <v>24</v>
      </c>
      <c r="I74" s="15" t="s">
        <v>177</v>
      </c>
      <c r="J74" s="138"/>
      <c r="K74" s="15">
        <v>0</v>
      </c>
      <c r="L74" s="145" t="s">
        <v>201</v>
      </c>
    </row>
    <row r="75" spans="1:12" ht="14.4" x14ac:dyDescent="0.3">
      <c r="A75" s="52"/>
      <c r="B75" s="129"/>
      <c r="C75" s="58"/>
      <c r="D75" s="72"/>
      <c r="E75" s="7">
        <v>1</v>
      </c>
      <c r="F75" s="7">
        <v>12</v>
      </c>
      <c r="G75" s="7">
        <v>2</v>
      </c>
      <c r="H75" s="7">
        <f t="shared" si="7"/>
        <v>24</v>
      </c>
      <c r="I75" s="15" t="s">
        <v>180</v>
      </c>
      <c r="J75" s="138"/>
      <c r="K75" s="15">
        <v>0</v>
      </c>
      <c r="L75" s="145" t="s">
        <v>201</v>
      </c>
    </row>
    <row r="76" spans="1:12" ht="14.4" x14ac:dyDescent="0.3">
      <c r="A76" s="52"/>
      <c r="B76" s="129"/>
      <c r="C76" s="58"/>
      <c r="D76" s="72"/>
      <c r="E76" s="7">
        <v>1</v>
      </c>
      <c r="F76" s="7">
        <v>12</v>
      </c>
      <c r="G76" s="7">
        <v>2</v>
      </c>
      <c r="H76" s="7">
        <f t="shared" si="7"/>
        <v>24</v>
      </c>
      <c r="I76" s="15" t="s">
        <v>181</v>
      </c>
      <c r="J76" s="138"/>
      <c r="K76" s="15">
        <v>0</v>
      </c>
      <c r="L76" s="145" t="s">
        <v>201</v>
      </c>
    </row>
    <row r="77" spans="1:12" ht="14.4" x14ac:dyDescent="0.3">
      <c r="A77" s="52"/>
      <c r="B77" s="130"/>
      <c r="C77" s="59"/>
      <c r="D77" s="73"/>
      <c r="E77" s="7">
        <v>1</v>
      </c>
      <c r="F77" s="7">
        <v>12</v>
      </c>
      <c r="G77" s="7">
        <v>2</v>
      </c>
      <c r="H77" s="7">
        <f t="shared" si="7"/>
        <v>24</v>
      </c>
      <c r="I77" s="15" t="s">
        <v>182</v>
      </c>
      <c r="J77" s="138"/>
      <c r="K77" s="15">
        <v>0</v>
      </c>
      <c r="L77" s="145" t="s">
        <v>201</v>
      </c>
    </row>
    <row r="78" spans="1:12" ht="33" customHeight="1" x14ac:dyDescent="0.3">
      <c r="A78" s="52"/>
      <c r="B78" s="128" t="s">
        <v>26</v>
      </c>
      <c r="C78" s="65" t="s">
        <v>76</v>
      </c>
      <c r="D78" s="54" t="s">
        <v>75</v>
      </c>
      <c r="E78" s="7">
        <v>1</v>
      </c>
      <c r="F78" s="7">
        <v>6</v>
      </c>
      <c r="G78" s="7">
        <v>1</v>
      </c>
      <c r="H78" s="7">
        <f>+E78*F78*G78</f>
        <v>6</v>
      </c>
      <c r="I78" s="15" t="s">
        <v>173</v>
      </c>
      <c r="J78" s="138" t="s">
        <v>202</v>
      </c>
      <c r="K78" s="80">
        <v>1</v>
      </c>
      <c r="L78" s="145" t="s">
        <v>201</v>
      </c>
    </row>
    <row r="79" spans="1:12" ht="14.4" customHeight="1" x14ac:dyDescent="0.3">
      <c r="A79" s="52"/>
      <c r="B79" s="129"/>
      <c r="C79" s="66"/>
      <c r="D79" s="56"/>
      <c r="E79" s="7">
        <v>1</v>
      </c>
      <c r="F79" s="7">
        <v>6</v>
      </c>
      <c r="G79" s="7">
        <v>1</v>
      </c>
      <c r="H79" s="7">
        <f t="shared" ref="H79:H83" si="8">+E79*F79*G79</f>
        <v>6</v>
      </c>
      <c r="I79" s="15" t="s">
        <v>178</v>
      </c>
      <c r="J79" s="138"/>
      <c r="K79" s="81"/>
      <c r="L79" s="145" t="s">
        <v>201</v>
      </c>
    </row>
    <row r="80" spans="1:12" ht="14.4" x14ac:dyDescent="0.3">
      <c r="A80" s="52"/>
      <c r="B80" s="129"/>
      <c r="C80" s="66"/>
      <c r="D80" s="56"/>
      <c r="E80" s="7">
        <v>1</v>
      </c>
      <c r="F80" s="7">
        <v>6</v>
      </c>
      <c r="G80" s="7">
        <v>1</v>
      </c>
      <c r="H80" s="7">
        <f t="shared" si="8"/>
        <v>6</v>
      </c>
      <c r="I80" s="15" t="s">
        <v>177</v>
      </c>
      <c r="J80" s="138"/>
      <c r="K80" s="81"/>
      <c r="L80" s="145" t="s">
        <v>201</v>
      </c>
    </row>
    <row r="81" spans="1:12" ht="14.4" x14ac:dyDescent="0.3">
      <c r="A81" s="52"/>
      <c r="B81" s="129"/>
      <c r="C81" s="66"/>
      <c r="D81" s="56"/>
      <c r="E81" s="7">
        <v>1</v>
      </c>
      <c r="F81" s="7">
        <v>6</v>
      </c>
      <c r="G81" s="7">
        <v>1</v>
      </c>
      <c r="H81" s="7">
        <f t="shared" si="8"/>
        <v>6</v>
      </c>
      <c r="I81" s="15" t="s">
        <v>180</v>
      </c>
      <c r="J81" s="138"/>
      <c r="K81" s="81"/>
      <c r="L81" s="145" t="s">
        <v>201</v>
      </c>
    </row>
    <row r="82" spans="1:12" ht="14.4" x14ac:dyDescent="0.3">
      <c r="A82" s="52"/>
      <c r="B82" s="129"/>
      <c r="C82" s="66"/>
      <c r="D82" s="56"/>
      <c r="E82" s="7">
        <v>1</v>
      </c>
      <c r="F82" s="7">
        <v>6</v>
      </c>
      <c r="G82" s="7">
        <v>1</v>
      </c>
      <c r="H82" s="7">
        <f t="shared" si="8"/>
        <v>6</v>
      </c>
      <c r="I82" s="15" t="s">
        <v>181</v>
      </c>
      <c r="J82" s="138"/>
      <c r="K82" s="81"/>
      <c r="L82" s="145" t="s">
        <v>201</v>
      </c>
    </row>
    <row r="83" spans="1:12" ht="27.6" x14ac:dyDescent="0.3">
      <c r="A83" s="52"/>
      <c r="B83" s="130"/>
      <c r="C83" s="67"/>
      <c r="D83" s="55"/>
      <c r="E83" s="7">
        <v>1</v>
      </c>
      <c r="F83" s="7">
        <v>6</v>
      </c>
      <c r="G83" s="7">
        <v>1</v>
      </c>
      <c r="H83" s="7">
        <f t="shared" si="8"/>
        <v>6</v>
      </c>
      <c r="I83" s="15" t="s">
        <v>182</v>
      </c>
      <c r="J83" s="138"/>
      <c r="K83" s="82"/>
      <c r="L83" s="144" t="s">
        <v>231</v>
      </c>
    </row>
    <row r="84" spans="1:12" ht="33" customHeight="1" x14ac:dyDescent="0.3">
      <c r="A84" s="52"/>
      <c r="B84" s="131" t="s">
        <v>148</v>
      </c>
      <c r="C84" s="65" t="s">
        <v>76</v>
      </c>
      <c r="D84" s="71" t="s">
        <v>150</v>
      </c>
      <c r="E84" s="7">
        <v>1</v>
      </c>
      <c r="F84" s="7">
        <v>12</v>
      </c>
      <c r="G84" s="7">
        <v>2</v>
      </c>
      <c r="H84" s="7">
        <f t="shared" ref="H84:H89" si="9">+E84*F84*G84</f>
        <v>24</v>
      </c>
      <c r="I84" s="15" t="s">
        <v>143</v>
      </c>
      <c r="J84" s="138" t="s">
        <v>225</v>
      </c>
      <c r="K84" s="80">
        <v>0</v>
      </c>
      <c r="L84" s="145" t="s">
        <v>201</v>
      </c>
    </row>
    <row r="85" spans="1:12" ht="14.4" x14ac:dyDescent="0.3">
      <c r="A85" s="52"/>
      <c r="B85" s="132"/>
      <c r="C85" s="66"/>
      <c r="D85" s="72"/>
      <c r="E85" s="7">
        <v>1</v>
      </c>
      <c r="F85" s="7">
        <v>12</v>
      </c>
      <c r="G85" s="7">
        <v>2</v>
      </c>
      <c r="H85" s="7">
        <f t="shared" si="9"/>
        <v>24</v>
      </c>
      <c r="I85" s="15" t="s">
        <v>178</v>
      </c>
      <c r="J85" s="138"/>
      <c r="K85" s="81"/>
      <c r="L85" s="145" t="s">
        <v>201</v>
      </c>
    </row>
    <row r="86" spans="1:12" ht="14.4" x14ac:dyDescent="0.3">
      <c r="A86" s="52"/>
      <c r="B86" s="132"/>
      <c r="C86" s="66"/>
      <c r="D86" s="72"/>
      <c r="E86" s="7">
        <v>1</v>
      </c>
      <c r="F86" s="7">
        <v>12</v>
      </c>
      <c r="G86" s="7">
        <v>2</v>
      </c>
      <c r="H86" s="7">
        <f t="shared" si="9"/>
        <v>24</v>
      </c>
      <c r="I86" s="15" t="s">
        <v>177</v>
      </c>
      <c r="J86" s="138"/>
      <c r="K86" s="81"/>
      <c r="L86" s="145" t="s">
        <v>201</v>
      </c>
    </row>
    <row r="87" spans="1:12" ht="14.4" x14ac:dyDescent="0.3">
      <c r="A87" s="52"/>
      <c r="B87" s="132"/>
      <c r="C87" s="66"/>
      <c r="D87" s="72"/>
      <c r="E87" s="7">
        <v>1</v>
      </c>
      <c r="F87" s="7">
        <v>12</v>
      </c>
      <c r="G87" s="7">
        <v>2</v>
      </c>
      <c r="H87" s="7">
        <f t="shared" si="9"/>
        <v>24</v>
      </c>
      <c r="I87" s="15" t="s">
        <v>180</v>
      </c>
      <c r="J87" s="138"/>
      <c r="K87" s="81"/>
      <c r="L87" s="145" t="s">
        <v>201</v>
      </c>
    </row>
    <row r="88" spans="1:12" ht="14.4" x14ac:dyDescent="0.3">
      <c r="A88" s="52"/>
      <c r="B88" s="132"/>
      <c r="C88" s="66"/>
      <c r="D88" s="72"/>
      <c r="E88" s="7">
        <v>1</v>
      </c>
      <c r="F88" s="7">
        <v>12</v>
      </c>
      <c r="G88" s="7">
        <v>2</v>
      </c>
      <c r="H88" s="7">
        <f t="shared" si="9"/>
        <v>24</v>
      </c>
      <c r="I88" s="15" t="s">
        <v>181</v>
      </c>
      <c r="J88" s="138"/>
      <c r="K88" s="81"/>
      <c r="L88" s="145" t="s">
        <v>201</v>
      </c>
    </row>
    <row r="89" spans="1:12" ht="14.4" x14ac:dyDescent="0.3">
      <c r="A89" s="53"/>
      <c r="B89" s="133"/>
      <c r="C89" s="67"/>
      <c r="D89" s="73"/>
      <c r="E89" s="7">
        <v>1</v>
      </c>
      <c r="F89" s="7">
        <v>12</v>
      </c>
      <c r="G89" s="7">
        <v>2</v>
      </c>
      <c r="H89" s="7">
        <f t="shared" si="9"/>
        <v>24</v>
      </c>
      <c r="I89" s="15" t="s">
        <v>182</v>
      </c>
      <c r="J89" s="138"/>
      <c r="K89" s="82"/>
      <c r="L89" s="145" t="s">
        <v>201</v>
      </c>
    </row>
    <row r="90" spans="1:12" ht="23.25" customHeight="1" x14ac:dyDescent="0.3">
      <c r="A90" s="51" t="s">
        <v>27</v>
      </c>
      <c r="B90" s="169" t="s">
        <v>28</v>
      </c>
      <c r="C90" s="65" t="s">
        <v>77</v>
      </c>
      <c r="D90" s="54" t="s">
        <v>78</v>
      </c>
      <c r="E90" s="7">
        <v>10</v>
      </c>
      <c r="F90" s="7">
        <v>24</v>
      </c>
      <c r="G90" s="7">
        <v>24</v>
      </c>
      <c r="H90" s="7">
        <v>24</v>
      </c>
      <c r="I90" s="15" t="s">
        <v>176</v>
      </c>
      <c r="J90" s="137">
        <v>2</v>
      </c>
      <c r="K90" s="15">
        <v>0</v>
      </c>
      <c r="L90" s="145" t="s">
        <v>201</v>
      </c>
    </row>
    <row r="91" spans="1:12" ht="23.25" customHeight="1" x14ac:dyDescent="0.3">
      <c r="A91" s="52"/>
      <c r="B91" s="170"/>
      <c r="C91" s="66"/>
      <c r="D91" s="56"/>
      <c r="E91" s="7">
        <v>10</v>
      </c>
      <c r="F91" s="7">
        <v>24</v>
      </c>
      <c r="G91" s="7">
        <v>24</v>
      </c>
      <c r="H91" s="7">
        <v>24</v>
      </c>
      <c r="I91" s="15" t="s">
        <v>112</v>
      </c>
      <c r="J91" s="137">
        <v>1</v>
      </c>
      <c r="K91" s="15">
        <v>1</v>
      </c>
      <c r="L91" s="144" t="s">
        <v>213</v>
      </c>
    </row>
    <row r="92" spans="1:12" ht="23.25" customHeight="1" x14ac:dyDescent="0.3">
      <c r="A92" s="52"/>
      <c r="B92" s="170"/>
      <c r="C92" s="66"/>
      <c r="D92" s="56"/>
      <c r="E92" s="7">
        <v>10</v>
      </c>
      <c r="F92" s="7">
        <v>24</v>
      </c>
      <c r="G92" s="7">
        <v>24</v>
      </c>
      <c r="H92" s="7">
        <v>24</v>
      </c>
      <c r="I92" s="15" t="s">
        <v>177</v>
      </c>
      <c r="J92" s="137">
        <v>0</v>
      </c>
      <c r="K92" s="15">
        <v>0</v>
      </c>
      <c r="L92" s="145" t="s">
        <v>201</v>
      </c>
    </row>
    <row r="93" spans="1:12" ht="23.25" customHeight="1" x14ac:dyDescent="0.3">
      <c r="A93" s="52"/>
      <c r="B93" s="170"/>
      <c r="C93" s="66"/>
      <c r="D93" s="56"/>
      <c r="E93" s="7">
        <v>10</v>
      </c>
      <c r="F93" s="7">
        <v>24</v>
      </c>
      <c r="G93" s="7">
        <v>24</v>
      </c>
      <c r="H93" s="7">
        <v>24</v>
      </c>
      <c r="I93" s="15" t="s">
        <v>137</v>
      </c>
      <c r="J93" s="137">
        <v>2</v>
      </c>
      <c r="K93" s="15">
        <v>1</v>
      </c>
      <c r="L93" s="145" t="s">
        <v>201</v>
      </c>
    </row>
    <row r="94" spans="1:12" ht="23.25" customHeight="1" x14ac:dyDescent="0.3">
      <c r="A94" s="53"/>
      <c r="B94" s="171"/>
      <c r="C94" s="66"/>
      <c r="D94" s="55"/>
      <c r="E94" s="7">
        <v>10</v>
      </c>
      <c r="F94" s="7">
        <v>24</v>
      </c>
      <c r="G94" s="7">
        <v>24</v>
      </c>
      <c r="H94" s="7">
        <v>24</v>
      </c>
      <c r="I94" s="15" t="s">
        <v>130</v>
      </c>
      <c r="J94" s="137">
        <v>2</v>
      </c>
      <c r="K94" s="15">
        <v>0</v>
      </c>
      <c r="L94" s="145" t="s">
        <v>201</v>
      </c>
    </row>
    <row r="95" spans="1:12" ht="23.25" customHeight="1" x14ac:dyDescent="0.3">
      <c r="A95" s="51" t="s">
        <v>29</v>
      </c>
      <c r="B95" s="169" t="s">
        <v>30</v>
      </c>
      <c r="C95" s="66"/>
      <c r="D95" s="54" t="s">
        <v>75</v>
      </c>
      <c r="E95" s="7">
        <v>3</v>
      </c>
      <c r="F95" s="7">
        <v>24</v>
      </c>
      <c r="G95" s="7">
        <v>24</v>
      </c>
      <c r="H95" s="7">
        <v>24</v>
      </c>
      <c r="I95" s="15" t="s">
        <v>122</v>
      </c>
      <c r="J95" s="137">
        <v>0</v>
      </c>
      <c r="K95" s="15">
        <v>0</v>
      </c>
      <c r="L95" s="145" t="s">
        <v>201</v>
      </c>
    </row>
    <row r="96" spans="1:12" ht="23.25" customHeight="1" x14ac:dyDescent="0.3">
      <c r="A96" s="52"/>
      <c r="B96" s="170"/>
      <c r="C96" s="66"/>
      <c r="D96" s="56"/>
      <c r="E96" s="7">
        <v>3</v>
      </c>
      <c r="F96" s="7">
        <v>24</v>
      </c>
      <c r="G96" s="7">
        <v>24</v>
      </c>
      <c r="H96" s="7">
        <v>24</v>
      </c>
      <c r="I96" s="15" t="s">
        <v>112</v>
      </c>
      <c r="J96" s="137">
        <v>0</v>
      </c>
      <c r="K96" s="15">
        <v>0</v>
      </c>
      <c r="L96" s="145" t="s">
        <v>201</v>
      </c>
    </row>
    <row r="97" spans="1:12" ht="23.25" customHeight="1" x14ac:dyDescent="0.3">
      <c r="A97" s="52"/>
      <c r="B97" s="170"/>
      <c r="C97" s="66"/>
      <c r="D97" s="56"/>
      <c r="E97" s="7">
        <v>3</v>
      </c>
      <c r="F97" s="7">
        <v>24</v>
      </c>
      <c r="G97" s="7">
        <v>24</v>
      </c>
      <c r="H97" s="7">
        <v>24</v>
      </c>
      <c r="I97" s="15" t="s">
        <v>136</v>
      </c>
      <c r="J97" s="137">
        <v>0</v>
      </c>
      <c r="K97" s="15">
        <v>0</v>
      </c>
      <c r="L97" s="145" t="s">
        <v>201</v>
      </c>
    </row>
    <row r="98" spans="1:12" ht="23.25" customHeight="1" x14ac:dyDescent="0.3">
      <c r="A98" s="52"/>
      <c r="B98" s="170"/>
      <c r="C98" s="66"/>
      <c r="D98" s="56"/>
      <c r="E98" s="7">
        <v>3</v>
      </c>
      <c r="F98" s="7">
        <v>24</v>
      </c>
      <c r="G98" s="7">
        <v>24</v>
      </c>
      <c r="H98" s="7">
        <v>24</v>
      </c>
      <c r="I98" s="15" t="s">
        <v>137</v>
      </c>
      <c r="J98" s="137">
        <v>0</v>
      </c>
      <c r="K98" s="15">
        <v>0</v>
      </c>
      <c r="L98" s="145" t="s">
        <v>201</v>
      </c>
    </row>
    <row r="99" spans="1:12" ht="23.25" customHeight="1" x14ac:dyDescent="0.3">
      <c r="A99" s="53"/>
      <c r="B99" s="171"/>
      <c r="C99" s="67"/>
      <c r="D99" s="55"/>
      <c r="E99" s="7">
        <v>3</v>
      </c>
      <c r="F99" s="7">
        <v>24</v>
      </c>
      <c r="G99" s="7">
        <v>24</v>
      </c>
      <c r="H99" s="7">
        <v>24</v>
      </c>
      <c r="I99" s="15" t="s">
        <v>130</v>
      </c>
      <c r="J99" s="137">
        <v>0</v>
      </c>
      <c r="K99" s="15">
        <v>0</v>
      </c>
      <c r="L99" s="145" t="s">
        <v>201</v>
      </c>
    </row>
    <row r="100" spans="1:12" ht="33" customHeight="1" x14ac:dyDescent="0.3">
      <c r="A100" s="51" t="s">
        <v>31</v>
      </c>
      <c r="B100" s="91" t="s">
        <v>32</v>
      </c>
      <c r="C100" s="65" t="s">
        <v>76</v>
      </c>
      <c r="D100" s="54" t="s">
        <v>75</v>
      </c>
      <c r="E100" s="7">
        <v>1</v>
      </c>
      <c r="F100" s="7">
        <v>12</v>
      </c>
      <c r="G100" s="7">
        <v>24</v>
      </c>
      <c r="H100" s="7">
        <v>24</v>
      </c>
      <c r="I100" s="15" t="s">
        <v>139</v>
      </c>
      <c r="J100" s="137" t="s">
        <v>222</v>
      </c>
      <c r="K100" s="15">
        <v>0</v>
      </c>
      <c r="L100" s="145" t="s">
        <v>201</v>
      </c>
    </row>
    <row r="101" spans="1:12" ht="24" x14ac:dyDescent="0.3">
      <c r="A101" s="52"/>
      <c r="B101" s="103"/>
      <c r="C101" s="66"/>
      <c r="D101" s="56"/>
      <c r="E101" s="7">
        <v>1</v>
      </c>
      <c r="F101" s="7">
        <v>24</v>
      </c>
      <c r="G101" s="7">
        <v>24</v>
      </c>
      <c r="H101" s="7">
        <v>24</v>
      </c>
      <c r="I101" s="15" t="s">
        <v>140</v>
      </c>
      <c r="J101" s="136" t="s">
        <v>221</v>
      </c>
      <c r="K101" s="15">
        <v>2</v>
      </c>
      <c r="L101" s="165" t="s">
        <v>223</v>
      </c>
    </row>
    <row r="102" spans="1:12" ht="14.4" x14ac:dyDescent="0.3">
      <c r="A102" s="53"/>
      <c r="B102" s="92"/>
      <c r="C102" s="67"/>
      <c r="D102" s="55"/>
      <c r="E102" s="7">
        <v>1</v>
      </c>
      <c r="F102" s="7">
        <v>24</v>
      </c>
      <c r="G102" s="7">
        <v>24</v>
      </c>
      <c r="H102" s="7">
        <v>24</v>
      </c>
      <c r="I102" s="15" t="s">
        <v>141</v>
      </c>
      <c r="J102" s="137">
        <v>0</v>
      </c>
      <c r="K102" s="15">
        <v>0</v>
      </c>
      <c r="L102" s="145" t="s">
        <v>201</v>
      </c>
    </row>
    <row r="103" spans="1:12" ht="20.25" customHeight="1" x14ac:dyDescent="0.3">
      <c r="A103" s="51" t="s">
        <v>33</v>
      </c>
      <c r="B103" s="172" t="s">
        <v>34</v>
      </c>
      <c r="C103" s="175" t="s">
        <v>138</v>
      </c>
      <c r="D103" s="156" t="s">
        <v>75</v>
      </c>
      <c r="E103" s="140">
        <v>10</v>
      </c>
      <c r="F103" s="140">
        <v>12</v>
      </c>
      <c r="G103" s="140">
        <v>12</v>
      </c>
      <c r="H103" s="140">
        <v>12</v>
      </c>
      <c r="I103" s="141" t="s">
        <v>112</v>
      </c>
      <c r="J103" s="157"/>
      <c r="K103" s="141"/>
      <c r="L103" s="143" t="s">
        <v>201</v>
      </c>
    </row>
    <row r="104" spans="1:12" ht="20.25" customHeight="1" x14ac:dyDescent="0.3">
      <c r="A104" s="52"/>
      <c r="B104" s="173"/>
      <c r="C104" s="176"/>
      <c r="D104" s="160"/>
      <c r="E104" s="140">
        <v>10</v>
      </c>
      <c r="F104" s="140">
        <v>24</v>
      </c>
      <c r="G104" s="140">
        <v>24</v>
      </c>
      <c r="H104" s="140">
        <v>24</v>
      </c>
      <c r="I104" s="141" t="s">
        <v>137</v>
      </c>
      <c r="J104" s="157"/>
      <c r="K104" s="141"/>
      <c r="L104" s="143" t="s">
        <v>201</v>
      </c>
    </row>
    <row r="105" spans="1:12" ht="20.25" customHeight="1" x14ac:dyDescent="0.3">
      <c r="A105" s="52"/>
      <c r="B105" s="173"/>
      <c r="C105" s="63" t="s">
        <v>72</v>
      </c>
      <c r="D105" s="54" t="s">
        <v>75</v>
      </c>
      <c r="E105" s="7">
        <v>28</v>
      </c>
      <c r="F105" s="7">
        <v>24</v>
      </c>
      <c r="G105" s="7">
        <v>24</v>
      </c>
      <c r="H105" s="7">
        <v>24</v>
      </c>
      <c r="I105" s="15" t="s">
        <v>112</v>
      </c>
      <c r="J105" s="137" t="s">
        <v>203</v>
      </c>
      <c r="K105" s="15">
        <v>5</v>
      </c>
      <c r="L105" s="144" t="s">
        <v>213</v>
      </c>
    </row>
    <row r="106" spans="1:12" ht="20.25" customHeight="1" x14ac:dyDescent="0.3">
      <c r="A106" s="52"/>
      <c r="B106" s="173"/>
      <c r="C106" s="77"/>
      <c r="D106" s="56"/>
      <c r="E106" s="7">
        <v>28</v>
      </c>
      <c r="F106" s="7">
        <v>24</v>
      </c>
      <c r="G106" s="7">
        <v>24</v>
      </c>
      <c r="H106" s="7">
        <v>24</v>
      </c>
      <c r="I106" s="15" t="s">
        <v>136</v>
      </c>
      <c r="J106" s="137" t="s">
        <v>229</v>
      </c>
      <c r="K106" s="15">
        <v>0</v>
      </c>
      <c r="L106" s="145" t="s">
        <v>201</v>
      </c>
    </row>
    <row r="107" spans="1:12" ht="20.25" customHeight="1" x14ac:dyDescent="0.3">
      <c r="A107" s="52"/>
      <c r="B107" s="174"/>
      <c r="C107" s="64"/>
      <c r="D107" s="55"/>
      <c r="E107" s="7">
        <v>28</v>
      </c>
      <c r="F107" s="7">
        <v>24</v>
      </c>
      <c r="G107" s="7">
        <v>24</v>
      </c>
      <c r="H107" s="7">
        <v>24</v>
      </c>
      <c r="I107" s="15" t="s">
        <v>137</v>
      </c>
      <c r="J107" s="137" t="s">
        <v>204</v>
      </c>
      <c r="K107" s="15">
        <v>1</v>
      </c>
      <c r="L107" s="135" t="s">
        <v>214</v>
      </c>
    </row>
    <row r="108" spans="1:12" ht="20.25" customHeight="1" x14ac:dyDescent="0.3">
      <c r="A108" s="52"/>
      <c r="B108" s="172" t="s">
        <v>35</v>
      </c>
      <c r="C108" s="65" t="s">
        <v>72</v>
      </c>
      <c r="D108" s="54" t="s">
        <v>75</v>
      </c>
      <c r="E108" s="7">
        <v>10</v>
      </c>
      <c r="F108" s="7">
        <v>24</v>
      </c>
      <c r="G108" s="7">
        <v>24</v>
      </c>
      <c r="H108" s="7">
        <v>24</v>
      </c>
      <c r="I108" s="15" t="s">
        <v>114</v>
      </c>
      <c r="J108" s="137" t="s">
        <v>203</v>
      </c>
      <c r="K108" s="15">
        <v>0</v>
      </c>
      <c r="L108" s="145" t="s">
        <v>201</v>
      </c>
    </row>
    <row r="109" spans="1:12" ht="20.25" customHeight="1" x14ac:dyDescent="0.3">
      <c r="A109" s="52"/>
      <c r="B109" s="173"/>
      <c r="C109" s="66"/>
      <c r="D109" s="56"/>
      <c r="E109" s="7">
        <v>10</v>
      </c>
      <c r="F109" s="7">
        <v>24</v>
      </c>
      <c r="G109" s="7">
        <v>24</v>
      </c>
      <c r="H109" s="7">
        <v>24</v>
      </c>
      <c r="I109" s="15" t="s">
        <v>136</v>
      </c>
      <c r="J109" s="137" t="s">
        <v>229</v>
      </c>
      <c r="K109" s="15">
        <v>0</v>
      </c>
      <c r="L109" s="145" t="s">
        <v>201</v>
      </c>
    </row>
    <row r="110" spans="1:12" ht="20.25" customHeight="1" x14ac:dyDescent="0.3">
      <c r="A110" s="52"/>
      <c r="B110" s="173"/>
      <c r="C110" s="66"/>
      <c r="D110" s="56"/>
      <c r="E110" s="7">
        <v>10</v>
      </c>
      <c r="F110" s="7">
        <v>24</v>
      </c>
      <c r="G110" s="7">
        <v>24</v>
      </c>
      <c r="H110" s="7">
        <v>24</v>
      </c>
      <c r="I110" s="15" t="s">
        <v>112</v>
      </c>
      <c r="J110" s="137" t="s">
        <v>203</v>
      </c>
      <c r="K110" s="15">
        <v>2</v>
      </c>
      <c r="L110" s="144" t="s">
        <v>213</v>
      </c>
    </row>
    <row r="111" spans="1:12" ht="24" customHeight="1" x14ac:dyDescent="0.3">
      <c r="A111" s="53"/>
      <c r="B111" s="174"/>
      <c r="C111" s="67"/>
      <c r="D111" s="55"/>
      <c r="E111" s="7">
        <v>10</v>
      </c>
      <c r="F111" s="7">
        <v>24</v>
      </c>
      <c r="G111" s="7">
        <v>24</v>
      </c>
      <c r="H111" s="7">
        <v>24</v>
      </c>
      <c r="I111" s="15" t="s">
        <v>137</v>
      </c>
      <c r="J111" s="137" t="s">
        <v>204</v>
      </c>
      <c r="K111" s="15">
        <v>1</v>
      </c>
      <c r="L111" s="135" t="s">
        <v>214</v>
      </c>
    </row>
    <row r="112" spans="1:12" ht="45" customHeight="1" x14ac:dyDescent="0.3">
      <c r="A112" s="51" t="s">
        <v>36</v>
      </c>
      <c r="B112" s="60" t="s">
        <v>37</v>
      </c>
      <c r="C112" s="65" t="s">
        <v>66</v>
      </c>
      <c r="D112" s="54" t="s">
        <v>75</v>
      </c>
      <c r="E112" s="7">
        <v>1</v>
      </c>
      <c r="F112" s="7">
        <v>12</v>
      </c>
      <c r="G112" s="7">
        <v>3</v>
      </c>
      <c r="H112" s="7">
        <f t="shared" ref="H112:H119" si="10">+E112*F112*G112</f>
        <v>36</v>
      </c>
      <c r="I112" s="15" t="s">
        <v>126</v>
      </c>
      <c r="J112" s="136">
        <v>1</v>
      </c>
      <c r="K112" s="15">
        <v>0</v>
      </c>
      <c r="L112" s="145" t="s">
        <v>201</v>
      </c>
    </row>
    <row r="113" spans="1:12" ht="28.8" x14ac:dyDescent="0.3">
      <c r="A113" s="53"/>
      <c r="B113" s="61"/>
      <c r="C113" s="67"/>
      <c r="D113" s="55"/>
      <c r="E113" s="7">
        <v>1</v>
      </c>
      <c r="F113" s="7">
        <v>12</v>
      </c>
      <c r="G113" s="7">
        <v>3</v>
      </c>
      <c r="H113" s="7">
        <f t="shared" ref="H113" si="11">+E113*F113*G113</f>
        <v>36</v>
      </c>
      <c r="I113" s="15" t="s">
        <v>137</v>
      </c>
      <c r="J113" s="136">
        <v>1</v>
      </c>
      <c r="K113" s="15">
        <v>0</v>
      </c>
      <c r="L113" s="145" t="s">
        <v>201</v>
      </c>
    </row>
    <row r="114" spans="1:12" ht="31.2" customHeight="1" x14ac:dyDescent="0.3">
      <c r="A114" s="166" t="s">
        <v>38</v>
      </c>
      <c r="B114" s="168" t="s">
        <v>39</v>
      </c>
      <c r="C114" s="167" t="s">
        <v>72</v>
      </c>
      <c r="D114" s="50" t="s">
        <v>75</v>
      </c>
      <c r="E114" s="50">
        <v>4</v>
      </c>
      <c r="F114" s="50">
        <v>24</v>
      </c>
      <c r="G114" s="50">
        <v>4</v>
      </c>
      <c r="H114" s="50">
        <f t="shared" si="10"/>
        <v>384</v>
      </c>
      <c r="I114" s="46" t="s">
        <v>128</v>
      </c>
      <c r="J114" s="165" t="s">
        <v>224</v>
      </c>
      <c r="K114" s="46">
        <v>0</v>
      </c>
      <c r="L114" s="145" t="s">
        <v>201</v>
      </c>
    </row>
    <row r="115" spans="1:12" ht="30" customHeight="1" x14ac:dyDescent="0.3">
      <c r="A115" s="2" t="s">
        <v>40</v>
      </c>
      <c r="B115" s="168" t="s">
        <v>41</v>
      </c>
      <c r="C115" s="8" t="s">
        <v>72</v>
      </c>
      <c r="D115" s="7" t="s">
        <v>75</v>
      </c>
      <c r="E115" s="7">
        <v>2</v>
      </c>
      <c r="F115" s="7">
        <v>8</v>
      </c>
      <c r="G115" s="7">
        <v>4</v>
      </c>
      <c r="H115" s="7">
        <f t="shared" si="10"/>
        <v>64</v>
      </c>
      <c r="I115" s="15" t="s">
        <v>129</v>
      </c>
      <c r="J115" s="136" t="s">
        <v>224</v>
      </c>
      <c r="K115" s="15">
        <v>0</v>
      </c>
      <c r="L115" s="145" t="s">
        <v>201</v>
      </c>
    </row>
    <row r="116" spans="1:12" ht="39.75" customHeight="1" x14ac:dyDescent="0.3">
      <c r="A116" s="62" t="s">
        <v>42</v>
      </c>
      <c r="B116" s="60" t="s">
        <v>43</v>
      </c>
      <c r="C116" s="8" t="s">
        <v>80</v>
      </c>
      <c r="D116" s="20" t="s">
        <v>151</v>
      </c>
      <c r="E116" s="7">
        <v>1</v>
      </c>
      <c r="F116" s="7">
        <v>12</v>
      </c>
      <c r="G116" s="7">
        <v>1.2</v>
      </c>
      <c r="H116" s="7">
        <f t="shared" si="10"/>
        <v>14.399999999999999</v>
      </c>
      <c r="I116" s="15" t="s">
        <v>130</v>
      </c>
      <c r="J116" s="137" t="s">
        <v>219</v>
      </c>
      <c r="K116" s="15">
        <v>0</v>
      </c>
      <c r="L116" s="145" t="s">
        <v>201</v>
      </c>
    </row>
    <row r="117" spans="1:12" ht="39.75" customHeight="1" x14ac:dyDescent="0.3">
      <c r="A117" s="62"/>
      <c r="B117" s="61"/>
      <c r="C117" s="146" t="s">
        <v>138</v>
      </c>
      <c r="D117" s="140"/>
      <c r="E117" s="140">
        <v>1</v>
      </c>
      <c r="F117" s="140"/>
      <c r="G117" s="140"/>
      <c r="H117" s="140">
        <f t="shared" si="10"/>
        <v>0</v>
      </c>
      <c r="I117" s="141" t="s">
        <v>130</v>
      </c>
      <c r="J117" s="142">
        <v>0</v>
      </c>
      <c r="K117" s="141">
        <v>0</v>
      </c>
      <c r="L117" s="143" t="s">
        <v>201</v>
      </c>
    </row>
    <row r="118" spans="1:12" ht="39.75" customHeight="1" x14ac:dyDescent="0.3">
      <c r="A118" s="62"/>
      <c r="B118" s="60" t="s">
        <v>44</v>
      </c>
      <c r="C118" s="8" t="s">
        <v>69</v>
      </c>
      <c r="D118" s="20" t="s">
        <v>151</v>
      </c>
      <c r="E118" s="7">
        <v>1</v>
      </c>
      <c r="F118" s="7">
        <v>10</v>
      </c>
      <c r="G118" s="7">
        <f>2*2</f>
        <v>4</v>
      </c>
      <c r="H118" s="7">
        <f t="shared" si="10"/>
        <v>40</v>
      </c>
      <c r="I118" s="15" t="s">
        <v>131</v>
      </c>
      <c r="J118" s="137" t="s">
        <v>217</v>
      </c>
      <c r="K118" s="15">
        <v>0</v>
      </c>
      <c r="L118" s="145" t="s">
        <v>201</v>
      </c>
    </row>
    <row r="119" spans="1:12" ht="39.75" customHeight="1" x14ac:dyDescent="0.3">
      <c r="A119" s="62"/>
      <c r="B119" s="61"/>
      <c r="C119" s="146" t="s">
        <v>138</v>
      </c>
      <c r="D119" s="140"/>
      <c r="E119" s="140">
        <v>1</v>
      </c>
      <c r="F119" s="140"/>
      <c r="G119" s="140"/>
      <c r="H119" s="140">
        <f t="shared" si="10"/>
        <v>0</v>
      </c>
      <c r="I119" s="141" t="s">
        <v>131</v>
      </c>
      <c r="J119" s="142">
        <v>0</v>
      </c>
      <c r="K119" s="141">
        <v>0</v>
      </c>
      <c r="L119" s="143" t="s">
        <v>201</v>
      </c>
    </row>
    <row r="120" spans="1:12" ht="39.75" customHeight="1" x14ac:dyDescent="0.3">
      <c r="A120" s="62"/>
      <c r="B120" s="78" t="s">
        <v>142</v>
      </c>
      <c r="C120" s="8" t="s">
        <v>69</v>
      </c>
      <c r="D120" s="20" t="s">
        <v>151</v>
      </c>
      <c r="E120" s="7">
        <v>1</v>
      </c>
      <c r="F120" s="7">
        <v>6</v>
      </c>
      <c r="G120" s="7">
        <v>3</v>
      </c>
      <c r="H120" s="7">
        <f t="shared" ref="H120" si="12">+E120*F120*G120</f>
        <v>18</v>
      </c>
      <c r="I120" s="15" t="s">
        <v>135</v>
      </c>
      <c r="J120" s="137" t="s">
        <v>220</v>
      </c>
      <c r="K120" s="15">
        <v>0</v>
      </c>
      <c r="L120" s="145" t="s">
        <v>201</v>
      </c>
    </row>
    <row r="121" spans="1:12" ht="39.75" customHeight="1" x14ac:dyDescent="0.3">
      <c r="A121" s="62"/>
      <c r="B121" s="79"/>
      <c r="C121" s="146" t="s">
        <v>138</v>
      </c>
      <c r="D121" s="164" t="s">
        <v>151</v>
      </c>
      <c r="E121" s="140">
        <v>1</v>
      </c>
      <c r="F121" s="164" t="s">
        <v>179</v>
      </c>
      <c r="G121" s="164" t="s">
        <v>179</v>
      </c>
      <c r="H121" s="164" t="s">
        <v>179</v>
      </c>
      <c r="I121" s="141" t="s">
        <v>135</v>
      </c>
      <c r="J121" s="142">
        <v>0</v>
      </c>
      <c r="K121" s="141">
        <v>0</v>
      </c>
      <c r="L121" s="143" t="s">
        <v>201</v>
      </c>
    </row>
    <row r="122" spans="1:12" ht="39.75" customHeight="1" x14ac:dyDescent="0.3">
      <c r="A122" s="62"/>
      <c r="B122" s="60" t="s">
        <v>45</v>
      </c>
      <c r="C122" s="8" t="s">
        <v>81</v>
      </c>
      <c r="D122" s="20" t="s">
        <v>151</v>
      </c>
      <c r="E122" s="7">
        <v>1</v>
      </c>
      <c r="F122" s="7">
        <v>8</v>
      </c>
      <c r="G122" s="7">
        <v>3</v>
      </c>
      <c r="H122" s="7">
        <f t="shared" ref="H122" si="13">+E122*F122*G122</f>
        <v>24</v>
      </c>
      <c r="I122" s="15" t="s">
        <v>132</v>
      </c>
      <c r="J122" s="137" t="s">
        <v>218</v>
      </c>
      <c r="K122" s="15">
        <v>0</v>
      </c>
      <c r="L122" s="145" t="s">
        <v>201</v>
      </c>
    </row>
    <row r="123" spans="1:12" ht="39.75" customHeight="1" x14ac:dyDescent="0.3">
      <c r="A123" s="62"/>
      <c r="B123" s="61"/>
      <c r="C123" s="146" t="s">
        <v>138</v>
      </c>
      <c r="D123" s="140"/>
      <c r="E123" s="140">
        <v>1</v>
      </c>
      <c r="F123" s="164" t="s">
        <v>179</v>
      </c>
      <c r="G123" s="164" t="s">
        <v>179</v>
      </c>
      <c r="H123" s="164" t="s">
        <v>179</v>
      </c>
      <c r="I123" s="141" t="s">
        <v>132</v>
      </c>
      <c r="J123" s="157">
        <v>2</v>
      </c>
      <c r="K123" s="141">
        <v>0</v>
      </c>
      <c r="L123" s="143" t="s">
        <v>201</v>
      </c>
    </row>
    <row r="124" spans="1:12" ht="36" x14ac:dyDescent="0.3">
      <c r="A124" s="2" t="s">
        <v>46</v>
      </c>
      <c r="B124" s="24" t="s">
        <v>47</v>
      </c>
      <c r="C124" s="8" t="s">
        <v>72</v>
      </c>
      <c r="D124" s="22" t="s">
        <v>82</v>
      </c>
      <c r="E124" s="7">
        <v>1</v>
      </c>
      <c r="F124" s="7">
        <v>24</v>
      </c>
      <c r="G124" s="20">
        <v>24</v>
      </c>
      <c r="H124" s="7">
        <v>30</v>
      </c>
      <c r="I124" s="15" t="s">
        <v>133</v>
      </c>
      <c r="J124" s="137" t="s">
        <v>226</v>
      </c>
      <c r="K124" s="15">
        <v>1</v>
      </c>
      <c r="L124" s="135" t="s">
        <v>227</v>
      </c>
    </row>
    <row r="125" spans="1:12" ht="36" x14ac:dyDescent="0.3">
      <c r="A125" s="2" t="s">
        <v>48</v>
      </c>
      <c r="B125" s="24" t="s">
        <v>49</v>
      </c>
      <c r="C125" s="8" t="s">
        <v>80</v>
      </c>
      <c r="D125" s="20" t="s">
        <v>151</v>
      </c>
      <c r="E125" s="7">
        <v>5</v>
      </c>
      <c r="F125" s="7">
        <v>24</v>
      </c>
      <c r="G125" s="20">
        <v>24</v>
      </c>
      <c r="H125" s="7">
        <v>30</v>
      </c>
      <c r="I125" s="15" t="s">
        <v>133</v>
      </c>
      <c r="J125" s="137" t="s">
        <v>226</v>
      </c>
      <c r="K125" s="15">
        <v>1</v>
      </c>
      <c r="L125" s="135" t="s">
        <v>227</v>
      </c>
    </row>
    <row r="126" spans="1:12" ht="48" x14ac:dyDescent="0.3">
      <c r="A126" s="2" t="s">
        <v>50</v>
      </c>
      <c r="B126" s="24" t="s">
        <v>51</v>
      </c>
      <c r="C126" s="8" t="s">
        <v>83</v>
      </c>
      <c r="D126" s="20" t="s">
        <v>151</v>
      </c>
      <c r="E126" s="7">
        <v>1</v>
      </c>
      <c r="F126" s="7">
        <v>24</v>
      </c>
      <c r="G126" s="20">
        <v>24</v>
      </c>
      <c r="H126" s="7">
        <v>30</v>
      </c>
      <c r="I126" s="15" t="s">
        <v>184</v>
      </c>
      <c r="J126" s="137" t="s">
        <v>228</v>
      </c>
      <c r="K126" s="15">
        <v>1</v>
      </c>
      <c r="L126" s="135" t="s">
        <v>227</v>
      </c>
    </row>
    <row r="127" spans="1:12" ht="16.5" customHeight="1" x14ac:dyDescent="0.3">
      <c r="A127" s="154" t="s">
        <v>52</v>
      </c>
      <c r="B127" s="155" t="s">
        <v>53</v>
      </c>
      <c r="C127" s="156" t="s">
        <v>84</v>
      </c>
      <c r="D127" s="156" t="s">
        <v>67</v>
      </c>
      <c r="E127" s="140">
        <v>2</v>
      </c>
      <c r="F127" s="140">
        <v>24</v>
      </c>
      <c r="G127" s="140">
        <v>0.25</v>
      </c>
      <c r="H127" s="140">
        <f>+E127*G127</f>
        <v>0.5</v>
      </c>
      <c r="I127" s="141" t="s">
        <v>185</v>
      </c>
      <c r="J127" s="157">
        <v>0</v>
      </c>
      <c r="K127" s="141">
        <v>0</v>
      </c>
      <c r="L127" s="143" t="s">
        <v>201</v>
      </c>
    </row>
    <row r="128" spans="1:12" ht="14.4" x14ac:dyDescent="0.3">
      <c r="A128" s="158"/>
      <c r="B128" s="159"/>
      <c r="C128" s="160"/>
      <c r="D128" s="160"/>
      <c r="E128" s="140">
        <v>2</v>
      </c>
      <c r="F128" s="140">
        <v>24</v>
      </c>
      <c r="G128" s="140">
        <v>0.25</v>
      </c>
      <c r="H128" s="140">
        <f t="shared" ref="H128:H131" si="14">+E128*G128</f>
        <v>0.5</v>
      </c>
      <c r="I128" s="141" t="s">
        <v>186</v>
      </c>
      <c r="J128" s="157">
        <v>0</v>
      </c>
      <c r="K128" s="141">
        <v>0</v>
      </c>
      <c r="L128" s="143" t="s">
        <v>201</v>
      </c>
    </row>
    <row r="129" spans="1:12" ht="14.4" x14ac:dyDescent="0.3">
      <c r="A129" s="158"/>
      <c r="B129" s="155" t="s">
        <v>54</v>
      </c>
      <c r="C129" s="156" t="s">
        <v>84</v>
      </c>
      <c r="D129" s="156" t="s">
        <v>75</v>
      </c>
      <c r="E129" s="140">
        <v>1</v>
      </c>
      <c r="F129" s="140">
        <v>24</v>
      </c>
      <c r="G129" s="140">
        <v>0.25</v>
      </c>
      <c r="H129" s="140">
        <f t="shared" si="14"/>
        <v>0.25</v>
      </c>
      <c r="I129" s="141" t="s">
        <v>185</v>
      </c>
      <c r="J129" s="157">
        <v>0</v>
      </c>
      <c r="K129" s="141">
        <v>0</v>
      </c>
      <c r="L129" s="143" t="s">
        <v>201</v>
      </c>
    </row>
    <row r="130" spans="1:12" ht="14.4" x14ac:dyDescent="0.3">
      <c r="A130" s="158"/>
      <c r="B130" s="161"/>
      <c r="C130" s="162"/>
      <c r="D130" s="162"/>
      <c r="E130" s="140">
        <v>1</v>
      </c>
      <c r="F130" s="140">
        <v>24</v>
      </c>
      <c r="G130" s="140">
        <v>0.25</v>
      </c>
      <c r="H130" s="140">
        <f t="shared" si="14"/>
        <v>0.25</v>
      </c>
      <c r="I130" s="141" t="s">
        <v>186</v>
      </c>
      <c r="J130" s="157">
        <v>0</v>
      </c>
      <c r="K130" s="141">
        <v>0</v>
      </c>
      <c r="L130" s="143" t="s">
        <v>201</v>
      </c>
    </row>
    <row r="131" spans="1:12" ht="14.4" x14ac:dyDescent="0.3">
      <c r="A131" s="163"/>
      <c r="B131" s="159"/>
      <c r="C131" s="160"/>
      <c r="D131" s="160"/>
      <c r="E131" s="140">
        <v>1</v>
      </c>
      <c r="F131" s="140">
        <v>24</v>
      </c>
      <c r="G131" s="140">
        <v>0.25</v>
      </c>
      <c r="H131" s="140">
        <f t="shared" si="14"/>
        <v>0.25</v>
      </c>
      <c r="I131" s="141" t="s">
        <v>180</v>
      </c>
      <c r="J131" s="157">
        <v>0</v>
      </c>
      <c r="K131" s="141">
        <v>0</v>
      </c>
      <c r="L131" s="143" t="s">
        <v>201</v>
      </c>
    </row>
    <row r="132" spans="1:12" ht="23.4" customHeight="1" x14ac:dyDescent="0.3">
      <c r="A132" s="51" t="s">
        <v>55</v>
      </c>
      <c r="B132" s="68" t="s">
        <v>56</v>
      </c>
      <c r="C132" s="65" t="s">
        <v>72</v>
      </c>
      <c r="D132" s="54" t="s">
        <v>75</v>
      </c>
      <c r="E132" s="7">
        <v>5</v>
      </c>
      <c r="F132" s="7">
        <v>4</v>
      </c>
      <c r="G132" s="7">
        <v>2</v>
      </c>
      <c r="H132" s="7">
        <f t="shared" ref="H132" si="15">+E132*F132*G132</f>
        <v>40</v>
      </c>
      <c r="I132" s="15" t="s">
        <v>112</v>
      </c>
      <c r="J132" s="177" t="s">
        <v>234</v>
      </c>
      <c r="K132" s="15">
        <v>1</v>
      </c>
      <c r="L132" s="151" t="s">
        <v>235</v>
      </c>
    </row>
    <row r="133" spans="1:12" ht="19.95" customHeight="1" x14ac:dyDescent="0.3">
      <c r="A133" s="52"/>
      <c r="B133" s="69"/>
      <c r="C133" s="66"/>
      <c r="D133" s="56"/>
      <c r="E133" s="7">
        <v>5</v>
      </c>
      <c r="F133" s="7">
        <v>4</v>
      </c>
      <c r="G133" s="7">
        <v>2</v>
      </c>
      <c r="H133" s="7">
        <f t="shared" ref="H133:H134" si="16">+E133*F133*G133</f>
        <v>40</v>
      </c>
      <c r="I133" s="15" t="s">
        <v>136</v>
      </c>
      <c r="J133" s="178"/>
      <c r="K133" s="15"/>
      <c r="L133" s="145" t="s">
        <v>201</v>
      </c>
    </row>
    <row r="134" spans="1:12" ht="22.2" customHeight="1" x14ac:dyDescent="0.3">
      <c r="A134" s="53"/>
      <c r="B134" s="70"/>
      <c r="C134" s="67"/>
      <c r="D134" s="55"/>
      <c r="E134" s="7">
        <v>5</v>
      </c>
      <c r="F134" s="7">
        <v>4</v>
      </c>
      <c r="G134" s="7">
        <v>2</v>
      </c>
      <c r="H134" s="7">
        <f t="shared" si="16"/>
        <v>40</v>
      </c>
      <c r="I134" s="15" t="s">
        <v>137</v>
      </c>
      <c r="J134" s="179"/>
      <c r="K134" s="15">
        <v>1</v>
      </c>
      <c r="L134" s="165" t="s">
        <v>214</v>
      </c>
    </row>
    <row r="135" spans="1:12" ht="22.2" customHeight="1" x14ac:dyDescent="0.3">
      <c r="A135" s="2" t="s">
        <v>57</v>
      </c>
      <c r="B135" s="24" t="s">
        <v>58</v>
      </c>
      <c r="C135" s="8" t="s">
        <v>79</v>
      </c>
      <c r="D135" s="7" t="s">
        <v>67</v>
      </c>
      <c r="E135" s="7">
        <v>1</v>
      </c>
      <c r="F135" s="7">
        <v>8</v>
      </c>
      <c r="G135" s="7">
        <v>4</v>
      </c>
      <c r="H135" s="7">
        <f>+E135*F135*G135</f>
        <v>32</v>
      </c>
      <c r="I135" s="15" t="s">
        <v>124</v>
      </c>
      <c r="J135" s="137" t="s">
        <v>215</v>
      </c>
      <c r="K135" s="15">
        <v>1</v>
      </c>
      <c r="L135" s="135" t="s">
        <v>216</v>
      </c>
    </row>
    <row r="136" spans="1:12" ht="30" x14ac:dyDescent="0.3">
      <c r="A136" s="2" t="s">
        <v>59</v>
      </c>
      <c r="B136" s="24" t="s">
        <v>60</v>
      </c>
      <c r="C136" s="8" t="s">
        <v>72</v>
      </c>
      <c r="D136" s="7" t="s">
        <v>75</v>
      </c>
      <c r="E136" s="7">
        <v>1</v>
      </c>
      <c r="F136" s="7">
        <v>8</v>
      </c>
      <c r="G136" s="7">
        <v>4</v>
      </c>
      <c r="H136" s="7">
        <f>+E136*F136*G136</f>
        <v>32</v>
      </c>
      <c r="I136" s="15" t="s">
        <v>115</v>
      </c>
      <c r="J136" s="137">
        <v>1</v>
      </c>
      <c r="K136" s="15">
        <v>1</v>
      </c>
      <c r="L136" s="144" t="s">
        <v>213</v>
      </c>
    </row>
    <row r="137" spans="1:12" ht="24" customHeight="1" x14ac:dyDescent="0.3">
      <c r="A137" s="2" t="s">
        <v>61</v>
      </c>
      <c r="B137" s="24" t="s">
        <v>62</v>
      </c>
      <c r="C137" s="8" t="s">
        <v>85</v>
      </c>
      <c r="D137" s="7" t="s">
        <v>86</v>
      </c>
      <c r="E137" s="7">
        <v>1</v>
      </c>
      <c r="F137" s="7">
        <v>12</v>
      </c>
      <c r="G137" s="7">
        <v>3</v>
      </c>
      <c r="H137" s="7">
        <f>+E137*F137*G137</f>
        <v>36</v>
      </c>
      <c r="I137" s="7" t="s">
        <v>124</v>
      </c>
      <c r="J137" s="151" t="s">
        <v>208</v>
      </c>
      <c r="K137" s="153">
        <v>1</v>
      </c>
      <c r="L137" s="152" t="s">
        <v>214</v>
      </c>
    </row>
  </sheetData>
  <autoFilter ref="A2:L137" xr:uid="{00000000-0009-0000-0000-000000000000}"/>
  <mergeCells count="89">
    <mergeCell ref="K65:K71"/>
    <mergeCell ref="K59:K64"/>
    <mergeCell ref="K53:K58"/>
    <mergeCell ref="K84:K89"/>
    <mergeCell ref="K78:K83"/>
    <mergeCell ref="J78:J83"/>
    <mergeCell ref="J84:J89"/>
    <mergeCell ref="D100:D102"/>
    <mergeCell ref="D132:D134"/>
    <mergeCell ref="J59:J64"/>
    <mergeCell ref="J65:J71"/>
    <mergeCell ref="J72:J77"/>
    <mergeCell ref="J132:J134"/>
    <mergeCell ref="J28:J34"/>
    <mergeCell ref="J35:J40"/>
    <mergeCell ref="J41:J46"/>
    <mergeCell ref="J47:J52"/>
    <mergeCell ref="J53:J58"/>
    <mergeCell ref="C132:C134"/>
    <mergeCell ref="B132:B134"/>
    <mergeCell ref="A132:A134"/>
    <mergeCell ref="B100:B102"/>
    <mergeCell ref="A100:A102"/>
    <mergeCell ref="C100:C102"/>
    <mergeCell ref="C105:C107"/>
    <mergeCell ref="B103:B107"/>
    <mergeCell ref="B108:B111"/>
    <mergeCell ref="C108:C111"/>
    <mergeCell ref="A103:A111"/>
    <mergeCell ref="B116:B117"/>
    <mergeCell ref="B118:B119"/>
    <mergeCell ref="B120:B121"/>
    <mergeCell ref="B122:B123"/>
    <mergeCell ref="B112:B113"/>
    <mergeCell ref="D105:D107"/>
    <mergeCell ref="D103:D104"/>
    <mergeCell ref="C78:C83"/>
    <mergeCell ref="D78:D83"/>
    <mergeCell ref="B84:B89"/>
    <mergeCell ref="C84:C89"/>
    <mergeCell ref="D84:D89"/>
    <mergeCell ref="D53:D58"/>
    <mergeCell ref="B59:B64"/>
    <mergeCell ref="C59:C64"/>
    <mergeCell ref="D59:D64"/>
    <mergeCell ref="A28:A89"/>
    <mergeCell ref="B78:B83"/>
    <mergeCell ref="C47:C52"/>
    <mergeCell ref="D47:D52"/>
    <mergeCell ref="B47:B52"/>
    <mergeCell ref="B65:B71"/>
    <mergeCell ref="C65:C71"/>
    <mergeCell ref="A3:A6"/>
    <mergeCell ref="A90:A94"/>
    <mergeCell ref="B90:B94"/>
    <mergeCell ref="B95:B99"/>
    <mergeCell ref="A95:A99"/>
    <mergeCell ref="B53:B58"/>
    <mergeCell ref="D28:D34"/>
    <mergeCell ref="B35:B40"/>
    <mergeCell ref="C35:C40"/>
    <mergeCell ref="D35:D40"/>
    <mergeCell ref="B41:B46"/>
    <mergeCell ref="C41:C46"/>
    <mergeCell ref="D41:D46"/>
    <mergeCell ref="A7:A27"/>
    <mergeCell ref="A116:A123"/>
    <mergeCell ref="C103:C104"/>
    <mergeCell ref="B28:B34"/>
    <mergeCell ref="C28:C34"/>
    <mergeCell ref="C112:C113"/>
    <mergeCell ref="C90:C99"/>
    <mergeCell ref="C53:C58"/>
    <mergeCell ref="A127:A131"/>
    <mergeCell ref="C127:C128"/>
    <mergeCell ref="C129:C131"/>
    <mergeCell ref="D65:D71"/>
    <mergeCell ref="B72:B77"/>
    <mergeCell ref="C72:C77"/>
    <mergeCell ref="D127:D128"/>
    <mergeCell ref="D129:D131"/>
    <mergeCell ref="B129:B131"/>
    <mergeCell ref="B127:B128"/>
    <mergeCell ref="A112:A113"/>
    <mergeCell ref="D95:D99"/>
    <mergeCell ref="D112:D113"/>
    <mergeCell ref="D90:D94"/>
    <mergeCell ref="D72:D77"/>
    <mergeCell ref="D108:D111"/>
  </mergeCells>
  <phoneticPr fontId="16" type="noConversion"/>
  <conditionalFormatting sqref="E124:H124 H125:H137 H3:I3 H138:L1048576 G2:L2 K72:K78 K84 I126:K132 I5:L5 K6:K13 K14:L14 K15:K17 K20 I6:I27 I4 K4:L4 K18:L19 K21:L24 L33 K35:K53 K59:L59 K65:L65 L83 I135:L136 K25:K27 K3 I137 K137:L137 I113:K123 I124:L125 I133:I134 K133:K134">
    <cfRule type="cellIs" dxfId="57" priority="121" operator="equal">
      <formula>"NA"</formula>
    </cfRule>
  </conditionalFormatting>
  <conditionalFormatting sqref="G6:H6">
    <cfRule type="cellIs" dxfId="56" priority="158" operator="equal">
      <formula>"NA"</formula>
    </cfRule>
  </conditionalFormatting>
  <conditionalFormatting sqref="H112:H123">
    <cfRule type="cellIs" dxfId="55" priority="83" operator="equal">
      <formula>"NA"</formula>
    </cfRule>
  </conditionalFormatting>
  <conditionalFormatting sqref="H4:H5">
    <cfRule type="cellIs" dxfId="54" priority="116" operator="equal">
      <formula>"NA"</formula>
    </cfRule>
  </conditionalFormatting>
  <conditionalFormatting sqref="I36:I89 I107 K107:L107 I111 I112:K112 I108:K110 I90:K106 K111:L111">
    <cfRule type="cellIs" dxfId="53" priority="36" operator="equal">
      <formula>"NA"</formula>
    </cfRule>
  </conditionalFormatting>
  <conditionalFormatting sqref="I28:K28 I29:I34 K29:K34 I35:J35">
    <cfRule type="cellIs" dxfId="52" priority="38" operator="equal">
      <formula>"NA"</formula>
    </cfRule>
  </conditionalFormatting>
  <conditionalFormatting sqref="J41">
    <cfRule type="cellIs" dxfId="51" priority="35" operator="equal">
      <formula>"NA"</formula>
    </cfRule>
  </conditionalFormatting>
  <conditionalFormatting sqref="J47">
    <cfRule type="cellIs" dxfId="50" priority="34" operator="equal">
      <formula>"NA"</formula>
    </cfRule>
  </conditionalFormatting>
  <conditionalFormatting sqref="J53">
    <cfRule type="cellIs" dxfId="49" priority="33" operator="equal">
      <formula>"NA"</formula>
    </cfRule>
  </conditionalFormatting>
  <conditionalFormatting sqref="J59">
    <cfRule type="cellIs" dxfId="48" priority="32" operator="equal">
      <formula>"NA"</formula>
    </cfRule>
  </conditionalFormatting>
  <conditionalFormatting sqref="J65">
    <cfRule type="cellIs" dxfId="47" priority="31" operator="equal">
      <formula>"NA"</formula>
    </cfRule>
  </conditionalFormatting>
  <conditionalFormatting sqref="J72">
    <cfRule type="cellIs" dxfId="46" priority="30" operator="equal">
      <formula>"NA"</formula>
    </cfRule>
  </conditionalFormatting>
  <conditionalFormatting sqref="J78 E103:H111">
    <cfRule type="cellIs" dxfId="45" priority="63" operator="equal">
      <formula>"NA"</formula>
    </cfRule>
  </conditionalFormatting>
  <conditionalFormatting sqref="J84">
    <cfRule type="cellIs" dxfId="44" priority="29" operator="equal">
      <formula>"NA"</formula>
    </cfRule>
  </conditionalFormatting>
  <conditionalFormatting sqref="E136">
    <cfRule type="cellIs" dxfId="43" priority="110" operator="equal">
      <formula>"NA"</formula>
    </cfRule>
  </conditionalFormatting>
  <conditionalFormatting sqref="H7:H102 E90:E99 E127:G131">
    <cfRule type="cellIs" dxfId="42" priority="155" operator="equal">
      <formula>"NA"</formula>
    </cfRule>
  </conditionalFormatting>
  <conditionalFormatting sqref="J26">
    <cfRule type="cellIs" dxfId="41" priority="3" operator="equal">
      <formula>"NA"</formula>
    </cfRule>
  </conditionalFormatting>
  <conditionalFormatting sqref="J6">
    <cfRule type="cellIs" dxfId="40" priority="27" operator="equal">
      <formula>"NA"</formula>
    </cfRule>
  </conditionalFormatting>
  <conditionalFormatting sqref="L91">
    <cfRule type="cellIs" dxfId="38" priority="25" operator="equal">
      <formula>"NA"</formula>
    </cfRule>
  </conditionalFormatting>
  <conditionalFormatting sqref="L105">
    <cfRule type="cellIs" dxfId="37" priority="24" operator="equal">
      <formula>"NA"</formula>
    </cfRule>
  </conditionalFormatting>
  <conditionalFormatting sqref="L110">
    <cfRule type="cellIs" dxfId="36" priority="23" operator="equal">
      <formula>"NA"</formula>
    </cfRule>
  </conditionalFormatting>
  <conditionalFormatting sqref="J7">
    <cfRule type="cellIs" dxfId="35" priority="22" operator="equal">
      <formula>"NA"</formula>
    </cfRule>
  </conditionalFormatting>
  <conditionalFormatting sqref="J8">
    <cfRule type="cellIs" dxfId="34" priority="21" operator="equal">
      <formula>"NA"</formula>
    </cfRule>
  </conditionalFormatting>
  <conditionalFormatting sqref="J9">
    <cfRule type="cellIs" dxfId="33" priority="20" operator="equal">
      <formula>"NA"</formula>
    </cfRule>
  </conditionalFormatting>
  <conditionalFormatting sqref="J10">
    <cfRule type="cellIs" dxfId="32" priority="19" operator="equal">
      <formula>"NA"</formula>
    </cfRule>
  </conditionalFormatting>
  <conditionalFormatting sqref="J11">
    <cfRule type="cellIs" dxfId="31" priority="18" operator="equal">
      <formula>"NA"</formula>
    </cfRule>
  </conditionalFormatting>
  <conditionalFormatting sqref="J12">
    <cfRule type="cellIs" dxfId="30" priority="17" operator="equal">
      <formula>"NA"</formula>
    </cfRule>
  </conditionalFormatting>
  <conditionalFormatting sqref="J13">
    <cfRule type="cellIs" dxfId="29" priority="16" operator="equal">
      <formula>"NA"</formula>
    </cfRule>
  </conditionalFormatting>
  <conditionalFormatting sqref="J14">
    <cfRule type="cellIs" dxfId="28" priority="15" operator="equal">
      <formula>"NA"</formula>
    </cfRule>
  </conditionalFormatting>
  <conditionalFormatting sqref="J15">
    <cfRule type="cellIs" dxfId="27" priority="14" operator="equal">
      <formula>"NA"</formula>
    </cfRule>
  </conditionalFormatting>
  <conditionalFormatting sqref="J16">
    <cfRule type="cellIs" dxfId="26" priority="13" operator="equal">
      <formula>"NA"</formula>
    </cfRule>
  </conditionalFormatting>
  <conditionalFormatting sqref="J17">
    <cfRule type="cellIs" dxfId="25" priority="12" operator="equal">
      <formula>"NA"</formula>
    </cfRule>
  </conditionalFormatting>
  <conditionalFormatting sqref="J18">
    <cfRule type="cellIs" dxfId="24" priority="11" operator="equal">
      <formula>"NA"</formula>
    </cfRule>
  </conditionalFormatting>
  <conditionalFormatting sqref="J19">
    <cfRule type="cellIs" dxfId="23" priority="10" operator="equal">
      <formula>"NA"</formula>
    </cfRule>
  </conditionalFormatting>
  <conditionalFormatting sqref="J20">
    <cfRule type="cellIs" dxfId="22" priority="9" operator="equal">
      <formula>"NA"</formula>
    </cfRule>
  </conditionalFormatting>
  <conditionalFormatting sqref="J21">
    <cfRule type="cellIs" dxfId="21" priority="8" operator="equal">
      <formula>"NA"</formula>
    </cfRule>
  </conditionalFormatting>
  <conditionalFormatting sqref="J22">
    <cfRule type="cellIs" dxfId="20" priority="7" operator="equal">
      <formula>"NA"</formula>
    </cfRule>
  </conditionalFormatting>
  <conditionalFormatting sqref="J23">
    <cfRule type="cellIs" dxfId="19" priority="6" operator="equal">
      <formula>"NA"</formula>
    </cfRule>
  </conditionalFormatting>
  <conditionalFormatting sqref="J24">
    <cfRule type="cellIs" dxfId="18" priority="5" operator="equal">
      <formula>"NA"</formula>
    </cfRule>
  </conditionalFormatting>
  <conditionalFormatting sqref="J25">
    <cfRule type="cellIs" dxfId="17" priority="4" operator="equal">
      <formula>"NA"</formula>
    </cfRule>
  </conditionalFormatting>
  <conditionalFormatting sqref="J27">
    <cfRule type="cellIs" dxfId="15" priority="2" operator="equal">
      <formula>"NA"</formula>
    </cfRule>
  </conditionalFormatting>
  <conditionalFormatting sqref="L126">
    <cfRule type="cellIs" dxfId="0" priority="1" operator="equal">
      <formula>"NA"</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EFBB-2FA3-4363-B094-14CBA56A4E96}">
  <dimension ref="A1:N8"/>
  <sheetViews>
    <sheetView tabSelected="1" zoomScale="90" zoomScaleNormal="90" workbookViewId="0">
      <selection activeCell="L11" sqref="L11"/>
    </sheetView>
  </sheetViews>
  <sheetFormatPr baseColWidth="10" defaultColWidth="11.44140625" defaultRowHeight="13.8" x14ac:dyDescent="0.3"/>
  <cols>
    <col min="1" max="1" width="26.44140625" style="5" customWidth="1"/>
    <col min="2" max="2" width="57.5546875" style="6" customWidth="1"/>
    <col min="3" max="3" width="28" style="6" bestFit="1" customWidth="1"/>
    <col min="4" max="4" width="17" style="5" customWidth="1"/>
    <col min="5" max="6" width="11.6640625" style="5" hidden="1" customWidth="1"/>
    <col min="7" max="7" width="10.6640625" style="5" hidden="1" customWidth="1"/>
    <col min="8" max="9" width="10.44140625" style="5" hidden="1" customWidth="1"/>
    <col min="10" max="10" width="16.109375" style="5" customWidth="1"/>
    <col min="11" max="12" width="16.6640625" style="5" customWidth="1"/>
    <col min="13" max="13" width="18.109375" style="5" customWidth="1"/>
    <col min="14" max="14" width="21.109375" style="5" customWidth="1"/>
    <col min="15" max="16384" width="11.44140625" style="4"/>
  </cols>
  <sheetData>
    <row r="1" spans="1:14" ht="33" customHeight="1" x14ac:dyDescent="0.3">
      <c r="B1" s="86" t="s">
        <v>205</v>
      </c>
      <c r="C1" s="87"/>
      <c r="D1" s="10"/>
      <c r="E1" s="83" t="s">
        <v>101</v>
      </c>
      <c r="F1" s="84"/>
      <c r="G1" s="84"/>
      <c r="H1" s="84"/>
      <c r="I1" s="85"/>
      <c r="J1" s="9"/>
      <c r="K1" s="45"/>
      <c r="L1" s="45"/>
      <c r="M1" s="45"/>
      <c r="N1" s="45"/>
    </row>
    <row r="2" spans="1:14" s="5" customFormat="1" ht="96.75" customHeight="1" x14ac:dyDescent="0.3">
      <c r="A2" s="1" t="s">
        <v>89</v>
      </c>
      <c r="B2" s="1" t="s">
        <v>90</v>
      </c>
      <c r="C2" s="16" t="s">
        <v>91</v>
      </c>
      <c r="D2" s="1" t="s">
        <v>92</v>
      </c>
      <c r="E2" s="1" t="s">
        <v>95</v>
      </c>
      <c r="F2" s="1" t="s">
        <v>96</v>
      </c>
      <c r="G2" s="1" t="s">
        <v>97</v>
      </c>
      <c r="H2" s="1" t="s">
        <v>98</v>
      </c>
      <c r="I2" s="1" t="s">
        <v>99</v>
      </c>
      <c r="J2" s="1" t="s">
        <v>111</v>
      </c>
      <c r="K2" s="1" t="s">
        <v>95</v>
      </c>
      <c r="L2" s="1" t="s">
        <v>211</v>
      </c>
      <c r="M2" s="1" t="s">
        <v>196</v>
      </c>
      <c r="N2" s="1" t="s">
        <v>200</v>
      </c>
    </row>
    <row r="3" spans="1:14" ht="32.25" customHeight="1" x14ac:dyDescent="0.3">
      <c r="A3" s="62" t="s">
        <v>88</v>
      </c>
      <c r="B3" s="139" t="s">
        <v>94</v>
      </c>
      <c r="C3" s="146" t="s">
        <v>93</v>
      </c>
      <c r="D3" s="140" t="s">
        <v>67</v>
      </c>
      <c r="E3" s="140">
        <v>2</v>
      </c>
      <c r="F3" s="140">
        <v>10</v>
      </c>
      <c r="G3" s="140">
        <v>2</v>
      </c>
      <c r="H3" s="140">
        <f t="shared" ref="H3:H7" si="0">+E3*F3*G3</f>
        <v>40</v>
      </c>
      <c r="I3" s="140" t="e">
        <f>+H3*#REF!</f>
        <v>#REF!</v>
      </c>
      <c r="J3" s="141" t="s">
        <v>112</v>
      </c>
      <c r="K3" s="140">
        <v>6</v>
      </c>
      <c r="L3" s="140">
        <v>0</v>
      </c>
      <c r="M3" s="140">
        <v>0</v>
      </c>
      <c r="N3" s="180" t="s">
        <v>201</v>
      </c>
    </row>
    <row r="4" spans="1:14" ht="28.8" x14ac:dyDescent="0.3">
      <c r="A4" s="62"/>
      <c r="B4" s="24" t="s">
        <v>2</v>
      </c>
      <c r="C4" s="18" t="s">
        <v>93</v>
      </c>
      <c r="D4" s="7" t="s">
        <v>67</v>
      </c>
      <c r="E4" s="7">
        <v>1</v>
      </c>
      <c r="F4" s="7">
        <v>10</v>
      </c>
      <c r="G4" s="7">
        <v>2</v>
      </c>
      <c r="H4" s="7">
        <f t="shared" si="0"/>
        <v>20</v>
      </c>
      <c r="I4" s="7" t="e">
        <f>+H4*#REF!</f>
        <v>#REF!</v>
      </c>
      <c r="J4" s="15" t="s">
        <v>153</v>
      </c>
      <c r="K4" s="7">
        <v>2</v>
      </c>
      <c r="L4" s="137" t="s">
        <v>208</v>
      </c>
      <c r="M4" s="7">
        <v>2</v>
      </c>
      <c r="N4" s="136" t="s">
        <v>216</v>
      </c>
    </row>
    <row r="5" spans="1:14" ht="27" customHeight="1" x14ac:dyDescent="0.3">
      <c r="A5" s="62"/>
      <c r="B5" s="60" t="s">
        <v>3</v>
      </c>
      <c r="C5" s="8" t="s">
        <v>68</v>
      </c>
      <c r="D5" s="7" t="s">
        <v>67</v>
      </c>
      <c r="E5" s="7">
        <v>2</v>
      </c>
      <c r="F5" s="7">
        <v>10</v>
      </c>
      <c r="G5" s="7">
        <v>3</v>
      </c>
      <c r="H5" s="7">
        <f t="shared" si="0"/>
        <v>60</v>
      </c>
      <c r="I5" s="7" t="e">
        <f>+H5*#REF!</f>
        <v>#REF!</v>
      </c>
      <c r="J5" s="15" t="s">
        <v>154</v>
      </c>
      <c r="K5" s="20">
        <v>2</v>
      </c>
      <c r="L5" s="148" t="s">
        <v>210</v>
      </c>
      <c r="M5" s="7">
        <v>0</v>
      </c>
      <c r="N5" s="181" t="s">
        <v>201</v>
      </c>
    </row>
    <row r="6" spans="1:14" ht="20.399999999999999" customHeight="1" x14ac:dyDescent="0.3">
      <c r="A6" s="62"/>
      <c r="B6" s="61"/>
      <c r="C6" s="147" t="s">
        <v>68</v>
      </c>
      <c r="D6" s="140" t="s">
        <v>67</v>
      </c>
      <c r="E6" s="140"/>
      <c r="F6" s="140"/>
      <c r="G6" s="140"/>
      <c r="H6" s="140"/>
      <c r="I6" s="140"/>
      <c r="J6" s="141" t="s">
        <v>187</v>
      </c>
      <c r="K6" s="140">
        <v>1</v>
      </c>
      <c r="L6" s="140">
        <v>0</v>
      </c>
      <c r="M6" s="140">
        <v>0</v>
      </c>
      <c r="N6" s="180" t="s">
        <v>201</v>
      </c>
    </row>
    <row r="7" spans="1:14" ht="37.200000000000003" customHeight="1" x14ac:dyDescent="0.3">
      <c r="A7" s="62"/>
      <c r="B7" s="24" t="s">
        <v>4</v>
      </c>
      <c r="C7" s="8" t="s">
        <v>68</v>
      </c>
      <c r="D7" s="7" t="s">
        <v>67</v>
      </c>
      <c r="E7" s="7">
        <v>1</v>
      </c>
      <c r="F7" s="7">
        <v>6</v>
      </c>
      <c r="G7" s="7">
        <v>2</v>
      </c>
      <c r="H7" s="7">
        <f t="shared" si="0"/>
        <v>12</v>
      </c>
      <c r="I7" s="7" t="e">
        <f>+H7*#REF!</f>
        <v>#REF!</v>
      </c>
      <c r="J7" s="15" t="s">
        <v>155</v>
      </c>
      <c r="K7" s="7">
        <v>1</v>
      </c>
      <c r="L7" s="137" t="s">
        <v>207</v>
      </c>
      <c r="M7" s="7">
        <v>1</v>
      </c>
      <c r="N7" s="136" t="s">
        <v>236</v>
      </c>
    </row>
    <row r="8" spans="1:14" ht="60" x14ac:dyDescent="0.3">
      <c r="A8" s="2" t="s">
        <v>61</v>
      </c>
      <c r="B8" s="24" t="s">
        <v>62</v>
      </c>
      <c r="C8" s="8" t="s">
        <v>68</v>
      </c>
      <c r="D8" s="7" t="s">
        <v>86</v>
      </c>
      <c r="E8" s="7">
        <v>1</v>
      </c>
      <c r="F8" s="7">
        <v>12</v>
      </c>
      <c r="G8" s="7">
        <v>3</v>
      </c>
      <c r="H8" s="7">
        <f>+E8*F8*G8</f>
        <v>36</v>
      </c>
      <c r="I8" s="7" t="e">
        <f>+H8*#REF!</f>
        <v>#REF!</v>
      </c>
      <c r="J8" s="15" t="s">
        <v>153</v>
      </c>
      <c r="K8" s="7">
        <v>1</v>
      </c>
      <c r="L8" s="136" t="s">
        <v>208</v>
      </c>
      <c r="M8" s="7">
        <v>1</v>
      </c>
      <c r="N8" s="136" t="s">
        <v>216</v>
      </c>
    </row>
  </sheetData>
  <autoFilter ref="A2:J8" xr:uid="{00000000-0009-0000-0000-000000000000}"/>
  <mergeCells count="4">
    <mergeCell ref="E1:I1"/>
    <mergeCell ref="A3:A7"/>
    <mergeCell ref="B5:B6"/>
    <mergeCell ref="B1:C1"/>
  </mergeCells>
  <conditionalFormatting sqref="G2:J2 H3:J8 M2:N2 M4:N4 M3 M7:N8 M5:M6 H9:N1048576">
    <cfRule type="cellIs" dxfId="14" priority="14" operator="equal">
      <formula>"NA"</formula>
    </cfRule>
  </conditionalFormatting>
  <conditionalFormatting sqref="L2:L3 L5:L7">
    <cfRule type="cellIs" dxfId="13" priority="1" operator="equal">
      <formula>"NA"</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0091-C7F3-4C55-A04A-01A19127CAB2}">
  <dimension ref="A1:T143"/>
  <sheetViews>
    <sheetView view="pageBreakPreview" topLeftCell="A3" zoomScale="80" zoomScaleNormal="80" zoomScaleSheetLayoutView="80" workbookViewId="0">
      <pane ySplit="1" topLeftCell="A4" activePane="bottomLeft" state="frozen"/>
      <selection activeCell="A3" sqref="A3"/>
      <selection pane="bottomLeft" activeCell="E4" sqref="E4"/>
    </sheetView>
  </sheetViews>
  <sheetFormatPr baseColWidth="10" defaultColWidth="11.44140625" defaultRowHeight="13.8" x14ac:dyDescent="0.3"/>
  <cols>
    <col min="1" max="1" width="26.44140625" style="5" customWidth="1"/>
    <col min="2" max="2" width="57.5546875" style="6" customWidth="1"/>
    <col min="3" max="3" width="28" style="6" bestFit="1" customWidth="1"/>
    <col min="4" max="4" width="17" style="5" customWidth="1"/>
    <col min="5" max="6" width="11.6640625" style="5" customWidth="1"/>
    <col min="7" max="7" width="10.6640625" style="5" customWidth="1"/>
    <col min="8" max="9" width="10.44140625" style="5" customWidth="1"/>
    <col min="10" max="10" width="19.44140625" style="5" customWidth="1"/>
    <col min="11" max="15" width="10.44140625" style="5" customWidth="1"/>
    <col min="16" max="16" width="10" style="5" customWidth="1"/>
    <col min="17" max="17" width="26.6640625" style="4" customWidth="1"/>
    <col min="18" max="18" width="28" style="4" customWidth="1"/>
    <col min="19" max="19" width="14.33203125" style="4" bestFit="1" customWidth="1"/>
    <col min="20" max="16384" width="11.44140625" style="4"/>
  </cols>
  <sheetData>
    <row r="1" spans="1:18" ht="20.25" hidden="1" customHeight="1" x14ac:dyDescent="0.3">
      <c r="A1" s="4"/>
      <c r="B1" s="4"/>
      <c r="D1" s="5" t="s">
        <v>108</v>
      </c>
      <c r="E1" s="5">
        <v>30</v>
      </c>
      <c r="F1" s="5" t="s">
        <v>100</v>
      </c>
      <c r="G1" s="13"/>
      <c r="H1" s="13"/>
      <c r="I1" s="13"/>
      <c r="J1" s="12"/>
      <c r="K1" s="13"/>
      <c r="L1" s="13"/>
      <c r="M1" s="13"/>
      <c r="N1" s="13"/>
      <c r="O1" s="13"/>
      <c r="P1" s="13"/>
    </row>
    <row r="2" spans="1:18" ht="33" hidden="1" customHeight="1" x14ac:dyDescent="0.3">
      <c r="D2" s="10"/>
      <c r="E2" s="83" t="s">
        <v>101</v>
      </c>
      <c r="F2" s="84"/>
      <c r="G2" s="84"/>
      <c r="H2" s="84"/>
      <c r="I2" s="85"/>
      <c r="J2" s="9"/>
      <c r="K2" s="122" t="s">
        <v>102</v>
      </c>
      <c r="L2" s="122"/>
      <c r="M2" s="122"/>
      <c r="N2" s="122"/>
      <c r="O2" s="122"/>
      <c r="P2" s="122"/>
    </row>
    <row r="3" spans="1:18" s="5" customFormat="1" ht="55.2" x14ac:dyDescent="0.3">
      <c r="A3" s="1" t="s">
        <v>89</v>
      </c>
      <c r="B3" s="1" t="s">
        <v>90</v>
      </c>
      <c r="C3" s="16" t="s">
        <v>91</v>
      </c>
      <c r="D3" s="1" t="s">
        <v>92</v>
      </c>
      <c r="E3" s="1" t="s">
        <v>95</v>
      </c>
      <c r="F3" s="1" t="s">
        <v>96</v>
      </c>
      <c r="G3" s="1" t="s">
        <v>97</v>
      </c>
      <c r="H3" s="1" t="s">
        <v>98</v>
      </c>
      <c r="I3" s="1" t="s">
        <v>99</v>
      </c>
      <c r="J3" s="1" t="s">
        <v>111</v>
      </c>
      <c r="K3" s="21" t="s">
        <v>103</v>
      </c>
      <c r="L3" s="1" t="s">
        <v>105</v>
      </c>
      <c r="M3" s="1" t="s">
        <v>104</v>
      </c>
      <c r="N3" s="1" t="s">
        <v>106</v>
      </c>
      <c r="O3" s="1" t="s">
        <v>107</v>
      </c>
      <c r="P3" s="1" t="s">
        <v>109</v>
      </c>
      <c r="Q3" s="1" t="s">
        <v>194</v>
      </c>
      <c r="R3" s="1" t="s">
        <v>195</v>
      </c>
    </row>
    <row r="4" spans="1:18" ht="32.25" customHeight="1" x14ac:dyDescent="0.3">
      <c r="A4" s="123" t="s">
        <v>0</v>
      </c>
      <c r="B4" s="24" t="s">
        <v>1</v>
      </c>
      <c r="C4" s="19" t="s">
        <v>144</v>
      </c>
      <c r="D4" s="17" t="s">
        <v>67</v>
      </c>
      <c r="E4" s="7">
        <v>3</v>
      </c>
      <c r="F4" s="7">
        <v>11</v>
      </c>
      <c r="G4" s="7">
        <v>3</v>
      </c>
      <c r="H4" s="7">
        <f>+E4*F4*G4</f>
        <v>99</v>
      </c>
      <c r="I4" s="7">
        <f t="shared" ref="I4:I11" si="0">+H4*E$1</f>
        <v>2970</v>
      </c>
      <c r="J4" s="15" t="s">
        <v>112</v>
      </c>
      <c r="K4" s="7">
        <v>4</v>
      </c>
      <c r="L4" s="7">
        <v>184</v>
      </c>
      <c r="M4" s="7">
        <v>184</v>
      </c>
      <c r="N4" s="7">
        <f>+M4*K4</f>
        <v>736</v>
      </c>
      <c r="O4" s="7">
        <v>3</v>
      </c>
      <c r="P4" s="7">
        <f t="shared" ref="P4:P15" si="1">+N4*O4</f>
        <v>2208</v>
      </c>
      <c r="Q4" s="7">
        <v>0</v>
      </c>
      <c r="R4" s="7">
        <v>0</v>
      </c>
    </row>
    <row r="5" spans="1:18" ht="28.8" x14ac:dyDescent="0.3">
      <c r="A5" s="123"/>
      <c r="B5" s="25" t="s">
        <v>188</v>
      </c>
      <c r="C5" s="19" t="s">
        <v>144</v>
      </c>
      <c r="D5" s="7" t="s">
        <v>67</v>
      </c>
      <c r="E5" s="7">
        <v>2</v>
      </c>
      <c r="F5" s="7">
        <v>10</v>
      </c>
      <c r="G5" s="7">
        <v>3</v>
      </c>
      <c r="H5" s="7">
        <f t="shared" ref="H5:H11" si="2">+E5*F5*G5</f>
        <v>60</v>
      </c>
      <c r="I5" s="7">
        <f t="shared" si="0"/>
        <v>1800</v>
      </c>
      <c r="J5" s="15" t="s">
        <v>153</v>
      </c>
      <c r="K5" s="7">
        <v>3</v>
      </c>
      <c r="L5" s="7">
        <v>186</v>
      </c>
      <c r="M5" s="7">
        <v>186</v>
      </c>
      <c r="N5" s="7">
        <f t="shared" ref="N5:N68" si="3">+M5*K5</f>
        <v>558</v>
      </c>
      <c r="O5" s="7">
        <v>3</v>
      </c>
      <c r="P5" s="7">
        <f t="shared" si="1"/>
        <v>1674</v>
      </c>
      <c r="Q5" s="7">
        <v>2</v>
      </c>
      <c r="R5" s="7">
        <v>0</v>
      </c>
    </row>
    <row r="6" spans="1:18" ht="26.4" customHeight="1" x14ac:dyDescent="0.3">
      <c r="A6" s="123"/>
      <c r="B6" s="24" t="s">
        <v>4</v>
      </c>
      <c r="C6" s="19" t="s">
        <v>144</v>
      </c>
      <c r="D6" s="7" t="s">
        <v>67</v>
      </c>
      <c r="E6" s="7">
        <v>1</v>
      </c>
      <c r="F6" s="7">
        <v>8</v>
      </c>
      <c r="G6" s="7">
        <v>2</v>
      </c>
      <c r="H6" s="7">
        <f t="shared" si="2"/>
        <v>16</v>
      </c>
      <c r="I6" s="7">
        <f t="shared" si="0"/>
        <v>480</v>
      </c>
      <c r="J6" s="15" t="s">
        <v>155</v>
      </c>
      <c r="K6" s="7">
        <v>3</v>
      </c>
      <c r="L6" s="7">
        <v>184</v>
      </c>
      <c r="M6" s="7">
        <v>184</v>
      </c>
      <c r="N6" s="7">
        <f t="shared" si="3"/>
        <v>552</v>
      </c>
      <c r="O6" s="7">
        <v>2</v>
      </c>
      <c r="P6" s="7">
        <f t="shared" si="1"/>
        <v>1104</v>
      </c>
      <c r="Q6" s="7"/>
      <c r="R6" s="7"/>
    </row>
    <row r="7" spans="1:18" ht="30" customHeight="1" x14ac:dyDescent="0.3">
      <c r="A7" s="123"/>
      <c r="B7" s="24" t="s">
        <v>5</v>
      </c>
      <c r="C7" s="19" t="s">
        <v>144</v>
      </c>
      <c r="D7" s="7" t="s">
        <v>67</v>
      </c>
      <c r="E7" s="7">
        <v>1</v>
      </c>
      <c r="F7" s="7">
        <v>9</v>
      </c>
      <c r="G7" s="7">
        <v>3</v>
      </c>
      <c r="H7" s="7">
        <f t="shared" si="2"/>
        <v>27</v>
      </c>
      <c r="I7" s="7">
        <f t="shared" si="0"/>
        <v>810</v>
      </c>
      <c r="J7" s="15" t="s">
        <v>125</v>
      </c>
      <c r="K7" s="7">
        <v>3</v>
      </c>
      <c r="L7" s="7">
        <v>184</v>
      </c>
      <c r="M7" s="7">
        <v>184</v>
      </c>
      <c r="N7" s="7">
        <f t="shared" si="3"/>
        <v>552</v>
      </c>
      <c r="O7" s="7">
        <v>3</v>
      </c>
      <c r="P7" s="7">
        <f t="shared" si="1"/>
        <v>1656</v>
      </c>
      <c r="Q7" s="7"/>
      <c r="R7" s="7"/>
    </row>
    <row r="8" spans="1:18" ht="14.4" x14ac:dyDescent="0.3">
      <c r="A8" s="124" t="s">
        <v>6</v>
      </c>
      <c r="B8" s="26" t="s">
        <v>7</v>
      </c>
      <c r="C8" s="19" t="s">
        <v>144</v>
      </c>
      <c r="D8" s="7" t="s">
        <v>70</v>
      </c>
      <c r="E8" s="7">
        <v>0.5</v>
      </c>
      <c r="F8" s="7">
        <v>7</v>
      </c>
      <c r="G8" s="7">
        <v>2</v>
      </c>
      <c r="H8" s="7">
        <f t="shared" si="2"/>
        <v>7</v>
      </c>
      <c r="I8" s="7">
        <f t="shared" si="0"/>
        <v>210</v>
      </c>
      <c r="J8" s="15" t="s">
        <v>156</v>
      </c>
      <c r="K8" s="7">
        <v>1</v>
      </c>
      <c r="L8" s="7">
        <v>56</v>
      </c>
      <c r="M8" s="7">
        <v>56</v>
      </c>
      <c r="N8" s="7">
        <f t="shared" si="3"/>
        <v>56</v>
      </c>
      <c r="O8" s="7">
        <v>2</v>
      </c>
      <c r="P8" s="7">
        <f t="shared" si="1"/>
        <v>112</v>
      </c>
      <c r="Q8" s="7"/>
      <c r="R8" s="7"/>
    </row>
    <row r="9" spans="1:18" ht="27.6" x14ac:dyDescent="0.3">
      <c r="A9" s="124"/>
      <c r="B9" s="27" t="s">
        <v>189</v>
      </c>
      <c r="C9" s="19" t="s">
        <v>144</v>
      </c>
      <c r="D9" s="7" t="s">
        <v>70</v>
      </c>
      <c r="E9" s="7">
        <v>0.5</v>
      </c>
      <c r="F9" s="7">
        <v>7</v>
      </c>
      <c r="G9" s="7">
        <v>2</v>
      </c>
      <c r="H9" s="7">
        <f t="shared" si="2"/>
        <v>7</v>
      </c>
      <c r="I9" s="7">
        <f t="shared" si="0"/>
        <v>210</v>
      </c>
      <c r="J9" s="15" t="s">
        <v>156</v>
      </c>
      <c r="K9" s="7">
        <v>1</v>
      </c>
      <c r="L9" s="7">
        <v>56</v>
      </c>
      <c r="M9" s="7">
        <v>56</v>
      </c>
      <c r="N9" s="7">
        <f t="shared" si="3"/>
        <v>56</v>
      </c>
      <c r="O9" s="7">
        <v>2</v>
      </c>
      <c r="P9" s="7">
        <f t="shared" si="1"/>
        <v>112</v>
      </c>
      <c r="Q9" s="7"/>
      <c r="R9" s="7"/>
    </row>
    <row r="10" spans="1:18" ht="14.4" x14ac:dyDescent="0.3">
      <c r="A10" s="124"/>
      <c r="B10" s="24" t="s">
        <v>8</v>
      </c>
      <c r="C10" s="19" t="s">
        <v>144</v>
      </c>
      <c r="D10" s="7" t="s">
        <v>70</v>
      </c>
      <c r="E10" s="7">
        <v>0.5</v>
      </c>
      <c r="F10" s="7">
        <v>10</v>
      </c>
      <c r="G10" s="7">
        <v>3</v>
      </c>
      <c r="H10" s="7">
        <f t="shared" si="2"/>
        <v>15</v>
      </c>
      <c r="I10" s="7">
        <f t="shared" si="0"/>
        <v>450</v>
      </c>
      <c r="J10" s="15" t="s">
        <v>158</v>
      </c>
      <c r="K10" s="7">
        <v>1</v>
      </c>
      <c r="L10" s="7">
        <v>56</v>
      </c>
      <c r="M10" s="7">
        <v>56</v>
      </c>
      <c r="N10" s="7">
        <f t="shared" si="3"/>
        <v>56</v>
      </c>
      <c r="O10" s="7">
        <v>3</v>
      </c>
      <c r="P10" s="7">
        <f t="shared" si="1"/>
        <v>168</v>
      </c>
      <c r="Q10" s="7"/>
      <c r="R10" s="7"/>
    </row>
    <row r="11" spans="1:18" ht="14.4" x14ac:dyDescent="0.3">
      <c r="A11" s="124"/>
      <c r="B11" s="28" t="s">
        <v>87</v>
      </c>
      <c r="C11" s="19" t="s">
        <v>144</v>
      </c>
      <c r="D11" s="7" t="s">
        <v>70</v>
      </c>
      <c r="E11" s="7">
        <v>0.5</v>
      </c>
      <c r="F11" s="7">
        <v>12</v>
      </c>
      <c r="G11" s="7">
        <v>3</v>
      </c>
      <c r="H11" s="7">
        <f t="shared" si="2"/>
        <v>18</v>
      </c>
      <c r="I11" s="7">
        <f t="shared" si="0"/>
        <v>540</v>
      </c>
      <c r="J11" s="15" t="s">
        <v>157</v>
      </c>
      <c r="K11" s="7">
        <v>1</v>
      </c>
      <c r="L11" s="7">
        <v>46</v>
      </c>
      <c r="M11" s="7">
        <v>46</v>
      </c>
      <c r="N11" s="7">
        <f t="shared" si="3"/>
        <v>46</v>
      </c>
      <c r="O11" s="7">
        <v>3</v>
      </c>
      <c r="P11" s="7">
        <f t="shared" si="1"/>
        <v>138</v>
      </c>
      <c r="Q11" s="7"/>
      <c r="R11" s="7"/>
    </row>
    <row r="12" spans="1:18" ht="14.4" x14ac:dyDescent="0.3">
      <c r="A12" s="124"/>
      <c r="B12" s="28" t="s">
        <v>190</v>
      </c>
      <c r="C12" s="19" t="s">
        <v>144</v>
      </c>
      <c r="D12" s="7" t="s">
        <v>70</v>
      </c>
      <c r="E12" s="7">
        <v>0.5</v>
      </c>
      <c r="F12" s="7">
        <v>12</v>
      </c>
      <c r="G12" s="7">
        <v>3</v>
      </c>
      <c r="H12" s="7">
        <f t="shared" ref="H12:H15" si="4">+E12*F12*G12</f>
        <v>18</v>
      </c>
      <c r="I12" s="7">
        <f t="shared" ref="I12:I15" si="5">+H12*E$1</f>
        <v>540</v>
      </c>
      <c r="J12" s="15" t="s">
        <v>157</v>
      </c>
      <c r="K12" s="7">
        <v>1</v>
      </c>
      <c r="L12" s="7">
        <v>60</v>
      </c>
      <c r="M12" s="7">
        <v>60</v>
      </c>
      <c r="N12" s="7">
        <f t="shared" si="3"/>
        <v>60</v>
      </c>
      <c r="O12" s="7">
        <v>4</v>
      </c>
      <c r="P12" s="7">
        <f t="shared" si="1"/>
        <v>240</v>
      </c>
      <c r="Q12" s="7"/>
      <c r="R12" s="7"/>
    </row>
    <row r="13" spans="1:18" ht="14.4" x14ac:dyDescent="0.3">
      <c r="A13" s="124"/>
      <c r="B13" s="23" t="s">
        <v>146</v>
      </c>
      <c r="C13" s="29" t="s">
        <v>144</v>
      </c>
      <c r="D13" s="30" t="s">
        <v>70</v>
      </c>
      <c r="E13" s="30">
        <v>0</v>
      </c>
      <c r="F13" s="31">
        <v>0</v>
      </c>
      <c r="G13" s="30">
        <v>0</v>
      </c>
      <c r="H13" s="30">
        <f t="shared" si="4"/>
        <v>0</v>
      </c>
      <c r="I13" s="30">
        <f t="shared" si="5"/>
        <v>0</v>
      </c>
      <c r="J13" s="32" t="s">
        <v>159</v>
      </c>
      <c r="K13" s="31">
        <v>0</v>
      </c>
      <c r="L13" s="31">
        <v>0</v>
      </c>
      <c r="M13" s="31">
        <v>0</v>
      </c>
      <c r="N13" s="30">
        <f t="shared" si="3"/>
        <v>0</v>
      </c>
      <c r="O13" s="30">
        <v>0</v>
      </c>
      <c r="P13" s="30">
        <f t="shared" si="1"/>
        <v>0</v>
      </c>
      <c r="Q13" s="30"/>
      <c r="R13" s="30"/>
    </row>
    <row r="14" spans="1:18" ht="28.5" customHeight="1" x14ac:dyDescent="0.3">
      <c r="A14" s="124"/>
      <c r="B14" s="37" t="s">
        <v>147</v>
      </c>
      <c r="C14" s="19" t="s">
        <v>144</v>
      </c>
      <c r="D14" s="7" t="s">
        <v>70</v>
      </c>
      <c r="E14" s="7">
        <v>0.5</v>
      </c>
      <c r="F14" s="7">
        <v>11</v>
      </c>
      <c r="G14" s="7">
        <v>4</v>
      </c>
      <c r="H14" s="7">
        <f t="shared" si="4"/>
        <v>22</v>
      </c>
      <c r="I14" s="7">
        <f t="shared" si="5"/>
        <v>660</v>
      </c>
      <c r="J14" s="15" t="s">
        <v>143</v>
      </c>
      <c r="K14" s="7">
        <v>3</v>
      </c>
      <c r="L14" s="7">
        <v>44</v>
      </c>
      <c r="M14" s="7">
        <v>44</v>
      </c>
      <c r="N14" s="7">
        <f t="shared" si="3"/>
        <v>132</v>
      </c>
      <c r="O14" s="7">
        <v>4</v>
      </c>
      <c r="P14" s="7">
        <f t="shared" si="1"/>
        <v>528</v>
      </c>
      <c r="Q14" s="7"/>
      <c r="R14" s="7"/>
    </row>
    <row r="15" spans="1:18" ht="28.8" x14ac:dyDescent="0.3">
      <c r="A15" s="124"/>
      <c r="B15" s="25" t="s">
        <v>145</v>
      </c>
      <c r="C15" s="19" t="s">
        <v>144</v>
      </c>
      <c r="D15" s="7" t="s">
        <v>70</v>
      </c>
      <c r="E15" s="7">
        <v>0.5</v>
      </c>
      <c r="F15" s="7">
        <v>9</v>
      </c>
      <c r="G15" s="7">
        <v>2</v>
      </c>
      <c r="H15" s="7">
        <f t="shared" si="4"/>
        <v>9</v>
      </c>
      <c r="I15" s="7">
        <f t="shared" si="5"/>
        <v>270</v>
      </c>
      <c r="J15" s="15" t="s">
        <v>160</v>
      </c>
      <c r="K15" s="7">
        <v>1</v>
      </c>
      <c r="L15" s="7">
        <v>18</v>
      </c>
      <c r="M15" s="7">
        <v>18</v>
      </c>
      <c r="N15" s="7">
        <f t="shared" si="3"/>
        <v>18</v>
      </c>
      <c r="O15" s="7">
        <v>2</v>
      </c>
      <c r="P15" s="7">
        <f t="shared" si="1"/>
        <v>36</v>
      </c>
      <c r="Q15" s="7"/>
      <c r="R15" s="7"/>
    </row>
    <row r="16" spans="1:18" ht="14.4" x14ac:dyDescent="0.3">
      <c r="A16" s="124"/>
      <c r="B16" s="24" t="s">
        <v>110</v>
      </c>
      <c r="C16" s="19" t="s">
        <v>144</v>
      </c>
      <c r="D16" s="7" t="s">
        <v>70</v>
      </c>
      <c r="E16" s="7">
        <v>2</v>
      </c>
      <c r="F16" s="7">
        <v>9</v>
      </c>
      <c r="G16" s="7">
        <v>3</v>
      </c>
      <c r="H16" s="7">
        <f t="shared" ref="H16:H33" si="6">+E16*F16*G16</f>
        <v>54</v>
      </c>
      <c r="I16" s="7">
        <f t="shared" ref="I16:I33" si="7">+H16*E$1</f>
        <v>1620</v>
      </c>
      <c r="J16" s="15" t="s">
        <v>161</v>
      </c>
      <c r="K16" s="7">
        <v>3</v>
      </c>
      <c r="L16" s="7">
        <v>121</v>
      </c>
      <c r="M16" s="7">
        <v>121</v>
      </c>
      <c r="N16" s="7">
        <f t="shared" si="3"/>
        <v>363</v>
      </c>
      <c r="O16" s="7">
        <v>3</v>
      </c>
      <c r="P16" s="7">
        <f t="shared" ref="P16:P79" si="8">+N16*O16</f>
        <v>1089</v>
      </c>
      <c r="Q16" s="7"/>
      <c r="R16" s="7"/>
    </row>
    <row r="17" spans="1:20" ht="14.4" x14ac:dyDescent="0.3">
      <c r="A17" s="124"/>
      <c r="B17" s="24" t="s">
        <v>9</v>
      </c>
      <c r="C17" s="19" t="s">
        <v>144</v>
      </c>
      <c r="D17" s="7" t="s">
        <v>70</v>
      </c>
      <c r="E17" s="7">
        <v>0.5</v>
      </c>
      <c r="F17" s="7">
        <v>6</v>
      </c>
      <c r="G17" s="7">
        <v>2</v>
      </c>
      <c r="H17" s="7">
        <f t="shared" si="6"/>
        <v>6</v>
      </c>
      <c r="I17" s="7">
        <f t="shared" si="7"/>
        <v>180</v>
      </c>
      <c r="J17" s="15" t="s">
        <v>162</v>
      </c>
      <c r="K17" s="7">
        <v>3</v>
      </c>
      <c r="L17" s="7">
        <v>72</v>
      </c>
      <c r="M17" s="7">
        <v>72</v>
      </c>
      <c r="N17" s="7">
        <f t="shared" si="3"/>
        <v>216</v>
      </c>
      <c r="O17" s="7">
        <v>2</v>
      </c>
      <c r="P17" s="7">
        <f t="shared" si="8"/>
        <v>432</v>
      </c>
      <c r="Q17" s="7"/>
      <c r="R17" s="7"/>
    </row>
    <row r="18" spans="1:20" ht="30.75" customHeight="1" x14ac:dyDescent="0.3">
      <c r="A18" s="124"/>
      <c r="B18" s="22" t="s">
        <v>10</v>
      </c>
      <c r="C18" s="19" t="s">
        <v>144</v>
      </c>
      <c r="D18" s="7" t="s">
        <v>70</v>
      </c>
      <c r="E18" s="7">
        <v>1</v>
      </c>
      <c r="F18" s="7">
        <v>11</v>
      </c>
      <c r="G18" s="7">
        <v>4</v>
      </c>
      <c r="H18" s="7">
        <f t="shared" si="6"/>
        <v>44</v>
      </c>
      <c r="I18" s="7">
        <f t="shared" si="7"/>
        <v>1320</v>
      </c>
      <c r="J18" s="15" t="s">
        <v>163</v>
      </c>
      <c r="K18" s="7">
        <v>3</v>
      </c>
      <c r="L18" s="7">
        <v>123</v>
      </c>
      <c r="M18" s="7">
        <v>123</v>
      </c>
      <c r="N18" s="7">
        <f t="shared" si="3"/>
        <v>369</v>
      </c>
      <c r="O18" s="7">
        <v>4</v>
      </c>
      <c r="P18" s="7">
        <f t="shared" si="8"/>
        <v>1476</v>
      </c>
      <c r="Q18" s="7"/>
      <c r="R18" s="7"/>
    </row>
    <row r="19" spans="1:20" ht="28.8" x14ac:dyDescent="0.3">
      <c r="A19" s="124"/>
      <c r="B19" s="33" t="s">
        <v>11</v>
      </c>
      <c r="C19" s="19" t="s">
        <v>144</v>
      </c>
      <c r="D19" s="7" t="s">
        <v>70</v>
      </c>
      <c r="E19" s="7">
        <v>0.5</v>
      </c>
      <c r="F19" s="7">
        <v>8</v>
      </c>
      <c r="G19" s="7">
        <v>3</v>
      </c>
      <c r="H19" s="7">
        <f t="shared" si="6"/>
        <v>12</v>
      </c>
      <c r="I19" s="7">
        <f t="shared" si="7"/>
        <v>360</v>
      </c>
      <c r="J19" s="15" t="s">
        <v>164</v>
      </c>
      <c r="K19" s="7">
        <v>0.5</v>
      </c>
      <c r="L19" s="7">
        <v>51</v>
      </c>
      <c r="M19" s="7">
        <v>51</v>
      </c>
      <c r="N19" s="7">
        <f t="shared" si="3"/>
        <v>25.5</v>
      </c>
      <c r="O19" s="7">
        <v>3</v>
      </c>
      <c r="P19" s="7">
        <f t="shared" si="8"/>
        <v>76.5</v>
      </c>
      <c r="Q19" s="7"/>
      <c r="R19" s="7"/>
    </row>
    <row r="20" spans="1:20" ht="28.8" x14ac:dyDescent="0.3">
      <c r="A20" s="124"/>
      <c r="B20" s="34" t="s">
        <v>191</v>
      </c>
      <c r="C20" s="19" t="s">
        <v>144</v>
      </c>
      <c r="D20" s="7" t="s">
        <v>70</v>
      </c>
      <c r="E20" s="7">
        <v>0.5</v>
      </c>
      <c r="F20" s="7">
        <v>6</v>
      </c>
      <c r="G20" s="7">
        <v>4</v>
      </c>
      <c r="H20" s="7">
        <f t="shared" si="6"/>
        <v>12</v>
      </c>
      <c r="I20" s="7">
        <f t="shared" si="7"/>
        <v>360</v>
      </c>
      <c r="J20" s="15" t="s">
        <v>164</v>
      </c>
      <c r="K20" s="7">
        <v>0.5</v>
      </c>
      <c r="L20" s="7">
        <v>6</v>
      </c>
      <c r="M20" s="7">
        <v>6</v>
      </c>
      <c r="N20" s="7">
        <f t="shared" si="3"/>
        <v>3</v>
      </c>
      <c r="O20" s="7">
        <v>4</v>
      </c>
      <c r="P20" s="7">
        <f t="shared" si="8"/>
        <v>12</v>
      </c>
      <c r="Q20" s="7"/>
      <c r="R20" s="7"/>
    </row>
    <row r="21" spans="1:20" ht="14.4" x14ac:dyDescent="0.3">
      <c r="A21" s="124"/>
      <c r="B21" s="24" t="s">
        <v>12</v>
      </c>
      <c r="C21" s="19" t="s">
        <v>144</v>
      </c>
      <c r="D21" s="7" t="s">
        <v>70</v>
      </c>
      <c r="E21" s="7">
        <v>0.5</v>
      </c>
      <c r="F21" s="7">
        <v>8</v>
      </c>
      <c r="G21" s="7">
        <v>2</v>
      </c>
      <c r="H21" s="7">
        <f t="shared" si="6"/>
        <v>8</v>
      </c>
      <c r="I21" s="7">
        <f t="shared" si="7"/>
        <v>240</v>
      </c>
      <c r="J21" s="15" t="s">
        <v>127</v>
      </c>
      <c r="K21" s="7">
        <v>1</v>
      </c>
      <c r="L21" s="7">
        <v>85</v>
      </c>
      <c r="M21" s="7">
        <v>85</v>
      </c>
      <c r="N21" s="7">
        <f t="shared" si="3"/>
        <v>85</v>
      </c>
      <c r="O21" s="7">
        <v>2</v>
      </c>
      <c r="P21" s="7">
        <f t="shared" si="8"/>
        <v>170</v>
      </c>
      <c r="Q21" s="7"/>
      <c r="R21" s="7"/>
    </row>
    <row r="22" spans="1:20" ht="29.25" customHeight="1" x14ac:dyDescent="0.3">
      <c r="A22" s="124"/>
      <c r="B22" s="24" t="s">
        <v>13</v>
      </c>
      <c r="C22" s="19" t="s">
        <v>144</v>
      </c>
      <c r="D22" s="7" t="s">
        <v>70</v>
      </c>
      <c r="E22" s="7">
        <v>0.5</v>
      </c>
      <c r="F22" s="7">
        <v>6</v>
      </c>
      <c r="G22" s="7">
        <v>3</v>
      </c>
      <c r="H22" s="7">
        <f t="shared" si="6"/>
        <v>9</v>
      </c>
      <c r="I22" s="7">
        <f t="shared" si="7"/>
        <v>270</v>
      </c>
      <c r="J22" s="15" t="s">
        <v>165</v>
      </c>
      <c r="K22" s="7">
        <v>5</v>
      </c>
      <c r="L22" s="7">
        <v>37</v>
      </c>
      <c r="M22" s="7">
        <v>37</v>
      </c>
      <c r="N22" s="7">
        <f t="shared" si="3"/>
        <v>185</v>
      </c>
      <c r="O22" s="7">
        <v>3</v>
      </c>
      <c r="P22" s="7">
        <f t="shared" si="8"/>
        <v>555</v>
      </c>
      <c r="Q22" s="7"/>
      <c r="R22" s="7"/>
    </row>
    <row r="23" spans="1:20" ht="27" customHeight="1" x14ac:dyDescent="0.3">
      <c r="A23" s="124"/>
      <c r="B23" s="24" t="s">
        <v>14</v>
      </c>
      <c r="C23" s="19" t="s">
        <v>144</v>
      </c>
      <c r="D23" s="7" t="s">
        <v>70</v>
      </c>
      <c r="E23" s="7">
        <v>0.5</v>
      </c>
      <c r="F23" s="7">
        <v>6</v>
      </c>
      <c r="G23" s="7">
        <v>3</v>
      </c>
      <c r="H23" s="7">
        <f t="shared" si="6"/>
        <v>9</v>
      </c>
      <c r="I23" s="7">
        <f t="shared" si="7"/>
        <v>270</v>
      </c>
      <c r="J23" s="15" t="s">
        <v>166</v>
      </c>
      <c r="K23" s="7">
        <v>3</v>
      </c>
      <c r="L23" s="7">
        <v>62</v>
      </c>
      <c r="M23" s="7">
        <v>62</v>
      </c>
      <c r="N23" s="7">
        <f t="shared" si="3"/>
        <v>186</v>
      </c>
      <c r="O23" s="7">
        <v>3</v>
      </c>
      <c r="P23" s="7">
        <f t="shared" si="8"/>
        <v>558</v>
      </c>
      <c r="Q23" s="7"/>
      <c r="R23" s="7"/>
      <c r="T23" s="38"/>
    </row>
    <row r="24" spans="1:20" ht="28.5" customHeight="1" x14ac:dyDescent="0.3">
      <c r="A24" s="124"/>
      <c r="B24" s="35" t="s">
        <v>15</v>
      </c>
      <c r="C24" s="19" t="s">
        <v>144</v>
      </c>
      <c r="D24" s="7" t="s">
        <v>70</v>
      </c>
      <c r="E24" s="7">
        <v>1</v>
      </c>
      <c r="F24" s="7">
        <v>3</v>
      </c>
      <c r="G24" s="7">
        <v>3</v>
      </c>
      <c r="H24" s="7">
        <f t="shared" si="6"/>
        <v>9</v>
      </c>
      <c r="I24" s="7">
        <f t="shared" si="7"/>
        <v>270</v>
      </c>
      <c r="J24" s="15" t="s">
        <v>167</v>
      </c>
      <c r="K24" s="7">
        <v>0.5</v>
      </c>
      <c r="L24" s="7">
        <v>18</v>
      </c>
      <c r="M24" s="7">
        <v>18</v>
      </c>
      <c r="N24" s="7">
        <f t="shared" si="3"/>
        <v>9</v>
      </c>
      <c r="O24" s="7">
        <v>3</v>
      </c>
      <c r="P24" s="7">
        <f t="shared" si="8"/>
        <v>27</v>
      </c>
      <c r="Q24" s="7"/>
      <c r="R24" s="7"/>
    </row>
    <row r="25" spans="1:20" ht="28.5" customHeight="1" x14ac:dyDescent="0.3">
      <c r="A25" s="124"/>
      <c r="B25" s="36" t="s">
        <v>192</v>
      </c>
      <c r="C25" s="19" t="s">
        <v>144</v>
      </c>
      <c r="D25" s="7" t="s">
        <v>70</v>
      </c>
      <c r="E25" s="7">
        <v>1</v>
      </c>
      <c r="F25" s="7">
        <v>6</v>
      </c>
      <c r="G25" s="7">
        <v>3</v>
      </c>
      <c r="H25" s="7">
        <f t="shared" si="6"/>
        <v>18</v>
      </c>
      <c r="I25" s="7">
        <f t="shared" si="7"/>
        <v>540</v>
      </c>
      <c r="J25" s="15" t="s">
        <v>167</v>
      </c>
      <c r="K25" s="7">
        <v>0.5</v>
      </c>
      <c r="L25" s="7">
        <v>92.5</v>
      </c>
      <c r="M25" s="7">
        <v>92.5</v>
      </c>
      <c r="N25" s="7">
        <f t="shared" si="3"/>
        <v>46.25</v>
      </c>
      <c r="O25" s="7">
        <v>3</v>
      </c>
      <c r="P25" s="7">
        <f t="shared" si="8"/>
        <v>138.75</v>
      </c>
      <c r="Q25" s="7"/>
      <c r="R25" s="7"/>
    </row>
    <row r="26" spans="1:20" ht="30.75" customHeight="1" x14ac:dyDescent="0.3">
      <c r="A26" s="124"/>
      <c r="B26" s="24" t="s">
        <v>16</v>
      </c>
      <c r="C26" s="19" t="s">
        <v>144</v>
      </c>
      <c r="D26" s="7" t="s">
        <v>70</v>
      </c>
      <c r="E26" s="7">
        <v>1</v>
      </c>
      <c r="F26" s="7">
        <v>12</v>
      </c>
      <c r="G26" s="7">
        <v>2</v>
      </c>
      <c r="H26" s="7">
        <f t="shared" si="6"/>
        <v>24</v>
      </c>
      <c r="I26" s="7">
        <f t="shared" si="7"/>
        <v>720</v>
      </c>
      <c r="J26" s="15" t="s">
        <v>168</v>
      </c>
      <c r="K26" s="7">
        <v>5</v>
      </c>
      <c r="L26" s="7">
        <v>30</v>
      </c>
      <c r="M26" s="7">
        <v>30</v>
      </c>
      <c r="N26" s="7">
        <f t="shared" si="3"/>
        <v>150</v>
      </c>
      <c r="O26" s="7">
        <v>2</v>
      </c>
      <c r="P26" s="7">
        <f t="shared" si="8"/>
        <v>300</v>
      </c>
      <c r="Q26" s="7"/>
      <c r="R26" s="7"/>
    </row>
    <row r="27" spans="1:20" ht="27.75" customHeight="1" x14ac:dyDescent="0.3">
      <c r="A27" s="124"/>
      <c r="B27" s="24" t="s">
        <v>17</v>
      </c>
      <c r="C27" s="19" t="s">
        <v>144</v>
      </c>
      <c r="D27" s="7" t="s">
        <v>70</v>
      </c>
      <c r="E27" s="7">
        <v>0.5</v>
      </c>
      <c r="F27" s="7">
        <v>7</v>
      </c>
      <c r="G27" s="7">
        <v>2</v>
      </c>
      <c r="H27" s="7">
        <f t="shared" si="6"/>
        <v>7</v>
      </c>
      <c r="I27" s="7">
        <f t="shared" si="7"/>
        <v>210</v>
      </c>
      <c r="J27" s="15" t="s">
        <v>169</v>
      </c>
      <c r="K27" s="7">
        <v>5</v>
      </c>
      <c r="L27" s="7">
        <v>42</v>
      </c>
      <c r="M27" s="7">
        <v>42</v>
      </c>
      <c r="N27" s="7">
        <f t="shared" si="3"/>
        <v>210</v>
      </c>
      <c r="O27" s="7">
        <v>2</v>
      </c>
      <c r="P27" s="7">
        <f t="shared" si="8"/>
        <v>420</v>
      </c>
      <c r="Q27" s="7"/>
      <c r="R27" s="7"/>
    </row>
    <row r="28" spans="1:20" ht="14.4" x14ac:dyDescent="0.3">
      <c r="A28" s="124"/>
      <c r="B28" s="24" t="s">
        <v>18</v>
      </c>
      <c r="C28" s="19" t="s">
        <v>144</v>
      </c>
      <c r="D28" s="7" t="s">
        <v>70</v>
      </c>
      <c r="E28" s="7">
        <v>1</v>
      </c>
      <c r="F28" s="7">
        <v>12</v>
      </c>
      <c r="G28" s="7">
        <v>3</v>
      </c>
      <c r="H28" s="7">
        <f t="shared" si="6"/>
        <v>36</v>
      </c>
      <c r="I28" s="7">
        <f t="shared" si="7"/>
        <v>1080</v>
      </c>
      <c r="J28" s="15" t="s">
        <v>170</v>
      </c>
      <c r="K28" s="7">
        <v>7</v>
      </c>
      <c r="L28" s="7">
        <v>38</v>
      </c>
      <c r="M28" s="7">
        <v>38</v>
      </c>
      <c r="N28" s="7">
        <f t="shared" si="3"/>
        <v>266</v>
      </c>
      <c r="O28" s="7">
        <v>3</v>
      </c>
      <c r="P28" s="7">
        <f t="shared" si="8"/>
        <v>798</v>
      </c>
      <c r="Q28" s="7"/>
      <c r="R28" s="7"/>
    </row>
    <row r="29" spans="1:20" ht="14.4" x14ac:dyDescent="0.3">
      <c r="A29" s="124"/>
      <c r="B29" s="24" t="s">
        <v>19</v>
      </c>
      <c r="C29" s="19" t="s">
        <v>144</v>
      </c>
      <c r="D29" s="7" t="s">
        <v>70</v>
      </c>
      <c r="E29" s="7">
        <v>1</v>
      </c>
      <c r="F29" s="7">
        <v>12</v>
      </c>
      <c r="G29" s="7">
        <v>3</v>
      </c>
      <c r="H29" s="7">
        <f t="shared" si="6"/>
        <v>36</v>
      </c>
      <c r="I29" s="7">
        <f t="shared" si="7"/>
        <v>1080</v>
      </c>
      <c r="J29" s="15" t="s">
        <v>171</v>
      </c>
      <c r="K29" s="7">
        <v>3</v>
      </c>
      <c r="L29" s="7">
        <v>180</v>
      </c>
      <c r="M29" s="7">
        <v>180</v>
      </c>
      <c r="N29" s="7">
        <f t="shared" si="3"/>
        <v>540</v>
      </c>
      <c r="O29" s="7">
        <v>3</v>
      </c>
      <c r="P29" s="7">
        <f t="shared" si="8"/>
        <v>1620</v>
      </c>
      <c r="Q29" s="7"/>
      <c r="R29" s="7"/>
    </row>
    <row r="30" spans="1:20" ht="32.25" customHeight="1" x14ac:dyDescent="0.3">
      <c r="A30" s="124"/>
      <c r="B30" s="24" t="s">
        <v>63</v>
      </c>
      <c r="C30" s="8" t="s">
        <v>93</v>
      </c>
      <c r="D30" s="7" t="s">
        <v>70</v>
      </c>
      <c r="E30" s="7">
        <v>0.5</v>
      </c>
      <c r="F30" s="7">
        <v>10</v>
      </c>
      <c r="G30" s="7">
        <v>3</v>
      </c>
      <c r="H30" s="7">
        <f t="shared" si="6"/>
        <v>15</v>
      </c>
      <c r="I30" s="7">
        <f t="shared" si="7"/>
        <v>450</v>
      </c>
      <c r="J30" s="15" t="s">
        <v>172</v>
      </c>
      <c r="K30" s="7">
        <v>1</v>
      </c>
      <c r="L30" s="7">
        <v>130</v>
      </c>
      <c r="M30" s="7">
        <v>130</v>
      </c>
      <c r="N30" s="7">
        <f t="shared" si="3"/>
        <v>130</v>
      </c>
      <c r="O30" s="7">
        <v>3</v>
      </c>
      <c r="P30" s="7">
        <f t="shared" si="8"/>
        <v>390</v>
      </c>
      <c r="Q30" s="7"/>
      <c r="R30" s="7"/>
    </row>
    <row r="31" spans="1:20" ht="27" customHeight="1" x14ac:dyDescent="0.3">
      <c r="A31" s="124"/>
      <c r="B31" s="25" t="s">
        <v>64</v>
      </c>
      <c r="C31" s="8" t="s">
        <v>93</v>
      </c>
      <c r="D31" s="7" t="s">
        <v>70</v>
      </c>
      <c r="E31" s="7">
        <v>0.5</v>
      </c>
      <c r="F31" s="7">
        <v>6</v>
      </c>
      <c r="G31" s="7">
        <v>2</v>
      </c>
      <c r="H31" s="7">
        <f t="shared" si="6"/>
        <v>6</v>
      </c>
      <c r="I31" s="7">
        <f t="shared" si="7"/>
        <v>180</v>
      </c>
      <c r="J31" s="15" t="s">
        <v>174</v>
      </c>
      <c r="K31" s="7">
        <v>1</v>
      </c>
      <c r="L31" s="7">
        <v>24</v>
      </c>
      <c r="M31" s="7">
        <v>24</v>
      </c>
      <c r="N31" s="7">
        <f t="shared" si="3"/>
        <v>24</v>
      </c>
      <c r="O31" s="7">
        <v>2</v>
      </c>
      <c r="P31" s="7">
        <f t="shared" si="8"/>
        <v>48</v>
      </c>
      <c r="Q31" s="7"/>
      <c r="R31" s="7"/>
    </row>
    <row r="32" spans="1:20" ht="27" customHeight="1" x14ac:dyDescent="0.3">
      <c r="A32" s="124"/>
      <c r="B32" s="25" t="s">
        <v>193</v>
      </c>
      <c r="C32" s="8" t="s">
        <v>93</v>
      </c>
      <c r="D32" s="7" t="s">
        <v>70</v>
      </c>
      <c r="E32" s="7">
        <v>0.5</v>
      </c>
      <c r="F32" s="7">
        <v>5</v>
      </c>
      <c r="G32" s="7">
        <v>2</v>
      </c>
      <c r="H32" s="7">
        <f t="shared" si="6"/>
        <v>5</v>
      </c>
      <c r="I32" s="7">
        <f t="shared" si="7"/>
        <v>150</v>
      </c>
      <c r="J32" s="15" t="s">
        <v>174</v>
      </c>
      <c r="K32" s="7">
        <v>1</v>
      </c>
      <c r="L32" s="7">
        <v>5</v>
      </c>
      <c r="M32" s="7">
        <v>5</v>
      </c>
      <c r="N32" s="7">
        <f t="shared" si="3"/>
        <v>5</v>
      </c>
      <c r="O32" s="7">
        <v>2</v>
      </c>
      <c r="P32" s="7">
        <f t="shared" si="8"/>
        <v>10</v>
      </c>
      <c r="Q32" s="7"/>
      <c r="R32" s="7"/>
    </row>
    <row r="33" spans="1:18" ht="14.4" x14ac:dyDescent="0.3">
      <c r="A33" s="124"/>
      <c r="B33" s="24" t="s">
        <v>20</v>
      </c>
      <c r="C33" s="8" t="s">
        <v>93</v>
      </c>
      <c r="D33" s="7" t="s">
        <v>70</v>
      </c>
      <c r="E33" s="7">
        <v>0.5</v>
      </c>
      <c r="F33" s="7">
        <v>6</v>
      </c>
      <c r="G33" s="7">
        <v>3</v>
      </c>
      <c r="H33" s="7">
        <f t="shared" si="6"/>
        <v>9</v>
      </c>
      <c r="I33" s="7">
        <f t="shared" si="7"/>
        <v>270</v>
      </c>
      <c r="J33" s="15" t="s">
        <v>173</v>
      </c>
      <c r="K33" s="7">
        <v>5</v>
      </c>
      <c r="L33" s="7">
        <v>24</v>
      </c>
      <c r="M33" s="7">
        <v>24</v>
      </c>
      <c r="N33" s="7">
        <f t="shared" si="3"/>
        <v>120</v>
      </c>
      <c r="O33" s="7">
        <v>3</v>
      </c>
      <c r="P33" s="7">
        <f t="shared" si="8"/>
        <v>360</v>
      </c>
      <c r="Q33" s="7"/>
      <c r="R33" s="7"/>
    </row>
    <row r="34" spans="1:18" s="41" customFormat="1" ht="14.4" x14ac:dyDescent="0.3">
      <c r="A34" s="125" t="s">
        <v>21</v>
      </c>
      <c r="B34" s="113" t="s">
        <v>8</v>
      </c>
      <c r="C34" s="119" t="s">
        <v>73</v>
      </c>
      <c r="D34" s="119" t="s">
        <v>74</v>
      </c>
      <c r="E34" s="39"/>
      <c r="F34" s="39"/>
      <c r="G34" s="39"/>
      <c r="H34" s="7">
        <f t="shared" ref="H34:H95" si="9">+E34*F34*G34</f>
        <v>0</v>
      </c>
      <c r="I34" s="7">
        <f t="shared" ref="I34:I95" si="10">+H34*E$1</f>
        <v>0</v>
      </c>
      <c r="J34" s="40" t="s">
        <v>158</v>
      </c>
      <c r="K34" s="39"/>
      <c r="L34" s="39"/>
      <c r="M34" s="39"/>
      <c r="N34" s="7">
        <f t="shared" si="3"/>
        <v>0</v>
      </c>
      <c r="O34" s="39"/>
      <c r="P34" s="7">
        <f t="shared" si="8"/>
        <v>0</v>
      </c>
      <c r="Q34" s="39"/>
      <c r="R34" s="39"/>
    </row>
    <row r="35" spans="1:18" s="41" customFormat="1" ht="14.4" x14ac:dyDescent="0.3">
      <c r="A35" s="126"/>
      <c r="B35" s="114"/>
      <c r="C35" s="120"/>
      <c r="D35" s="120"/>
      <c r="E35" s="39"/>
      <c r="F35" s="39"/>
      <c r="G35" s="39"/>
      <c r="H35" s="7">
        <f t="shared" si="9"/>
        <v>0</v>
      </c>
      <c r="I35" s="7">
        <f t="shared" si="10"/>
        <v>0</v>
      </c>
      <c r="J35" s="40" t="s">
        <v>178</v>
      </c>
      <c r="K35" s="39"/>
      <c r="L35" s="39"/>
      <c r="M35" s="39"/>
      <c r="N35" s="7">
        <f t="shared" si="3"/>
        <v>0</v>
      </c>
      <c r="O35" s="39"/>
      <c r="P35" s="7">
        <f t="shared" si="8"/>
        <v>0</v>
      </c>
      <c r="Q35" s="39"/>
      <c r="R35" s="39"/>
    </row>
    <row r="36" spans="1:18" s="41" customFormat="1" ht="14.4" x14ac:dyDescent="0.3">
      <c r="A36" s="126"/>
      <c r="B36" s="114"/>
      <c r="C36" s="120"/>
      <c r="D36" s="120"/>
      <c r="E36" s="39"/>
      <c r="F36" s="39"/>
      <c r="G36" s="39"/>
      <c r="H36" s="7">
        <f t="shared" si="9"/>
        <v>0</v>
      </c>
      <c r="I36" s="7">
        <f t="shared" si="10"/>
        <v>0</v>
      </c>
      <c r="J36" s="40" t="s">
        <v>177</v>
      </c>
      <c r="K36" s="39"/>
      <c r="L36" s="39"/>
      <c r="M36" s="39"/>
      <c r="N36" s="7">
        <f t="shared" si="3"/>
        <v>0</v>
      </c>
      <c r="O36" s="39"/>
      <c r="P36" s="7">
        <f t="shared" si="8"/>
        <v>0</v>
      </c>
      <c r="Q36" s="39"/>
      <c r="R36" s="39"/>
    </row>
    <row r="37" spans="1:18" s="41" customFormat="1" ht="14.4" x14ac:dyDescent="0.3">
      <c r="A37" s="126"/>
      <c r="B37" s="114"/>
      <c r="C37" s="120"/>
      <c r="D37" s="120"/>
      <c r="E37" s="39"/>
      <c r="F37" s="39"/>
      <c r="G37" s="39"/>
      <c r="H37" s="7">
        <f t="shared" si="9"/>
        <v>0</v>
      </c>
      <c r="I37" s="7">
        <f t="shared" si="10"/>
        <v>0</v>
      </c>
      <c r="J37" s="40" t="s">
        <v>180</v>
      </c>
      <c r="K37" s="39"/>
      <c r="L37" s="39"/>
      <c r="M37" s="39"/>
      <c r="N37" s="7">
        <f t="shared" si="3"/>
        <v>0</v>
      </c>
      <c r="O37" s="39"/>
      <c r="P37" s="7">
        <f t="shared" si="8"/>
        <v>0</v>
      </c>
      <c r="Q37" s="39"/>
      <c r="R37" s="39"/>
    </row>
    <row r="38" spans="1:18" s="41" customFormat="1" ht="14.4" x14ac:dyDescent="0.3">
      <c r="A38" s="126"/>
      <c r="B38" s="114"/>
      <c r="C38" s="120"/>
      <c r="D38" s="120"/>
      <c r="E38" s="39"/>
      <c r="F38" s="39"/>
      <c r="G38" s="39"/>
      <c r="H38" s="7">
        <f t="shared" si="9"/>
        <v>0</v>
      </c>
      <c r="I38" s="7">
        <f t="shared" si="10"/>
        <v>0</v>
      </c>
      <c r="J38" s="40" t="s">
        <v>181</v>
      </c>
      <c r="K38" s="39"/>
      <c r="L38" s="39"/>
      <c r="M38" s="39"/>
      <c r="N38" s="7">
        <f t="shared" si="3"/>
        <v>0</v>
      </c>
      <c r="O38" s="39"/>
      <c r="P38" s="7">
        <f t="shared" si="8"/>
        <v>0</v>
      </c>
      <c r="Q38" s="39"/>
      <c r="R38" s="39"/>
    </row>
    <row r="39" spans="1:18" s="41" customFormat="1" ht="14.4" x14ac:dyDescent="0.3">
      <c r="A39" s="126"/>
      <c r="B39" s="114"/>
      <c r="C39" s="120"/>
      <c r="D39" s="120"/>
      <c r="E39" s="39"/>
      <c r="F39" s="39"/>
      <c r="G39" s="39"/>
      <c r="H39" s="7">
        <f t="shared" si="9"/>
        <v>0</v>
      </c>
      <c r="I39" s="7">
        <f t="shared" si="10"/>
        <v>0</v>
      </c>
      <c r="J39" s="40" t="s">
        <v>182</v>
      </c>
      <c r="K39" s="39"/>
      <c r="L39" s="39"/>
      <c r="M39" s="39"/>
      <c r="N39" s="7">
        <f t="shared" si="3"/>
        <v>0</v>
      </c>
      <c r="O39" s="39"/>
      <c r="P39" s="7">
        <f t="shared" si="8"/>
        <v>0</v>
      </c>
      <c r="Q39" s="39"/>
      <c r="R39" s="39"/>
    </row>
    <row r="40" spans="1:18" s="41" customFormat="1" ht="14.4" x14ac:dyDescent="0.3">
      <c r="A40" s="126"/>
      <c r="B40" s="115"/>
      <c r="C40" s="121"/>
      <c r="D40" s="121"/>
      <c r="E40" s="39"/>
      <c r="F40" s="39"/>
      <c r="G40" s="39"/>
      <c r="H40" s="7">
        <f t="shared" si="9"/>
        <v>0</v>
      </c>
      <c r="I40" s="7">
        <f t="shared" si="10"/>
        <v>0</v>
      </c>
      <c r="J40" s="40" t="s">
        <v>183</v>
      </c>
      <c r="K40" s="39"/>
      <c r="L40" s="39"/>
      <c r="M40" s="39"/>
      <c r="N40" s="7">
        <f t="shared" si="3"/>
        <v>0</v>
      </c>
      <c r="O40" s="39"/>
      <c r="P40" s="7">
        <f t="shared" si="8"/>
        <v>0</v>
      </c>
      <c r="Q40" s="39"/>
      <c r="R40" s="39"/>
    </row>
    <row r="41" spans="1:18" s="41" customFormat="1" ht="14.4" x14ac:dyDescent="0.3">
      <c r="A41" s="126"/>
      <c r="B41" s="113" t="s">
        <v>22</v>
      </c>
      <c r="C41" s="107" t="s">
        <v>71</v>
      </c>
      <c r="D41" s="119" t="s">
        <v>75</v>
      </c>
      <c r="E41" s="39"/>
      <c r="F41" s="39"/>
      <c r="G41" s="39"/>
      <c r="H41" s="7">
        <f t="shared" si="9"/>
        <v>0</v>
      </c>
      <c r="I41" s="7">
        <f t="shared" si="10"/>
        <v>0</v>
      </c>
      <c r="J41" s="40" t="s">
        <v>163</v>
      </c>
      <c r="K41" s="39"/>
      <c r="L41" s="39"/>
      <c r="M41" s="39"/>
      <c r="N41" s="7">
        <f t="shared" si="3"/>
        <v>0</v>
      </c>
      <c r="O41" s="39"/>
      <c r="P41" s="7">
        <f t="shared" si="8"/>
        <v>0</v>
      </c>
      <c r="Q41" s="39"/>
      <c r="R41" s="39"/>
    </row>
    <row r="42" spans="1:18" s="41" customFormat="1" ht="14.4" x14ac:dyDescent="0.3">
      <c r="A42" s="126"/>
      <c r="B42" s="114"/>
      <c r="C42" s="108"/>
      <c r="D42" s="120"/>
      <c r="E42" s="39"/>
      <c r="F42" s="39"/>
      <c r="G42" s="39"/>
      <c r="H42" s="7">
        <f t="shared" si="9"/>
        <v>0</v>
      </c>
      <c r="I42" s="7">
        <f t="shared" si="10"/>
        <v>0</v>
      </c>
      <c r="J42" s="40" t="s">
        <v>178</v>
      </c>
      <c r="K42" s="39"/>
      <c r="L42" s="39"/>
      <c r="M42" s="39"/>
      <c r="N42" s="7">
        <f t="shared" si="3"/>
        <v>0</v>
      </c>
      <c r="O42" s="39"/>
      <c r="P42" s="7">
        <f t="shared" si="8"/>
        <v>0</v>
      </c>
      <c r="Q42" s="39"/>
      <c r="R42" s="39"/>
    </row>
    <row r="43" spans="1:18" s="41" customFormat="1" ht="14.4" x14ac:dyDescent="0.3">
      <c r="A43" s="126"/>
      <c r="B43" s="114"/>
      <c r="C43" s="108"/>
      <c r="D43" s="120"/>
      <c r="E43" s="39"/>
      <c r="F43" s="39"/>
      <c r="G43" s="39"/>
      <c r="H43" s="7">
        <f t="shared" si="9"/>
        <v>0</v>
      </c>
      <c r="I43" s="7">
        <f t="shared" si="10"/>
        <v>0</v>
      </c>
      <c r="J43" s="40" t="s">
        <v>177</v>
      </c>
      <c r="K43" s="39"/>
      <c r="L43" s="39"/>
      <c r="M43" s="39"/>
      <c r="N43" s="7">
        <f t="shared" si="3"/>
        <v>0</v>
      </c>
      <c r="O43" s="39"/>
      <c r="P43" s="7">
        <f t="shared" si="8"/>
        <v>0</v>
      </c>
      <c r="Q43" s="39"/>
      <c r="R43" s="39"/>
    </row>
    <row r="44" spans="1:18" s="41" customFormat="1" ht="14.4" x14ac:dyDescent="0.3">
      <c r="A44" s="126"/>
      <c r="B44" s="114"/>
      <c r="C44" s="108"/>
      <c r="D44" s="120"/>
      <c r="E44" s="39"/>
      <c r="F44" s="39"/>
      <c r="G44" s="39"/>
      <c r="H44" s="7">
        <f t="shared" si="9"/>
        <v>0</v>
      </c>
      <c r="I44" s="7">
        <f t="shared" si="10"/>
        <v>0</v>
      </c>
      <c r="J44" s="40" t="s">
        <v>180</v>
      </c>
      <c r="K44" s="39"/>
      <c r="L44" s="39"/>
      <c r="M44" s="39"/>
      <c r="N44" s="7">
        <f t="shared" si="3"/>
        <v>0</v>
      </c>
      <c r="O44" s="39"/>
      <c r="P44" s="7">
        <f t="shared" si="8"/>
        <v>0</v>
      </c>
      <c r="Q44" s="39"/>
      <c r="R44" s="39"/>
    </row>
    <row r="45" spans="1:18" s="41" customFormat="1" ht="14.4" x14ac:dyDescent="0.3">
      <c r="A45" s="126"/>
      <c r="B45" s="114"/>
      <c r="C45" s="108"/>
      <c r="D45" s="120"/>
      <c r="E45" s="39"/>
      <c r="F45" s="39"/>
      <c r="G45" s="39"/>
      <c r="H45" s="7">
        <f t="shared" si="9"/>
        <v>0</v>
      </c>
      <c r="I45" s="7">
        <f t="shared" si="10"/>
        <v>0</v>
      </c>
      <c r="J45" s="40" t="s">
        <v>181</v>
      </c>
      <c r="K45" s="39"/>
      <c r="L45" s="39"/>
      <c r="M45" s="39"/>
      <c r="N45" s="7">
        <f t="shared" si="3"/>
        <v>0</v>
      </c>
      <c r="O45" s="39"/>
      <c r="P45" s="7">
        <f t="shared" si="8"/>
        <v>0</v>
      </c>
      <c r="Q45" s="39"/>
      <c r="R45" s="39"/>
    </row>
    <row r="46" spans="1:18" s="41" customFormat="1" ht="14.4" x14ac:dyDescent="0.3">
      <c r="A46" s="126"/>
      <c r="B46" s="115"/>
      <c r="C46" s="109"/>
      <c r="D46" s="121"/>
      <c r="E46" s="39"/>
      <c r="F46" s="39"/>
      <c r="G46" s="39"/>
      <c r="H46" s="7">
        <f t="shared" si="9"/>
        <v>0</v>
      </c>
      <c r="I46" s="7">
        <f t="shared" si="10"/>
        <v>0</v>
      </c>
      <c r="J46" s="40" t="s">
        <v>182</v>
      </c>
      <c r="K46" s="39"/>
      <c r="L46" s="39"/>
      <c r="M46" s="39"/>
      <c r="N46" s="7">
        <f t="shared" si="3"/>
        <v>0</v>
      </c>
      <c r="O46" s="39"/>
      <c r="P46" s="7">
        <f t="shared" si="8"/>
        <v>0</v>
      </c>
      <c r="Q46" s="39"/>
      <c r="R46" s="39"/>
    </row>
    <row r="47" spans="1:18" s="41" customFormat="1" ht="28.8" x14ac:dyDescent="0.3">
      <c r="A47" s="126"/>
      <c r="B47" s="113" t="s">
        <v>23</v>
      </c>
      <c r="C47" s="107" t="s">
        <v>71</v>
      </c>
      <c r="D47" s="119" t="s">
        <v>75</v>
      </c>
      <c r="E47" s="39"/>
      <c r="F47" s="39"/>
      <c r="G47" s="39"/>
      <c r="H47" s="7">
        <f t="shared" si="9"/>
        <v>0</v>
      </c>
      <c r="I47" s="7">
        <f t="shared" si="10"/>
        <v>0</v>
      </c>
      <c r="J47" s="40" t="s">
        <v>175</v>
      </c>
      <c r="K47" s="39"/>
      <c r="L47" s="39"/>
      <c r="M47" s="39"/>
      <c r="N47" s="7">
        <f t="shared" si="3"/>
        <v>0</v>
      </c>
      <c r="O47" s="39"/>
      <c r="P47" s="7">
        <f t="shared" si="8"/>
        <v>0</v>
      </c>
      <c r="Q47" s="39"/>
      <c r="R47" s="39"/>
    </row>
    <row r="48" spans="1:18" s="41" customFormat="1" ht="14.4" x14ac:dyDescent="0.3">
      <c r="A48" s="126"/>
      <c r="B48" s="114"/>
      <c r="C48" s="108"/>
      <c r="D48" s="120"/>
      <c r="E48" s="39"/>
      <c r="F48" s="39"/>
      <c r="G48" s="39"/>
      <c r="H48" s="7">
        <f t="shared" si="9"/>
        <v>0</v>
      </c>
      <c r="I48" s="7">
        <f t="shared" si="10"/>
        <v>0</v>
      </c>
      <c r="J48" s="40" t="s">
        <v>178</v>
      </c>
      <c r="K48" s="39"/>
      <c r="L48" s="39"/>
      <c r="M48" s="39"/>
      <c r="N48" s="7">
        <f t="shared" si="3"/>
        <v>0</v>
      </c>
      <c r="O48" s="39"/>
      <c r="P48" s="7">
        <f t="shared" si="8"/>
        <v>0</v>
      </c>
      <c r="Q48" s="39"/>
      <c r="R48" s="39"/>
    </row>
    <row r="49" spans="1:18" s="41" customFormat="1" ht="14.4" x14ac:dyDescent="0.3">
      <c r="A49" s="126"/>
      <c r="B49" s="114"/>
      <c r="C49" s="108"/>
      <c r="D49" s="120"/>
      <c r="E49" s="39"/>
      <c r="F49" s="39"/>
      <c r="G49" s="39"/>
      <c r="H49" s="7">
        <f t="shared" si="9"/>
        <v>0</v>
      </c>
      <c r="I49" s="7">
        <f t="shared" si="10"/>
        <v>0</v>
      </c>
      <c r="J49" s="40" t="s">
        <v>177</v>
      </c>
      <c r="K49" s="39"/>
      <c r="L49" s="39"/>
      <c r="M49" s="39"/>
      <c r="N49" s="7">
        <f t="shared" si="3"/>
        <v>0</v>
      </c>
      <c r="O49" s="39"/>
      <c r="P49" s="7">
        <f t="shared" si="8"/>
        <v>0</v>
      </c>
      <c r="Q49" s="39"/>
      <c r="R49" s="39"/>
    </row>
    <row r="50" spans="1:18" s="41" customFormat="1" ht="14.4" x14ac:dyDescent="0.3">
      <c r="A50" s="126"/>
      <c r="B50" s="114"/>
      <c r="C50" s="108"/>
      <c r="D50" s="120"/>
      <c r="E50" s="39"/>
      <c r="F50" s="39"/>
      <c r="G50" s="39"/>
      <c r="H50" s="7">
        <f t="shared" si="9"/>
        <v>0</v>
      </c>
      <c r="I50" s="7">
        <f t="shared" si="10"/>
        <v>0</v>
      </c>
      <c r="J50" s="40" t="s">
        <v>180</v>
      </c>
      <c r="K50" s="39"/>
      <c r="L50" s="39"/>
      <c r="M50" s="39"/>
      <c r="N50" s="7">
        <f t="shared" si="3"/>
        <v>0</v>
      </c>
      <c r="O50" s="39"/>
      <c r="P50" s="7">
        <f t="shared" si="8"/>
        <v>0</v>
      </c>
      <c r="Q50" s="39"/>
      <c r="R50" s="39"/>
    </row>
    <row r="51" spans="1:18" s="41" customFormat="1" ht="14.4" x14ac:dyDescent="0.3">
      <c r="A51" s="126"/>
      <c r="B51" s="114"/>
      <c r="C51" s="108"/>
      <c r="D51" s="120"/>
      <c r="E51" s="39"/>
      <c r="F51" s="39"/>
      <c r="G51" s="39"/>
      <c r="H51" s="7">
        <f t="shared" si="9"/>
        <v>0</v>
      </c>
      <c r="I51" s="7">
        <f t="shared" si="10"/>
        <v>0</v>
      </c>
      <c r="J51" s="40" t="s">
        <v>181</v>
      </c>
      <c r="K51" s="39"/>
      <c r="L51" s="39"/>
      <c r="M51" s="39"/>
      <c r="N51" s="7">
        <f t="shared" si="3"/>
        <v>0</v>
      </c>
      <c r="O51" s="39"/>
      <c r="P51" s="7">
        <f t="shared" si="8"/>
        <v>0</v>
      </c>
      <c r="Q51" s="39"/>
      <c r="R51" s="39"/>
    </row>
    <row r="52" spans="1:18" s="41" customFormat="1" ht="14.4" x14ac:dyDescent="0.3">
      <c r="A52" s="126"/>
      <c r="B52" s="115"/>
      <c r="C52" s="109"/>
      <c r="D52" s="121"/>
      <c r="E52" s="39"/>
      <c r="F52" s="39"/>
      <c r="G52" s="39"/>
      <c r="H52" s="7">
        <f t="shared" si="9"/>
        <v>0</v>
      </c>
      <c r="I52" s="7">
        <f t="shared" si="10"/>
        <v>0</v>
      </c>
      <c r="J52" s="40" t="s">
        <v>182</v>
      </c>
      <c r="K52" s="39"/>
      <c r="L52" s="39"/>
      <c r="M52" s="39"/>
      <c r="N52" s="7">
        <f t="shared" si="3"/>
        <v>0</v>
      </c>
      <c r="O52" s="39"/>
      <c r="P52" s="7">
        <f t="shared" si="8"/>
        <v>0</v>
      </c>
      <c r="Q52" s="39"/>
      <c r="R52" s="39"/>
    </row>
    <row r="53" spans="1:18" s="41" customFormat="1" ht="14.4" x14ac:dyDescent="0.3">
      <c r="A53" s="126"/>
      <c r="B53" s="104" t="s">
        <v>146</v>
      </c>
      <c r="C53" s="104" t="s">
        <v>71</v>
      </c>
      <c r="D53" s="110" t="s">
        <v>149</v>
      </c>
      <c r="E53" s="39"/>
      <c r="F53" s="39"/>
      <c r="G53" s="39"/>
      <c r="H53" s="7">
        <f t="shared" si="9"/>
        <v>0</v>
      </c>
      <c r="I53" s="7">
        <f t="shared" si="10"/>
        <v>0</v>
      </c>
      <c r="J53" s="40" t="s">
        <v>159</v>
      </c>
      <c r="K53" s="39"/>
      <c r="L53" s="39"/>
      <c r="M53" s="39"/>
      <c r="N53" s="7">
        <f t="shared" si="3"/>
        <v>0</v>
      </c>
      <c r="O53" s="39"/>
      <c r="P53" s="7">
        <f t="shared" si="8"/>
        <v>0</v>
      </c>
      <c r="Q53" s="39"/>
      <c r="R53" s="39"/>
    </row>
    <row r="54" spans="1:18" s="41" customFormat="1" ht="14.4" x14ac:dyDescent="0.3">
      <c r="A54" s="126"/>
      <c r="B54" s="105"/>
      <c r="C54" s="105"/>
      <c r="D54" s="111"/>
      <c r="E54" s="39"/>
      <c r="F54" s="39"/>
      <c r="G54" s="39"/>
      <c r="H54" s="7">
        <f t="shared" si="9"/>
        <v>0</v>
      </c>
      <c r="I54" s="7">
        <f t="shared" si="10"/>
        <v>0</v>
      </c>
      <c r="J54" s="40" t="s">
        <v>178</v>
      </c>
      <c r="K54" s="39"/>
      <c r="L54" s="39"/>
      <c r="M54" s="39"/>
      <c r="N54" s="7">
        <f t="shared" si="3"/>
        <v>0</v>
      </c>
      <c r="O54" s="39"/>
      <c r="P54" s="7">
        <f t="shared" si="8"/>
        <v>0</v>
      </c>
      <c r="Q54" s="39"/>
      <c r="R54" s="39"/>
    </row>
    <row r="55" spans="1:18" s="41" customFormat="1" ht="14.4" x14ac:dyDescent="0.3">
      <c r="A55" s="126"/>
      <c r="B55" s="105"/>
      <c r="C55" s="105"/>
      <c r="D55" s="111"/>
      <c r="E55" s="39"/>
      <c r="F55" s="39"/>
      <c r="G55" s="39"/>
      <c r="H55" s="7">
        <f t="shared" si="9"/>
        <v>0</v>
      </c>
      <c r="I55" s="7">
        <f t="shared" si="10"/>
        <v>0</v>
      </c>
      <c r="J55" s="40" t="s">
        <v>177</v>
      </c>
      <c r="K55" s="39"/>
      <c r="L55" s="39"/>
      <c r="M55" s="39"/>
      <c r="N55" s="7">
        <f t="shared" si="3"/>
        <v>0</v>
      </c>
      <c r="O55" s="39"/>
      <c r="P55" s="7">
        <f t="shared" si="8"/>
        <v>0</v>
      </c>
      <c r="Q55" s="39"/>
      <c r="R55" s="39"/>
    </row>
    <row r="56" spans="1:18" s="41" customFormat="1" ht="14.4" x14ac:dyDescent="0.3">
      <c r="A56" s="126"/>
      <c r="B56" s="105"/>
      <c r="C56" s="105"/>
      <c r="D56" s="111"/>
      <c r="E56" s="39"/>
      <c r="F56" s="39"/>
      <c r="G56" s="39"/>
      <c r="H56" s="7">
        <f t="shared" si="9"/>
        <v>0</v>
      </c>
      <c r="I56" s="7">
        <f t="shared" si="10"/>
        <v>0</v>
      </c>
      <c r="J56" s="40" t="s">
        <v>180</v>
      </c>
      <c r="K56" s="39"/>
      <c r="L56" s="39"/>
      <c r="M56" s="39"/>
      <c r="N56" s="7">
        <f t="shared" si="3"/>
        <v>0</v>
      </c>
      <c r="O56" s="39"/>
      <c r="P56" s="7">
        <f t="shared" si="8"/>
        <v>0</v>
      </c>
      <c r="Q56" s="39"/>
      <c r="R56" s="39"/>
    </row>
    <row r="57" spans="1:18" s="41" customFormat="1" ht="14.4" x14ac:dyDescent="0.3">
      <c r="A57" s="126"/>
      <c r="B57" s="105"/>
      <c r="C57" s="105"/>
      <c r="D57" s="111"/>
      <c r="E57" s="39"/>
      <c r="F57" s="39"/>
      <c r="G57" s="39"/>
      <c r="H57" s="7">
        <f t="shared" si="9"/>
        <v>0</v>
      </c>
      <c r="I57" s="7">
        <f t="shared" si="10"/>
        <v>0</v>
      </c>
      <c r="J57" s="40" t="s">
        <v>181</v>
      </c>
      <c r="K57" s="39"/>
      <c r="L57" s="39"/>
      <c r="M57" s="39"/>
      <c r="N57" s="7">
        <f t="shared" si="3"/>
        <v>0</v>
      </c>
      <c r="O57" s="39"/>
      <c r="P57" s="7">
        <f t="shared" si="8"/>
        <v>0</v>
      </c>
      <c r="Q57" s="39"/>
      <c r="R57" s="39"/>
    </row>
    <row r="58" spans="1:18" s="41" customFormat="1" ht="14.4" x14ac:dyDescent="0.3">
      <c r="A58" s="126"/>
      <c r="B58" s="106"/>
      <c r="C58" s="106"/>
      <c r="D58" s="112"/>
      <c r="E58" s="39"/>
      <c r="F58" s="39"/>
      <c r="G58" s="39"/>
      <c r="H58" s="7">
        <f t="shared" si="9"/>
        <v>0</v>
      </c>
      <c r="I58" s="7">
        <f t="shared" si="10"/>
        <v>0</v>
      </c>
      <c r="J58" s="40" t="s">
        <v>182</v>
      </c>
      <c r="K58" s="39"/>
      <c r="L58" s="39"/>
      <c r="M58" s="39"/>
      <c r="N58" s="7">
        <f t="shared" si="3"/>
        <v>0</v>
      </c>
      <c r="O58" s="39"/>
      <c r="P58" s="7">
        <f t="shared" si="8"/>
        <v>0</v>
      </c>
      <c r="Q58" s="39"/>
      <c r="R58" s="39"/>
    </row>
    <row r="59" spans="1:18" s="41" customFormat="1" ht="33" customHeight="1" x14ac:dyDescent="0.3">
      <c r="A59" s="126"/>
      <c r="B59" s="113" t="s">
        <v>14</v>
      </c>
      <c r="C59" s="107" t="s">
        <v>76</v>
      </c>
      <c r="D59" s="119" t="s">
        <v>75</v>
      </c>
      <c r="E59" s="39"/>
      <c r="F59" s="39"/>
      <c r="G59" s="39"/>
      <c r="H59" s="7">
        <f t="shared" si="9"/>
        <v>0</v>
      </c>
      <c r="I59" s="7">
        <f t="shared" si="10"/>
        <v>0</v>
      </c>
      <c r="J59" s="40" t="s">
        <v>166</v>
      </c>
      <c r="K59" s="39"/>
      <c r="L59" s="39"/>
      <c r="M59" s="39"/>
      <c r="N59" s="7">
        <f t="shared" si="3"/>
        <v>0</v>
      </c>
      <c r="O59" s="39"/>
      <c r="P59" s="7">
        <f t="shared" si="8"/>
        <v>0</v>
      </c>
      <c r="Q59" s="39"/>
      <c r="R59" s="39"/>
    </row>
    <row r="60" spans="1:18" s="41" customFormat="1" ht="14.4" x14ac:dyDescent="0.3">
      <c r="A60" s="126"/>
      <c r="B60" s="114"/>
      <c r="C60" s="108"/>
      <c r="D60" s="120"/>
      <c r="E60" s="39"/>
      <c r="F60" s="39"/>
      <c r="G60" s="39"/>
      <c r="H60" s="7">
        <f t="shared" si="9"/>
        <v>0</v>
      </c>
      <c r="I60" s="7">
        <f t="shared" si="10"/>
        <v>0</v>
      </c>
      <c r="J60" s="40" t="s">
        <v>178</v>
      </c>
      <c r="K60" s="39"/>
      <c r="L60" s="39"/>
      <c r="M60" s="39"/>
      <c r="N60" s="7">
        <f t="shared" si="3"/>
        <v>0</v>
      </c>
      <c r="O60" s="39"/>
      <c r="P60" s="7">
        <f t="shared" si="8"/>
        <v>0</v>
      </c>
      <c r="Q60" s="39"/>
      <c r="R60" s="39"/>
    </row>
    <row r="61" spans="1:18" s="41" customFormat="1" ht="14.4" x14ac:dyDescent="0.3">
      <c r="A61" s="126"/>
      <c r="B61" s="114"/>
      <c r="C61" s="108"/>
      <c r="D61" s="120"/>
      <c r="E61" s="39"/>
      <c r="F61" s="39"/>
      <c r="G61" s="39"/>
      <c r="H61" s="7">
        <f t="shared" si="9"/>
        <v>0</v>
      </c>
      <c r="I61" s="7">
        <f t="shared" si="10"/>
        <v>0</v>
      </c>
      <c r="J61" s="40" t="s">
        <v>177</v>
      </c>
      <c r="K61" s="39"/>
      <c r="L61" s="39"/>
      <c r="M61" s="39"/>
      <c r="N61" s="7">
        <f t="shared" si="3"/>
        <v>0</v>
      </c>
      <c r="O61" s="39"/>
      <c r="P61" s="7">
        <f t="shared" si="8"/>
        <v>0</v>
      </c>
      <c r="Q61" s="39"/>
      <c r="R61" s="39"/>
    </row>
    <row r="62" spans="1:18" s="41" customFormat="1" ht="14.4" x14ac:dyDescent="0.3">
      <c r="A62" s="126"/>
      <c r="B62" s="114"/>
      <c r="C62" s="108"/>
      <c r="D62" s="120"/>
      <c r="E62" s="39"/>
      <c r="F62" s="39"/>
      <c r="G62" s="39"/>
      <c r="H62" s="7">
        <f t="shared" si="9"/>
        <v>0</v>
      </c>
      <c r="I62" s="7">
        <f t="shared" si="10"/>
        <v>0</v>
      </c>
      <c r="J62" s="40" t="s">
        <v>180</v>
      </c>
      <c r="K62" s="39"/>
      <c r="L62" s="39"/>
      <c r="M62" s="39"/>
      <c r="N62" s="7">
        <f t="shared" si="3"/>
        <v>0</v>
      </c>
      <c r="O62" s="39"/>
      <c r="P62" s="7">
        <f t="shared" si="8"/>
        <v>0</v>
      </c>
      <c r="Q62" s="39"/>
      <c r="R62" s="39"/>
    </row>
    <row r="63" spans="1:18" s="41" customFormat="1" ht="14.4" x14ac:dyDescent="0.3">
      <c r="A63" s="126"/>
      <c r="B63" s="114"/>
      <c r="C63" s="108"/>
      <c r="D63" s="120"/>
      <c r="E63" s="39"/>
      <c r="F63" s="39"/>
      <c r="G63" s="39"/>
      <c r="H63" s="7">
        <f t="shared" si="9"/>
        <v>0</v>
      </c>
      <c r="I63" s="7">
        <f t="shared" si="10"/>
        <v>0</v>
      </c>
      <c r="J63" s="40" t="s">
        <v>181</v>
      </c>
      <c r="K63" s="39"/>
      <c r="L63" s="39"/>
      <c r="M63" s="39"/>
      <c r="N63" s="7">
        <f t="shared" si="3"/>
        <v>0</v>
      </c>
      <c r="O63" s="39"/>
      <c r="P63" s="7">
        <f t="shared" si="8"/>
        <v>0</v>
      </c>
      <c r="Q63" s="39"/>
      <c r="R63" s="39"/>
    </row>
    <row r="64" spans="1:18" s="41" customFormat="1" ht="14.4" x14ac:dyDescent="0.3">
      <c r="A64" s="126"/>
      <c r="B64" s="115"/>
      <c r="C64" s="109"/>
      <c r="D64" s="121"/>
      <c r="E64" s="39"/>
      <c r="F64" s="39"/>
      <c r="G64" s="39"/>
      <c r="H64" s="7">
        <f t="shared" si="9"/>
        <v>0</v>
      </c>
      <c r="I64" s="7">
        <f t="shared" si="10"/>
        <v>0</v>
      </c>
      <c r="J64" s="40" t="s">
        <v>182</v>
      </c>
      <c r="K64" s="39"/>
      <c r="L64" s="39"/>
      <c r="M64" s="39"/>
      <c r="N64" s="7">
        <f t="shared" si="3"/>
        <v>0</v>
      </c>
      <c r="O64" s="39"/>
      <c r="P64" s="7">
        <f t="shared" si="8"/>
        <v>0</v>
      </c>
      <c r="Q64" s="39"/>
      <c r="R64" s="39"/>
    </row>
    <row r="65" spans="1:18" s="41" customFormat="1" ht="33" customHeight="1" x14ac:dyDescent="0.3">
      <c r="A65" s="126"/>
      <c r="B65" s="113" t="s">
        <v>24</v>
      </c>
      <c r="C65" s="107" t="s">
        <v>76</v>
      </c>
      <c r="D65" s="119" t="s">
        <v>75</v>
      </c>
      <c r="E65" s="39"/>
      <c r="F65" s="39"/>
      <c r="G65" s="39"/>
      <c r="H65" s="7">
        <f t="shared" si="9"/>
        <v>0</v>
      </c>
      <c r="I65" s="7">
        <f t="shared" si="10"/>
        <v>0</v>
      </c>
      <c r="J65" s="40" t="s">
        <v>168</v>
      </c>
      <c r="K65" s="39"/>
      <c r="L65" s="39"/>
      <c r="M65" s="39"/>
      <c r="N65" s="7">
        <f t="shared" si="3"/>
        <v>0</v>
      </c>
      <c r="O65" s="39"/>
      <c r="P65" s="7">
        <f t="shared" si="8"/>
        <v>0</v>
      </c>
      <c r="Q65" s="39"/>
      <c r="R65" s="39"/>
    </row>
    <row r="66" spans="1:18" s="41" customFormat="1" ht="14.4" x14ac:dyDescent="0.3">
      <c r="A66" s="126"/>
      <c r="B66" s="114"/>
      <c r="C66" s="108"/>
      <c r="D66" s="120"/>
      <c r="E66" s="39"/>
      <c r="F66" s="39"/>
      <c r="G66" s="39"/>
      <c r="H66" s="7">
        <f t="shared" si="9"/>
        <v>0</v>
      </c>
      <c r="I66" s="7">
        <f t="shared" si="10"/>
        <v>0</v>
      </c>
      <c r="J66" s="40" t="s">
        <v>178</v>
      </c>
      <c r="K66" s="39"/>
      <c r="L66" s="39"/>
      <c r="M66" s="39"/>
      <c r="N66" s="7">
        <f t="shared" si="3"/>
        <v>0</v>
      </c>
      <c r="O66" s="39"/>
      <c r="P66" s="7">
        <f t="shared" si="8"/>
        <v>0</v>
      </c>
      <c r="Q66" s="39"/>
      <c r="R66" s="39"/>
    </row>
    <row r="67" spans="1:18" s="41" customFormat="1" ht="14.4" x14ac:dyDescent="0.3">
      <c r="A67" s="126"/>
      <c r="B67" s="114"/>
      <c r="C67" s="108"/>
      <c r="D67" s="120"/>
      <c r="E67" s="39"/>
      <c r="F67" s="39"/>
      <c r="G67" s="39"/>
      <c r="H67" s="7">
        <f t="shared" si="9"/>
        <v>0</v>
      </c>
      <c r="I67" s="7">
        <f t="shared" si="10"/>
        <v>0</v>
      </c>
      <c r="J67" s="40" t="s">
        <v>177</v>
      </c>
      <c r="K67" s="39"/>
      <c r="L67" s="39"/>
      <c r="M67" s="39"/>
      <c r="N67" s="7">
        <f t="shared" si="3"/>
        <v>0</v>
      </c>
      <c r="O67" s="39"/>
      <c r="P67" s="7">
        <f t="shared" si="8"/>
        <v>0</v>
      </c>
      <c r="Q67" s="39"/>
      <c r="R67" s="39"/>
    </row>
    <row r="68" spans="1:18" s="41" customFormat="1" ht="14.4" x14ac:dyDescent="0.3">
      <c r="A68" s="126"/>
      <c r="B68" s="114"/>
      <c r="C68" s="108"/>
      <c r="D68" s="120"/>
      <c r="E68" s="39"/>
      <c r="F68" s="39"/>
      <c r="G68" s="39"/>
      <c r="H68" s="7">
        <f t="shared" si="9"/>
        <v>0</v>
      </c>
      <c r="I68" s="7">
        <f t="shared" si="10"/>
        <v>0</v>
      </c>
      <c r="J68" s="40" t="s">
        <v>180</v>
      </c>
      <c r="K68" s="39"/>
      <c r="L68" s="39"/>
      <c r="M68" s="39"/>
      <c r="N68" s="7">
        <f t="shared" si="3"/>
        <v>0</v>
      </c>
      <c r="O68" s="39"/>
      <c r="P68" s="7">
        <f t="shared" si="8"/>
        <v>0</v>
      </c>
      <c r="Q68" s="39"/>
      <c r="R68" s="39"/>
    </row>
    <row r="69" spans="1:18" s="41" customFormat="1" ht="14.4" x14ac:dyDescent="0.3">
      <c r="A69" s="126"/>
      <c r="B69" s="114"/>
      <c r="C69" s="108"/>
      <c r="D69" s="120"/>
      <c r="E69" s="39"/>
      <c r="F69" s="39"/>
      <c r="G69" s="39"/>
      <c r="H69" s="7">
        <f t="shared" si="9"/>
        <v>0</v>
      </c>
      <c r="I69" s="7">
        <f t="shared" si="10"/>
        <v>0</v>
      </c>
      <c r="J69" s="40" t="s">
        <v>181</v>
      </c>
      <c r="K69" s="39"/>
      <c r="L69" s="39"/>
      <c r="M69" s="39"/>
      <c r="N69" s="7">
        <f t="shared" ref="N69:N132" si="11">+M69*K69</f>
        <v>0</v>
      </c>
      <c r="O69" s="39"/>
      <c r="P69" s="7">
        <f t="shared" si="8"/>
        <v>0</v>
      </c>
      <c r="Q69" s="39"/>
      <c r="R69" s="39"/>
    </row>
    <row r="70" spans="1:18" s="41" customFormat="1" ht="14.4" x14ac:dyDescent="0.3">
      <c r="A70" s="126"/>
      <c r="B70" s="115"/>
      <c r="C70" s="109"/>
      <c r="D70" s="121"/>
      <c r="E70" s="39"/>
      <c r="F70" s="39"/>
      <c r="G70" s="39"/>
      <c r="H70" s="7">
        <f t="shared" si="9"/>
        <v>0</v>
      </c>
      <c r="I70" s="7">
        <f t="shared" si="10"/>
        <v>0</v>
      </c>
      <c r="J70" s="40" t="s">
        <v>182</v>
      </c>
      <c r="K70" s="39"/>
      <c r="L70" s="39"/>
      <c r="M70" s="39"/>
      <c r="N70" s="7">
        <f t="shared" si="11"/>
        <v>0</v>
      </c>
      <c r="O70" s="39"/>
      <c r="P70" s="7">
        <f t="shared" si="8"/>
        <v>0</v>
      </c>
      <c r="Q70" s="39"/>
      <c r="R70" s="39"/>
    </row>
    <row r="71" spans="1:18" s="41" customFormat="1" ht="33" customHeight="1" x14ac:dyDescent="0.3">
      <c r="A71" s="126"/>
      <c r="B71" s="113" t="s">
        <v>25</v>
      </c>
      <c r="C71" s="119" t="s">
        <v>76</v>
      </c>
      <c r="D71" s="119" t="s">
        <v>75</v>
      </c>
      <c r="E71" s="39"/>
      <c r="F71" s="39"/>
      <c r="G71" s="39"/>
      <c r="H71" s="7">
        <f t="shared" si="9"/>
        <v>0</v>
      </c>
      <c r="I71" s="7">
        <f t="shared" si="10"/>
        <v>0</v>
      </c>
      <c r="J71" s="40" t="s">
        <v>170</v>
      </c>
      <c r="K71" s="39"/>
      <c r="L71" s="39"/>
      <c r="M71" s="39"/>
      <c r="N71" s="7">
        <f t="shared" si="11"/>
        <v>0</v>
      </c>
      <c r="O71" s="39"/>
      <c r="P71" s="7">
        <f t="shared" si="8"/>
        <v>0</v>
      </c>
      <c r="Q71" s="39"/>
      <c r="R71" s="39"/>
    </row>
    <row r="72" spans="1:18" s="41" customFormat="1" ht="14.4" x14ac:dyDescent="0.3">
      <c r="A72" s="126"/>
      <c r="B72" s="114"/>
      <c r="C72" s="120"/>
      <c r="D72" s="120"/>
      <c r="E72" s="39"/>
      <c r="F72" s="39"/>
      <c r="G72" s="39"/>
      <c r="H72" s="7">
        <f t="shared" si="9"/>
        <v>0</v>
      </c>
      <c r="I72" s="7">
        <f t="shared" si="10"/>
        <v>0</v>
      </c>
      <c r="J72" s="40" t="s">
        <v>178</v>
      </c>
      <c r="K72" s="39"/>
      <c r="L72" s="39"/>
      <c r="M72" s="39"/>
      <c r="N72" s="7">
        <f t="shared" si="11"/>
        <v>0</v>
      </c>
      <c r="O72" s="39"/>
      <c r="P72" s="7">
        <f t="shared" si="8"/>
        <v>0</v>
      </c>
      <c r="Q72" s="39"/>
      <c r="R72" s="39"/>
    </row>
    <row r="73" spans="1:18" s="41" customFormat="1" ht="14.4" x14ac:dyDescent="0.3">
      <c r="A73" s="126"/>
      <c r="B73" s="114"/>
      <c r="C73" s="120"/>
      <c r="D73" s="120"/>
      <c r="E73" s="39"/>
      <c r="F73" s="39"/>
      <c r="G73" s="39"/>
      <c r="H73" s="7">
        <f t="shared" si="9"/>
        <v>0</v>
      </c>
      <c r="I73" s="7">
        <f t="shared" si="10"/>
        <v>0</v>
      </c>
      <c r="J73" s="40" t="s">
        <v>177</v>
      </c>
      <c r="K73" s="39"/>
      <c r="L73" s="39"/>
      <c r="M73" s="39"/>
      <c r="N73" s="7">
        <f t="shared" si="11"/>
        <v>0</v>
      </c>
      <c r="O73" s="39"/>
      <c r="P73" s="7">
        <f t="shared" si="8"/>
        <v>0</v>
      </c>
      <c r="Q73" s="39"/>
      <c r="R73" s="39"/>
    </row>
    <row r="74" spans="1:18" s="41" customFormat="1" ht="14.4" x14ac:dyDescent="0.3">
      <c r="A74" s="126"/>
      <c r="B74" s="114"/>
      <c r="C74" s="120"/>
      <c r="D74" s="120"/>
      <c r="E74" s="39"/>
      <c r="F74" s="39"/>
      <c r="G74" s="39"/>
      <c r="H74" s="7">
        <f t="shared" si="9"/>
        <v>0</v>
      </c>
      <c r="I74" s="7">
        <f t="shared" si="10"/>
        <v>0</v>
      </c>
      <c r="J74" s="40" t="s">
        <v>180</v>
      </c>
      <c r="K74" s="39"/>
      <c r="L74" s="39"/>
      <c r="M74" s="39"/>
      <c r="N74" s="7">
        <f t="shared" si="11"/>
        <v>0</v>
      </c>
      <c r="O74" s="39"/>
      <c r="P74" s="7">
        <f t="shared" si="8"/>
        <v>0</v>
      </c>
      <c r="Q74" s="39"/>
      <c r="R74" s="39"/>
    </row>
    <row r="75" spans="1:18" s="41" customFormat="1" ht="14.4" x14ac:dyDescent="0.3">
      <c r="A75" s="126"/>
      <c r="B75" s="114"/>
      <c r="C75" s="120"/>
      <c r="D75" s="120"/>
      <c r="E75" s="39"/>
      <c r="F75" s="39"/>
      <c r="G75" s="39"/>
      <c r="H75" s="7">
        <f t="shared" si="9"/>
        <v>0</v>
      </c>
      <c r="I75" s="7">
        <f t="shared" si="10"/>
        <v>0</v>
      </c>
      <c r="J75" s="40" t="s">
        <v>181</v>
      </c>
      <c r="K75" s="39"/>
      <c r="L75" s="39"/>
      <c r="M75" s="39"/>
      <c r="N75" s="7">
        <f t="shared" si="11"/>
        <v>0</v>
      </c>
      <c r="O75" s="39"/>
      <c r="P75" s="7">
        <f t="shared" si="8"/>
        <v>0</v>
      </c>
      <c r="Q75" s="39"/>
      <c r="R75" s="39"/>
    </row>
    <row r="76" spans="1:18" s="41" customFormat="1" ht="14.4" x14ac:dyDescent="0.3">
      <c r="A76" s="126"/>
      <c r="B76" s="114"/>
      <c r="C76" s="120"/>
      <c r="D76" s="120"/>
      <c r="E76" s="39"/>
      <c r="F76" s="39"/>
      <c r="G76" s="39"/>
      <c r="H76" s="7">
        <f t="shared" si="9"/>
        <v>0</v>
      </c>
      <c r="I76" s="7">
        <f t="shared" si="10"/>
        <v>0</v>
      </c>
      <c r="J76" s="40" t="s">
        <v>182</v>
      </c>
      <c r="K76" s="39"/>
      <c r="L76" s="39"/>
      <c r="M76" s="39"/>
      <c r="N76" s="7">
        <f t="shared" si="11"/>
        <v>0</v>
      </c>
      <c r="O76" s="39"/>
      <c r="P76" s="7">
        <f t="shared" si="8"/>
        <v>0</v>
      </c>
      <c r="Q76" s="39"/>
      <c r="R76" s="39"/>
    </row>
    <row r="77" spans="1:18" s="41" customFormat="1" ht="14.4" x14ac:dyDescent="0.3">
      <c r="A77" s="126"/>
      <c r="B77" s="115"/>
      <c r="C77" s="121"/>
      <c r="D77" s="121"/>
      <c r="E77" s="39"/>
      <c r="F77" s="39"/>
      <c r="G77" s="39"/>
      <c r="H77" s="7">
        <f t="shared" si="9"/>
        <v>0</v>
      </c>
      <c r="I77" s="7">
        <f t="shared" si="10"/>
        <v>0</v>
      </c>
      <c r="J77" s="40" t="s">
        <v>183</v>
      </c>
      <c r="K77" s="39"/>
      <c r="L77" s="39"/>
      <c r="M77" s="39"/>
      <c r="N77" s="7">
        <f t="shared" si="11"/>
        <v>0</v>
      </c>
      <c r="O77" s="39"/>
      <c r="P77" s="7">
        <f t="shared" si="8"/>
        <v>0</v>
      </c>
      <c r="Q77" s="39"/>
      <c r="R77" s="39"/>
    </row>
    <row r="78" spans="1:18" s="41" customFormat="1" ht="14.4" x14ac:dyDescent="0.3">
      <c r="A78" s="126"/>
      <c r="B78" s="113" t="s">
        <v>65</v>
      </c>
      <c r="C78" s="116" t="s">
        <v>71</v>
      </c>
      <c r="D78" s="110" t="s">
        <v>149</v>
      </c>
      <c r="E78" s="39"/>
      <c r="F78" s="39"/>
      <c r="G78" s="39"/>
      <c r="H78" s="7">
        <f t="shared" si="9"/>
        <v>0</v>
      </c>
      <c r="I78" s="7">
        <f t="shared" si="10"/>
        <v>0</v>
      </c>
      <c r="J78" s="40" t="s">
        <v>172</v>
      </c>
      <c r="K78" s="39"/>
      <c r="L78" s="39"/>
      <c r="M78" s="39"/>
      <c r="N78" s="7">
        <f t="shared" si="11"/>
        <v>0</v>
      </c>
      <c r="O78" s="39"/>
      <c r="P78" s="7">
        <f t="shared" si="8"/>
        <v>0</v>
      </c>
      <c r="Q78" s="39"/>
      <c r="R78" s="39"/>
    </row>
    <row r="79" spans="1:18" s="41" customFormat="1" ht="14.4" x14ac:dyDescent="0.3">
      <c r="A79" s="126"/>
      <c r="B79" s="114"/>
      <c r="C79" s="117"/>
      <c r="D79" s="111"/>
      <c r="E79" s="39"/>
      <c r="F79" s="39"/>
      <c r="G79" s="39"/>
      <c r="H79" s="7">
        <f t="shared" si="9"/>
        <v>0</v>
      </c>
      <c r="I79" s="7">
        <f t="shared" si="10"/>
        <v>0</v>
      </c>
      <c r="J79" s="40" t="s">
        <v>178</v>
      </c>
      <c r="K79" s="39"/>
      <c r="L79" s="39"/>
      <c r="M79" s="39"/>
      <c r="N79" s="7">
        <f t="shared" si="11"/>
        <v>0</v>
      </c>
      <c r="O79" s="39"/>
      <c r="P79" s="7">
        <f t="shared" si="8"/>
        <v>0</v>
      </c>
      <c r="Q79" s="39"/>
      <c r="R79" s="39"/>
    </row>
    <row r="80" spans="1:18" s="41" customFormat="1" ht="14.4" x14ac:dyDescent="0.3">
      <c r="A80" s="126"/>
      <c r="B80" s="114"/>
      <c r="C80" s="117"/>
      <c r="D80" s="111"/>
      <c r="E80" s="39"/>
      <c r="F80" s="39"/>
      <c r="G80" s="39"/>
      <c r="H80" s="7">
        <f t="shared" si="9"/>
        <v>0</v>
      </c>
      <c r="I80" s="7">
        <f t="shared" si="10"/>
        <v>0</v>
      </c>
      <c r="J80" s="40" t="s">
        <v>177</v>
      </c>
      <c r="K80" s="39"/>
      <c r="L80" s="39"/>
      <c r="M80" s="39"/>
      <c r="N80" s="7">
        <f t="shared" si="11"/>
        <v>0</v>
      </c>
      <c r="O80" s="43"/>
      <c r="P80" s="7">
        <f t="shared" ref="P80:P138" si="12">+N80*O80</f>
        <v>0</v>
      </c>
      <c r="Q80" s="39"/>
      <c r="R80" s="39"/>
    </row>
    <row r="81" spans="1:20" s="41" customFormat="1" ht="14.4" x14ac:dyDescent="0.3">
      <c r="A81" s="126"/>
      <c r="B81" s="114"/>
      <c r="C81" s="117"/>
      <c r="D81" s="111"/>
      <c r="E81" s="39"/>
      <c r="F81" s="39"/>
      <c r="G81" s="39"/>
      <c r="H81" s="7">
        <f t="shared" si="9"/>
        <v>0</v>
      </c>
      <c r="I81" s="7">
        <f t="shared" si="10"/>
        <v>0</v>
      </c>
      <c r="J81" s="40" t="s">
        <v>180</v>
      </c>
      <c r="K81" s="39"/>
      <c r="L81" s="39"/>
      <c r="M81" s="39"/>
      <c r="N81" s="7">
        <f t="shared" si="11"/>
        <v>0</v>
      </c>
      <c r="O81" s="39"/>
      <c r="P81" s="7">
        <f t="shared" si="12"/>
        <v>0</v>
      </c>
      <c r="Q81" s="39"/>
      <c r="R81" s="39"/>
    </row>
    <row r="82" spans="1:20" s="41" customFormat="1" ht="14.4" x14ac:dyDescent="0.3">
      <c r="A82" s="126"/>
      <c r="B82" s="114"/>
      <c r="C82" s="117"/>
      <c r="D82" s="111"/>
      <c r="E82" s="39"/>
      <c r="F82" s="39"/>
      <c r="G82" s="39"/>
      <c r="H82" s="7">
        <f t="shared" si="9"/>
        <v>0</v>
      </c>
      <c r="I82" s="7">
        <f t="shared" si="10"/>
        <v>0</v>
      </c>
      <c r="J82" s="40" t="s">
        <v>181</v>
      </c>
      <c r="K82" s="39"/>
      <c r="L82" s="39"/>
      <c r="M82" s="39"/>
      <c r="N82" s="7">
        <f t="shared" si="11"/>
        <v>0</v>
      </c>
      <c r="O82" s="39"/>
      <c r="P82" s="7">
        <f t="shared" si="12"/>
        <v>0</v>
      </c>
      <c r="Q82" s="39"/>
      <c r="R82" s="39"/>
    </row>
    <row r="83" spans="1:20" s="41" customFormat="1" ht="14.4" x14ac:dyDescent="0.3">
      <c r="A83" s="126"/>
      <c r="B83" s="115"/>
      <c r="C83" s="118"/>
      <c r="D83" s="112"/>
      <c r="E83" s="39"/>
      <c r="F83" s="39"/>
      <c r="G83" s="39"/>
      <c r="H83" s="7">
        <f t="shared" si="9"/>
        <v>0</v>
      </c>
      <c r="I83" s="7">
        <f t="shared" si="10"/>
        <v>0</v>
      </c>
      <c r="J83" s="40" t="s">
        <v>182</v>
      </c>
      <c r="K83" s="39"/>
      <c r="L83" s="39"/>
      <c r="M83" s="39"/>
      <c r="N83" s="7">
        <f t="shared" si="11"/>
        <v>0</v>
      </c>
      <c r="O83" s="39"/>
      <c r="P83" s="7">
        <f t="shared" si="12"/>
        <v>0</v>
      </c>
      <c r="Q83" s="39"/>
      <c r="R83" s="39"/>
    </row>
    <row r="84" spans="1:20" s="41" customFormat="1" ht="33" customHeight="1" x14ac:dyDescent="0.3">
      <c r="A84" s="126"/>
      <c r="B84" s="113" t="s">
        <v>26</v>
      </c>
      <c r="C84" s="107" t="s">
        <v>76</v>
      </c>
      <c r="D84" s="119" t="s">
        <v>75</v>
      </c>
      <c r="E84" s="39"/>
      <c r="F84" s="39"/>
      <c r="G84" s="39"/>
      <c r="H84" s="7">
        <f t="shared" si="9"/>
        <v>0</v>
      </c>
      <c r="I84" s="7">
        <f t="shared" si="10"/>
        <v>0</v>
      </c>
      <c r="J84" s="40" t="s">
        <v>173</v>
      </c>
      <c r="K84" s="39"/>
      <c r="L84" s="39"/>
      <c r="M84" s="39"/>
      <c r="N84" s="7">
        <f t="shared" si="11"/>
        <v>0</v>
      </c>
      <c r="O84" s="39"/>
      <c r="P84" s="7">
        <f t="shared" si="12"/>
        <v>0</v>
      </c>
      <c r="Q84" s="39"/>
      <c r="R84" s="39"/>
    </row>
    <row r="85" spans="1:20" s="41" customFormat="1" ht="14.4" x14ac:dyDescent="0.3">
      <c r="A85" s="126"/>
      <c r="B85" s="114"/>
      <c r="C85" s="108"/>
      <c r="D85" s="120"/>
      <c r="E85" s="39"/>
      <c r="F85" s="39"/>
      <c r="G85" s="39"/>
      <c r="H85" s="7">
        <f t="shared" si="9"/>
        <v>0</v>
      </c>
      <c r="I85" s="7">
        <f t="shared" si="10"/>
        <v>0</v>
      </c>
      <c r="J85" s="40" t="s">
        <v>178</v>
      </c>
      <c r="K85" s="39"/>
      <c r="L85" s="39"/>
      <c r="M85" s="39"/>
      <c r="N85" s="7">
        <f t="shared" si="11"/>
        <v>0</v>
      </c>
      <c r="O85" s="39"/>
      <c r="P85" s="7">
        <f t="shared" si="12"/>
        <v>0</v>
      </c>
      <c r="Q85" s="39"/>
      <c r="R85" s="39"/>
    </row>
    <row r="86" spans="1:20" s="41" customFormat="1" ht="14.4" x14ac:dyDescent="0.3">
      <c r="A86" s="126"/>
      <c r="B86" s="114"/>
      <c r="C86" s="108"/>
      <c r="D86" s="120"/>
      <c r="E86" s="39"/>
      <c r="F86" s="39"/>
      <c r="G86" s="39"/>
      <c r="H86" s="7">
        <f t="shared" si="9"/>
        <v>0</v>
      </c>
      <c r="I86" s="7">
        <f t="shared" si="10"/>
        <v>0</v>
      </c>
      <c r="J86" s="40" t="s">
        <v>177</v>
      </c>
      <c r="K86" s="39"/>
      <c r="L86" s="39"/>
      <c r="M86" s="39"/>
      <c r="N86" s="7">
        <f t="shared" si="11"/>
        <v>0</v>
      </c>
      <c r="O86" s="39"/>
      <c r="P86" s="7">
        <f t="shared" si="12"/>
        <v>0</v>
      </c>
      <c r="Q86" s="39"/>
      <c r="R86" s="39"/>
    </row>
    <row r="87" spans="1:20" s="41" customFormat="1" ht="14.4" x14ac:dyDescent="0.3">
      <c r="A87" s="126"/>
      <c r="B87" s="114"/>
      <c r="C87" s="108"/>
      <c r="D87" s="120"/>
      <c r="E87" s="39"/>
      <c r="F87" s="39"/>
      <c r="G87" s="39"/>
      <c r="H87" s="7">
        <f t="shared" si="9"/>
        <v>0</v>
      </c>
      <c r="I87" s="7">
        <f t="shared" si="10"/>
        <v>0</v>
      </c>
      <c r="J87" s="40" t="s">
        <v>180</v>
      </c>
      <c r="K87" s="39"/>
      <c r="L87" s="39"/>
      <c r="M87" s="39"/>
      <c r="N87" s="7">
        <f t="shared" si="11"/>
        <v>0</v>
      </c>
      <c r="O87" s="39"/>
      <c r="P87" s="7">
        <f t="shared" si="12"/>
        <v>0</v>
      </c>
      <c r="Q87" s="39"/>
      <c r="R87" s="39"/>
    </row>
    <row r="88" spans="1:20" s="41" customFormat="1" ht="14.4" x14ac:dyDescent="0.3">
      <c r="A88" s="126"/>
      <c r="B88" s="114"/>
      <c r="C88" s="108"/>
      <c r="D88" s="120"/>
      <c r="E88" s="39"/>
      <c r="F88" s="39"/>
      <c r="G88" s="39"/>
      <c r="H88" s="7">
        <f t="shared" si="9"/>
        <v>0</v>
      </c>
      <c r="I88" s="7">
        <f t="shared" si="10"/>
        <v>0</v>
      </c>
      <c r="J88" s="40" t="s">
        <v>181</v>
      </c>
      <c r="K88" s="39"/>
      <c r="L88" s="39"/>
      <c r="M88" s="39"/>
      <c r="N88" s="7">
        <f t="shared" si="11"/>
        <v>0</v>
      </c>
      <c r="O88" s="39"/>
      <c r="P88" s="7">
        <f t="shared" si="12"/>
        <v>0</v>
      </c>
      <c r="Q88" s="39"/>
      <c r="R88" s="39"/>
    </row>
    <row r="89" spans="1:20" s="41" customFormat="1" ht="14.4" x14ac:dyDescent="0.3">
      <c r="A89" s="126"/>
      <c r="B89" s="115"/>
      <c r="C89" s="109"/>
      <c r="D89" s="121"/>
      <c r="E89" s="39"/>
      <c r="F89" s="39"/>
      <c r="G89" s="39"/>
      <c r="H89" s="7">
        <f t="shared" si="9"/>
        <v>0</v>
      </c>
      <c r="I89" s="7">
        <f t="shared" si="10"/>
        <v>0</v>
      </c>
      <c r="J89" s="40" t="s">
        <v>182</v>
      </c>
      <c r="K89" s="39"/>
      <c r="L89" s="39"/>
      <c r="M89" s="39"/>
      <c r="N89" s="7">
        <f t="shared" si="11"/>
        <v>0</v>
      </c>
      <c r="O89" s="39"/>
      <c r="P89" s="7">
        <f t="shared" si="12"/>
        <v>0</v>
      </c>
      <c r="Q89" s="39"/>
      <c r="R89" s="39"/>
    </row>
    <row r="90" spans="1:20" s="41" customFormat="1" ht="33" customHeight="1" x14ac:dyDescent="0.3">
      <c r="A90" s="126"/>
      <c r="B90" s="104" t="s">
        <v>148</v>
      </c>
      <c r="C90" s="107" t="s">
        <v>76</v>
      </c>
      <c r="D90" s="110" t="s">
        <v>150</v>
      </c>
      <c r="E90" s="39"/>
      <c r="F90" s="39"/>
      <c r="G90" s="39"/>
      <c r="H90" s="7">
        <f t="shared" si="9"/>
        <v>0</v>
      </c>
      <c r="I90" s="7">
        <f t="shared" si="10"/>
        <v>0</v>
      </c>
      <c r="J90" s="40" t="s">
        <v>143</v>
      </c>
      <c r="K90" s="39"/>
      <c r="L90" s="39"/>
      <c r="M90" s="39"/>
      <c r="N90" s="7">
        <f t="shared" si="11"/>
        <v>0</v>
      </c>
      <c r="O90" s="39"/>
      <c r="P90" s="7">
        <f t="shared" si="12"/>
        <v>0</v>
      </c>
      <c r="Q90" s="39"/>
      <c r="R90" s="39"/>
    </row>
    <row r="91" spans="1:20" s="41" customFormat="1" ht="14.4" x14ac:dyDescent="0.3">
      <c r="A91" s="126"/>
      <c r="B91" s="105"/>
      <c r="C91" s="108"/>
      <c r="D91" s="111"/>
      <c r="E91" s="39"/>
      <c r="F91" s="39"/>
      <c r="G91" s="39"/>
      <c r="H91" s="7">
        <f t="shared" si="9"/>
        <v>0</v>
      </c>
      <c r="I91" s="7">
        <f t="shared" si="10"/>
        <v>0</v>
      </c>
      <c r="J91" s="40" t="s">
        <v>178</v>
      </c>
      <c r="K91" s="39"/>
      <c r="L91" s="39"/>
      <c r="M91" s="39"/>
      <c r="N91" s="7">
        <f t="shared" si="11"/>
        <v>0</v>
      </c>
      <c r="O91" s="39"/>
      <c r="P91" s="7">
        <f t="shared" si="12"/>
        <v>0</v>
      </c>
      <c r="Q91" s="39"/>
      <c r="R91" s="39"/>
    </row>
    <row r="92" spans="1:20" s="41" customFormat="1" ht="14.4" x14ac:dyDescent="0.3">
      <c r="A92" s="126"/>
      <c r="B92" s="105"/>
      <c r="C92" s="108"/>
      <c r="D92" s="111"/>
      <c r="E92" s="39"/>
      <c r="F92" s="39"/>
      <c r="G92" s="39"/>
      <c r="H92" s="7">
        <f t="shared" si="9"/>
        <v>0</v>
      </c>
      <c r="I92" s="7">
        <f t="shared" si="10"/>
        <v>0</v>
      </c>
      <c r="J92" s="40" t="s">
        <v>177</v>
      </c>
      <c r="K92" s="39"/>
      <c r="L92" s="39"/>
      <c r="M92" s="39"/>
      <c r="N92" s="7">
        <f t="shared" si="11"/>
        <v>0</v>
      </c>
      <c r="O92" s="39"/>
      <c r="P92" s="7">
        <f t="shared" si="12"/>
        <v>0</v>
      </c>
      <c r="Q92" s="39"/>
      <c r="R92" s="39"/>
    </row>
    <row r="93" spans="1:20" s="41" customFormat="1" ht="14.4" x14ac:dyDescent="0.3">
      <c r="A93" s="126"/>
      <c r="B93" s="105"/>
      <c r="C93" s="108"/>
      <c r="D93" s="111"/>
      <c r="E93" s="39"/>
      <c r="F93" s="39"/>
      <c r="G93" s="39"/>
      <c r="H93" s="7">
        <f t="shared" si="9"/>
        <v>0</v>
      </c>
      <c r="I93" s="7">
        <f t="shared" si="10"/>
        <v>0</v>
      </c>
      <c r="J93" s="40" t="s">
        <v>180</v>
      </c>
      <c r="K93" s="39"/>
      <c r="L93" s="39"/>
      <c r="M93" s="39"/>
      <c r="N93" s="7">
        <f t="shared" si="11"/>
        <v>0</v>
      </c>
      <c r="O93" s="39"/>
      <c r="P93" s="7">
        <f t="shared" si="12"/>
        <v>0</v>
      </c>
      <c r="Q93" s="39"/>
      <c r="R93" s="39"/>
    </row>
    <row r="94" spans="1:20" s="41" customFormat="1" ht="14.4" x14ac:dyDescent="0.3">
      <c r="A94" s="126"/>
      <c r="B94" s="105"/>
      <c r="C94" s="108"/>
      <c r="D94" s="111"/>
      <c r="E94" s="39"/>
      <c r="F94" s="39"/>
      <c r="G94" s="39"/>
      <c r="H94" s="7">
        <f t="shared" si="9"/>
        <v>0</v>
      </c>
      <c r="I94" s="7">
        <f t="shared" si="10"/>
        <v>0</v>
      </c>
      <c r="J94" s="40" t="s">
        <v>181</v>
      </c>
      <c r="K94" s="39"/>
      <c r="L94" s="39"/>
      <c r="M94" s="39"/>
      <c r="N94" s="7">
        <f t="shared" si="11"/>
        <v>0</v>
      </c>
      <c r="O94" s="39"/>
      <c r="P94" s="7">
        <f t="shared" si="12"/>
        <v>0</v>
      </c>
      <c r="Q94" s="39"/>
      <c r="R94" s="39"/>
    </row>
    <row r="95" spans="1:20" s="41" customFormat="1" ht="15" thickBot="1" x14ac:dyDescent="0.35">
      <c r="A95" s="127"/>
      <c r="B95" s="106"/>
      <c r="C95" s="109"/>
      <c r="D95" s="112"/>
      <c r="E95" s="39"/>
      <c r="F95" s="39"/>
      <c r="G95" s="39"/>
      <c r="H95" s="7">
        <f t="shared" si="9"/>
        <v>0</v>
      </c>
      <c r="I95" s="7">
        <f t="shared" si="10"/>
        <v>0</v>
      </c>
      <c r="J95" s="40" t="s">
        <v>182</v>
      </c>
      <c r="K95" s="39"/>
      <c r="L95" s="39"/>
      <c r="M95" s="39"/>
      <c r="N95" s="7">
        <f t="shared" si="11"/>
        <v>0</v>
      </c>
      <c r="O95" s="39"/>
      <c r="P95" s="7">
        <f t="shared" si="12"/>
        <v>0</v>
      </c>
      <c r="Q95" s="39"/>
      <c r="R95" s="39"/>
    </row>
    <row r="96" spans="1:20" ht="23.25" customHeight="1" x14ac:dyDescent="0.3">
      <c r="A96" s="51" t="s">
        <v>27</v>
      </c>
      <c r="B96" s="91" t="s">
        <v>28</v>
      </c>
      <c r="C96" s="65" t="s">
        <v>77</v>
      </c>
      <c r="D96" s="54" t="s">
        <v>78</v>
      </c>
      <c r="E96" s="7"/>
      <c r="F96" s="7"/>
      <c r="G96" s="7"/>
      <c r="H96" s="7">
        <f t="shared" ref="H96:H129" si="13">+E96*F96*G96</f>
        <v>0</v>
      </c>
      <c r="I96" s="7">
        <f t="shared" ref="I96:I129" si="14">+H96*E$1</f>
        <v>0</v>
      </c>
      <c r="J96" s="15" t="s">
        <v>176</v>
      </c>
      <c r="K96" s="7"/>
      <c r="L96" s="7"/>
      <c r="M96" s="7"/>
      <c r="N96" s="7">
        <f t="shared" si="11"/>
        <v>0</v>
      </c>
      <c r="O96" s="7"/>
      <c r="P96" s="7">
        <f t="shared" si="12"/>
        <v>0</v>
      </c>
      <c r="Q96" s="95" t="s">
        <v>134</v>
      </c>
      <c r="R96" s="96"/>
      <c r="S96" s="97"/>
      <c r="T96" s="98"/>
    </row>
    <row r="97" spans="1:20" ht="23.25" customHeight="1" x14ac:dyDescent="0.3">
      <c r="A97" s="52"/>
      <c r="B97" s="103"/>
      <c r="C97" s="66"/>
      <c r="D97" s="56"/>
      <c r="E97" s="7"/>
      <c r="F97" s="7"/>
      <c r="G97" s="7"/>
      <c r="H97" s="7">
        <f t="shared" si="13"/>
        <v>0</v>
      </c>
      <c r="I97" s="7">
        <f t="shared" si="14"/>
        <v>0</v>
      </c>
      <c r="J97" s="15" t="s">
        <v>112</v>
      </c>
      <c r="K97" s="7"/>
      <c r="L97" s="7"/>
      <c r="M97" s="7"/>
      <c r="N97" s="7">
        <f t="shared" si="11"/>
        <v>0</v>
      </c>
      <c r="O97" s="7"/>
      <c r="P97" s="7">
        <f t="shared" si="12"/>
        <v>0</v>
      </c>
      <c r="Q97" s="95"/>
      <c r="R97" s="96"/>
      <c r="S97" s="96"/>
      <c r="T97" s="99"/>
    </row>
    <row r="98" spans="1:20" ht="23.25" customHeight="1" x14ac:dyDescent="0.3">
      <c r="A98" s="52"/>
      <c r="B98" s="103"/>
      <c r="C98" s="66"/>
      <c r="D98" s="56"/>
      <c r="E98" s="7"/>
      <c r="F98" s="7"/>
      <c r="G98" s="7"/>
      <c r="H98" s="7">
        <f t="shared" si="13"/>
        <v>0</v>
      </c>
      <c r="I98" s="7">
        <f t="shared" si="14"/>
        <v>0</v>
      </c>
      <c r="J98" s="15" t="s">
        <v>177</v>
      </c>
      <c r="K98" s="7"/>
      <c r="L98" s="7"/>
      <c r="M98" s="7"/>
      <c r="N98" s="7">
        <f t="shared" si="11"/>
        <v>0</v>
      </c>
      <c r="O98" s="7"/>
      <c r="P98" s="7">
        <f t="shared" si="12"/>
        <v>0</v>
      </c>
      <c r="Q98" s="95"/>
      <c r="R98" s="96"/>
      <c r="S98" s="96"/>
      <c r="T98" s="99"/>
    </row>
    <row r="99" spans="1:20" ht="23.25" customHeight="1" x14ac:dyDescent="0.3">
      <c r="A99" s="52"/>
      <c r="B99" s="103"/>
      <c r="C99" s="66"/>
      <c r="D99" s="56"/>
      <c r="E99" s="7"/>
      <c r="F99" s="7"/>
      <c r="G99" s="7"/>
      <c r="H99" s="7">
        <f t="shared" si="13"/>
        <v>0</v>
      </c>
      <c r="I99" s="7">
        <f t="shared" si="14"/>
        <v>0</v>
      </c>
      <c r="J99" s="15" t="s">
        <v>137</v>
      </c>
      <c r="K99" s="7"/>
      <c r="L99" s="7"/>
      <c r="M99" s="7"/>
      <c r="N99" s="7">
        <f t="shared" si="11"/>
        <v>0</v>
      </c>
      <c r="O99" s="7"/>
      <c r="P99" s="7">
        <f t="shared" si="12"/>
        <v>0</v>
      </c>
      <c r="Q99" s="95"/>
      <c r="R99" s="96"/>
      <c r="S99" s="96"/>
      <c r="T99" s="99"/>
    </row>
    <row r="100" spans="1:20" ht="23.25" customHeight="1" x14ac:dyDescent="0.3">
      <c r="A100" s="53"/>
      <c r="B100" s="92"/>
      <c r="C100" s="66"/>
      <c r="D100" s="55"/>
      <c r="E100" s="7"/>
      <c r="F100" s="7"/>
      <c r="G100" s="7"/>
      <c r="H100" s="7">
        <f t="shared" si="13"/>
        <v>0</v>
      </c>
      <c r="I100" s="7">
        <f t="shared" si="14"/>
        <v>0</v>
      </c>
      <c r="J100" s="15" t="s">
        <v>130</v>
      </c>
      <c r="K100" s="7"/>
      <c r="L100" s="7"/>
      <c r="M100" s="7"/>
      <c r="N100" s="7">
        <f t="shared" si="11"/>
        <v>0</v>
      </c>
      <c r="O100" s="7"/>
      <c r="P100" s="7">
        <f t="shared" si="12"/>
        <v>0</v>
      </c>
      <c r="Q100" s="95"/>
      <c r="R100" s="96"/>
      <c r="S100" s="96"/>
      <c r="T100" s="99"/>
    </row>
    <row r="101" spans="1:20" ht="23.25" customHeight="1" x14ac:dyDescent="0.3">
      <c r="A101" s="51" t="s">
        <v>29</v>
      </c>
      <c r="B101" s="91" t="s">
        <v>30</v>
      </c>
      <c r="C101" s="66"/>
      <c r="D101" s="54" t="s">
        <v>75</v>
      </c>
      <c r="E101" s="7"/>
      <c r="F101" s="7"/>
      <c r="G101" s="7"/>
      <c r="H101" s="7">
        <f t="shared" si="13"/>
        <v>0</v>
      </c>
      <c r="I101" s="7">
        <f t="shared" si="14"/>
        <v>0</v>
      </c>
      <c r="J101" s="15" t="s">
        <v>122</v>
      </c>
      <c r="K101" s="7"/>
      <c r="L101" s="7"/>
      <c r="M101" s="7"/>
      <c r="N101" s="7">
        <f t="shared" si="11"/>
        <v>0</v>
      </c>
      <c r="O101" s="7"/>
      <c r="P101" s="7">
        <f t="shared" si="12"/>
        <v>0</v>
      </c>
      <c r="Q101" s="95"/>
      <c r="R101" s="96"/>
      <c r="S101" s="96"/>
      <c r="T101" s="99"/>
    </row>
    <row r="102" spans="1:20" ht="23.25" customHeight="1" x14ac:dyDescent="0.3">
      <c r="A102" s="52"/>
      <c r="B102" s="103"/>
      <c r="C102" s="66"/>
      <c r="D102" s="56"/>
      <c r="E102" s="7"/>
      <c r="F102" s="7"/>
      <c r="G102" s="7"/>
      <c r="H102" s="7">
        <f t="shared" si="13"/>
        <v>0</v>
      </c>
      <c r="I102" s="7">
        <f t="shared" si="14"/>
        <v>0</v>
      </c>
      <c r="J102" s="15" t="s">
        <v>112</v>
      </c>
      <c r="K102" s="7"/>
      <c r="L102" s="7"/>
      <c r="M102" s="7"/>
      <c r="N102" s="7">
        <f t="shared" si="11"/>
        <v>0</v>
      </c>
      <c r="O102" s="7"/>
      <c r="P102" s="7">
        <f t="shared" si="12"/>
        <v>0</v>
      </c>
      <c r="Q102" s="95"/>
      <c r="R102" s="96"/>
      <c r="S102" s="96"/>
      <c r="T102" s="99"/>
    </row>
    <row r="103" spans="1:20" ht="23.25" customHeight="1" x14ac:dyDescent="0.3">
      <c r="A103" s="52"/>
      <c r="B103" s="103"/>
      <c r="C103" s="66"/>
      <c r="D103" s="56"/>
      <c r="E103" s="7"/>
      <c r="F103" s="7"/>
      <c r="G103" s="7"/>
      <c r="H103" s="7">
        <f t="shared" si="13"/>
        <v>0</v>
      </c>
      <c r="I103" s="7">
        <f t="shared" si="14"/>
        <v>0</v>
      </c>
      <c r="J103" s="15" t="s">
        <v>136</v>
      </c>
      <c r="K103" s="7"/>
      <c r="L103" s="7"/>
      <c r="M103" s="7"/>
      <c r="N103" s="7">
        <f t="shared" si="11"/>
        <v>0</v>
      </c>
      <c r="O103" s="7"/>
      <c r="P103" s="7">
        <f t="shared" si="12"/>
        <v>0</v>
      </c>
      <c r="Q103" s="95"/>
      <c r="R103" s="96"/>
      <c r="S103" s="96"/>
      <c r="T103" s="99"/>
    </row>
    <row r="104" spans="1:20" ht="23.25" customHeight="1" x14ac:dyDescent="0.3">
      <c r="A104" s="52"/>
      <c r="B104" s="103"/>
      <c r="C104" s="66"/>
      <c r="D104" s="56"/>
      <c r="E104" s="7"/>
      <c r="F104" s="7"/>
      <c r="G104" s="7"/>
      <c r="H104" s="7">
        <f t="shared" si="13"/>
        <v>0</v>
      </c>
      <c r="I104" s="7">
        <f t="shared" si="14"/>
        <v>0</v>
      </c>
      <c r="J104" s="15" t="s">
        <v>137</v>
      </c>
      <c r="K104" s="7"/>
      <c r="L104" s="7"/>
      <c r="M104" s="7"/>
      <c r="N104" s="7">
        <f t="shared" si="11"/>
        <v>0</v>
      </c>
      <c r="O104" s="7"/>
      <c r="P104" s="7">
        <f t="shared" si="12"/>
        <v>0</v>
      </c>
      <c r="Q104" s="95"/>
      <c r="R104" s="96"/>
      <c r="S104" s="96"/>
      <c r="T104" s="99"/>
    </row>
    <row r="105" spans="1:20" ht="23.25" customHeight="1" thickBot="1" x14ac:dyDescent="0.35">
      <c r="A105" s="53"/>
      <c r="B105" s="92"/>
      <c r="C105" s="67"/>
      <c r="D105" s="55"/>
      <c r="E105" s="7"/>
      <c r="F105" s="7"/>
      <c r="G105" s="7"/>
      <c r="H105" s="7">
        <f t="shared" si="13"/>
        <v>0</v>
      </c>
      <c r="I105" s="7">
        <f t="shared" si="14"/>
        <v>0</v>
      </c>
      <c r="J105" s="15" t="s">
        <v>130</v>
      </c>
      <c r="K105" s="7"/>
      <c r="L105" s="7"/>
      <c r="M105" s="7"/>
      <c r="N105" s="7">
        <f t="shared" si="11"/>
        <v>0</v>
      </c>
      <c r="O105" s="7"/>
      <c r="P105" s="7">
        <f t="shared" si="12"/>
        <v>0</v>
      </c>
      <c r="Q105" s="100"/>
      <c r="R105" s="101"/>
      <c r="S105" s="101"/>
      <c r="T105" s="102"/>
    </row>
    <row r="106" spans="1:20" ht="33" customHeight="1" x14ac:dyDescent="0.3">
      <c r="A106" s="51" t="s">
        <v>31</v>
      </c>
      <c r="B106" s="88" t="s">
        <v>32</v>
      </c>
      <c r="C106" s="65" t="s">
        <v>76</v>
      </c>
      <c r="D106" s="7" t="s">
        <v>75</v>
      </c>
      <c r="E106" s="7"/>
      <c r="F106" s="7"/>
      <c r="G106" s="7"/>
      <c r="H106" s="7">
        <f t="shared" si="13"/>
        <v>0</v>
      </c>
      <c r="I106" s="7">
        <f t="shared" si="14"/>
        <v>0</v>
      </c>
      <c r="J106" s="15" t="s">
        <v>139</v>
      </c>
      <c r="K106" s="7"/>
      <c r="L106" s="7"/>
      <c r="M106" s="7"/>
      <c r="N106" s="7">
        <f t="shared" si="11"/>
        <v>0</v>
      </c>
      <c r="O106" s="7"/>
      <c r="P106" s="7">
        <f t="shared" si="12"/>
        <v>0</v>
      </c>
      <c r="Q106" s="7"/>
      <c r="R106" s="7"/>
    </row>
    <row r="107" spans="1:20" ht="14.4" x14ac:dyDescent="0.3">
      <c r="A107" s="52"/>
      <c r="B107" s="89"/>
      <c r="C107" s="66"/>
      <c r="D107" s="7"/>
      <c r="E107" s="7"/>
      <c r="F107" s="7"/>
      <c r="G107" s="7"/>
      <c r="H107" s="7">
        <f t="shared" si="13"/>
        <v>0</v>
      </c>
      <c r="I107" s="7">
        <f t="shared" si="14"/>
        <v>0</v>
      </c>
      <c r="J107" s="15" t="s">
        <v>140</v>
      </c>
      <c r="K107" s="7"/>
      <c r="L107" s="7"/>
      <c r="M107" s="7"/>
      <c r="N107" s="7">
        <f t="shared" si="11"/>
        <v>0</v>
      </c>
      <c r="O107" s="7"/>
      <c r="P107" s="7">
        <f t="shared" si="12"/>
        <v>0</v>
      </c>
      <c r="Q107" s="7"/>
      <c r="R107" s="7"/>
    </row>
    <row r="108" spans="1:20" ht="14.4" x14ac:dyDescent="0.3">
      <c r="A108" s="53"/>
      <c r="B108" s="90"/>
      <c r="C108" s="67"/>
      <c r="D108" s="7"/>
      <c r="E108" s="7"/>
      <c r="F108" s="7"/>
      <c r="G108" s="7"/>
      <c r="H108" s="7">
        <f t="shared" si="13"/>
        <v>0</v>
      </c>
      <c r="I108" s="7">
        <f t="shared" si="14"/>
        <v>0</v>
      </c>
      <c r="J108" s="15" t="s">
        <v>141</v>
      </c>
      <c r="K108" s="7"/>
      <c r="L108" s="7"/>
      <c r="M108" s="7"/>
      <c r="N108" s="7">
        <f t="shared" si="11"/>
        <v>0</v>
      </c>
      <c r="O108" s="7"/>
      <c r="P108" s="7">
        <f t="shared" si="12"/>
        <v>0</v>
      </c>
      <c r="Q108" s="7"/>
      <c r="R108" s="7"/>
    </row>
    <row r="109" spans="1:20" ht="20.25" customHeight="1" x14ac:dyDescent="0.3">
      <c r="A109" s="51" t="s">
        <v>33</v>
      </c>
      <c r="B109" s="88" t="s">
        <v>34</v>
      </c>
      <c r="C109" s="63" t="s">
        <v>138</v>
      </c>
      <c r="D109" s="54" t="s">
        <v>75</v>
      </c>
      <c r="E109" s="7"/>
      <c r="F109" s="7"/>
      <c r="G109" s="7"/>
      <c r="H109" s="7">
        <f t="shared" si="13"/>
        <v>0</v>
      </c>
      <c r="I109" s="7">
        <f t="shared" si="14"/>
        <v>0</v>
      </c>
      <c r="J109" s="15" t="s">
        <v>112</v>
      </c>
      <c r="K109" s="7"/>
      <c r="L109" s="7"/>
      <c r="M109" s="7"/>
      <c r="N109" s="7">
        <f t="shared" si="11"/>
        <v>0</v>
      </c>
      <c r="O109" s="7"/>
      <c r="P109" s="7">
        <f t="shared" si="12"/>
        <v>0</v>
      </c>
      <c r="Q109" s="7"/>
      <c r="R109" s="7"/>
    </row>
    <row r="110" spans="1:20" ht="20.25" customHeight="1" x14ac:dyDescent="0.3">
      <c r="A110" s="52"/>
      <c r="B110" s="89"/>
      <c r="C110" s="64"/>
      <c r="D110" s="55"/>
      <c r="E110" s="7"/>
      <c r="F110" s="7"/>
      <c r="G110" s="7"/>
      <c r="H110" s="7">
        <f t="shared" si="13"/>
        <v>0</v>
      </c>
      <c r="I110" s="7">
        <f t="shared" si="14"/>
        <v>0</v>
      </c>
      <c r="J110" s="15" t="s">
        <v>137</v>
      </c>
      <c r="K110" s="7"/>
      <c r="L110" s="7"/>
      <c r="M110" s="7"/>
      <c r="N110" s="7">
        <f t="shared" si="11"/>
        <v>0</v>
      </c>
      <c r="O110" s="7"/>
      <c r="P110" s="7">
        <f t="shared" si="12"/>
        <v>0</v>
      </c>
      <c r="Q110" s="7"/>
      <c r="R110" s="7"/>
    </row>
    <row r="111" spans="1:20" ht="20.25" customHeight="1" x14ac:dyDescent="0.3">
      <c r="A111" s="52"/>
      <c r="B111" s="89"/>
      <c r="C111" s="63" t="s">
        <v>72</v>
      </c>
      <c r="D111" s="54" t="s">
        <v>75</v>
      </c>
      <c r="E111" s="7"/>
      <c r="F111" s="7"/>
      <c r="G111" s="7"/>
      <c r="H111" s="7">
        <f t="shared" si="13"/>
        <v>0</v>
      </c>
      <c r="I111" s="7">
        <f t="shared" si="14"/>
        <v>0</v>
      </c>
      <c r="J111" s="15" t="s">
        <v>112</v>
      </c>
      <c r="K111" s="7"/>
      <c r="L111" s="7"/>
      <c r="M111" s="7"/>
      <c r="N111" s="7">
        <f t="shared" si="11"/>
        <v>0</v>
      </c>
      <c r="O111" s="7"/>
      <c r="P111" s="7">
        <f t="shared" si="12"/>
        <v>0</v>
      </c>
      <c r="Q111" s="7"/>
      <c r="R111" s="7"/>
    </row>
    <row r="112" spans="1:20" ht="20.25" customHeight="1" x14ac:dyDescent="0.3">
      <c r="A112" s="52"/>
      <c r="B112" s="89"/>
      <c r="C112" s="77"/>
      <c r="D112" s="56"/>
      <c r="E112" s="7"/>
      <c r="F112" s="7"/>
      <c r="G112" s="7"/>
      <c r="H112" s="7">
        <f t="shared" si="13"/>
        <v>0</v>
      </c>
      <c r="I112" s="7">
        <f t="shared" si="14"/>
        <v>0</v>
      </c>
      <c r="J112" s="15" t="s">
        <v>136</v>
      </c>
      <c r="K112" s="7"/>
      <c r="L112" s="7"/>
      <c r="M112" s="7"/>
      <c r="N112" s="7">
        <f t="shared" si="11"/>
        <v>0</v>
      </c>
      <c r="O112" s="7"/>
      <c r="P112" s="7">
        <f t="shared" si="12"/>
        <v>0</v>
      </c>
      <c r="Q112" s="7"/>
      <c r="R112" s="7"/>
    </row>
    <row r="113" spans="1:18" ht="20.25" customHeight="1" x14ac:dyDescent="0.3">
      <c r="A113" s="52"/>
      <c r="B113" s="90"/>
      <c r="C113" s="64"/>
      <c r="D113" s="55"/>
      <c r="E113" s="7"/>
      <c r="F113" s="7"/>
      <c r="G113" s="7"/>
      <c r="H113" s="7">
        <f t="shared" si="13"/>
        <v>0</v>
      </c>
      <c r="I113" s="7">
        <f t="shared" si="14"/>
        <v>0</v>
      </c>
      <c r="J113" s="15" t="s">
        <v>137</v>
      </c>
      <c r="K113" s="7"/>
      <c r="M113" s="7"/>
      <c r="N113" s="7">
        <f t="shared" si="11"/>
        <v>0</v>
      </c>
      <c r="O113" s="7"/>
      <c r="P113" s="7">
        <f t="shared" si="12"/>
        <v>0</v>
      </c>
      <c r="Q113" s="7"/>
      <c r="R113" s="7"/>
    </row>
    <row r="114" spans="1:18" ht="20.25" customHeight="1" x14ac:dyDescent="0.3">
      <c r="A114" s="52"/>
      <c r="B114" s="88" t="s">
        <v>35</v>
      </c>
      <c r="C114" s="65" t="s">
        <v>72</v>
      </c>
      <c r="D114" s="54" t="s">
        <v>75</v>
      </c>
      <c r="E114" s="7"/>
      <c r="F114" s="7"/>
      <c r="G114" s="7"/>
      <c r="H114" s="7">
        <f t="shared" si="13"/>
        <v>0</v>
      </c>
      <c r="I114" s="7">
        <f t="shared" si="14"/>
        <v>0</v>
      </c>
      <c r="J114" s="15" t="s">
        <v>114</v>
      </c>
      <c r="K114" s="7"/>
      <c r="L114" s="7"/>
      <c r="M114" s="7"/>
      <c r="N114" s="7">
        <f t="shared" si="11"/>
        <v>0</v>
      </c>
      <c r="O114" s="7"/>
      <c r="P114" s="7">
        <f t="shared" si="12"/>
        <v>0</v>
      </c>
      <c r="Q114" s="7"/>
      <c r="R114" s="7"/>
    </row>
    <row r="115" spans="1:18" ht="20.25" customHeight="1" x14ac:dyDescent="0.3">
      <c r="A115" s="52"/>
      <c r="B115" s="89"/>
      <c r="C115" s="66"/>
      <c r="D115" s="56"/>
      <c r="E115" s="7"/>
      <c r="F115" s="7"/>
      <c r="G115" s="7"/>
      <c r="H115" s="7">
        <f t="shared" si="13"/>
        <v>0</v>
      </c>
      <c r="I115" s="7">
        <f t="shared" si="14"/>
        <v>0</v>
      </c>
      <c r="J115" s="15" t="s">
        <v>136</v>
      </c>
      <c r="K115" s="7"/>
      <c r="L115" s="7"/>
      <c r="M115" s="7"/>
      <c r="N115" s="7">
        <f t="shared" si="11"/>
        <v>0</v>
      </c>
      <c r="O115" s="7"/>
      <c r="P115" s="7">
        <f t="shared" si="12"/>
        <v>0</v>
      </c>
      <c r="Q115" s="7"/>
      <c r="R115" s="7"/>
    </row>
    <row r="116" spans="1:18" ht="20.25" customHeight="1" x14ac:dyDescent="0.3">
      <c r="A116" s="52"/>
      <c r="B116" s="89"/>
      <c r="C116" s="66"/>
      <c r="D116" s="56"/>
      <c r="E116" s="7"/>
      <c r="F116" s="7"/>
      <c r="G116" s="7"/>
      <c r="H116" s="7">
        <f t="shared" si="13"/>
        <v>0</v>
      </c>
      <c r="I116" s="7">
        <f t="shared" si="14"/>
        <v>0</v>
      </c>
      <c r="J116" s="15" t="s">
        <v>112</v>
      </c>
      <c r="K116" s="7"/>
      <c r="L116" s="7"/>
      <c r="M116" s="7"/>
      <c r="N116" s="7">
        <f t="shared" si="11"/>
        <v>0</v>
      </c>
      <c r="O116" s="7"/>
      <c r="P116" s="7">
        <f t="shared" si="12"/>
        <v>0</v>
      </c>
      <c r="Q116" s="7"/>
      <c r="R116" s="7"/>
    </row>
    <row r="117" spans="1:18" ht="24" customHeight="1" x14ac:dyDescent="0.3">
      <c r="A117" s="53"/>
      <c r="B117" s="90"/>
      <c r="C117" s="67"/>
      <c r="D117" s="55"/>
      <c r="E117" s="7"/>
      <c r="F117" s="7"/>
      <c r="G117" s="7"/>
      <c r="H117" s="7">
        <f t="shared" si="13"/>
        <v>0</v>
      </c>
      <c r="I117" s="7">
        <f t="shared" si="14"/>
        <v>0</v>
      </c>
      <c r="J117" s="15" t="s">
        <v>137</v>
      </c>
      <c r="K117" s="7"/>
      <c r="L117" s="7"/>
      <c r="M117" s="7"/>
      <c r="N117" s="7">
        <f t="shared" si="11"/>
        <v>0</v>
      </c>
      <c r="O117" s="7"/>
      <c r="P117" s="7">
        <f t="shared" si="12"/>
        <v>0</v>
      </c>
      <c r="Q117" s="7"/>
      <c r="R117" s="7"/>
    </row>
    <row r="118" spans="1:18" ht="45" customHeight="1" x14ac:dyDescent="0.3">
      <c r="A118" s="51" t="s">
        <v>36</v>
      </c>
      <c r="B118" s="91" t="s">
        <v>37</v>
      </c>
      <c r="C118" s="65" t="s">
        <v>66</v>
      </c>
      <c r="D118" s="54" t="s">
        <v>75</v>
      </c>
      <c r="E118" s="7"/>
      <c r="F118" s="7"/>
      <c r="G118" s="7"/>
      <c r="H118" s="7">
        <f t="shared" si="13"/>
        <v>0</v>
      </c>
      <c r="I118" s="7">
        <f t="shared" si="14"/>
        <v>0</v>
      </c>
      <c r="J118" s="15" t="s">
        <v>126</v>
      </c>
      <c r="K118" s="7"/>
      <c r="L118" s="7"/>
      <c r="M118" s="7"/>
      <c r="N118" s="7">
        <f t="shared" si="11"/>
        <v>0</v>
      </c>
      <c r="O118" s="7"/>
      <c r="P118" s="7">
        <f t="shared" si="12"/>
        <v>0</v>
      </c>
      <c r="Q118" s="7"/>
      <c r="R118" s="7"/>
    </row>
    <row r="119" spans="1:18" ht="28.8" x14ac:dyDescent="0.3">
      <c r="A119" s="53"/>
      <c r="B119" s="92"/>
      <c r="C119" s="67"/>
      <c r="D119" s="55"/>
      <c r="E119" s="7"/>
      <c r="F119" s="7"/>
      <c r="G119" s="7"/>
      <c r="H119" s="7">
        <f t="shared" si="13"/>
        <v>0</v>
      </c>
      <c r="I119" s="7">
        <f t="shared" si="14"/>
        <v>0</v>
      </c>
      <c r="J119" s="15" t="s">
        <v>137</v>
      </c>
      <c r="K119" s="7"/>
      <c r="L119" s="7"/>
      <c r="M119" s="7"/>
      <c r="N119" s="7">
        <f t="shared" si="11"/>
        <v>0</v>
      </c>
      <c r="O119" s="7"/>
      <c r="P119" s="7">
        <f t="shared" si="12"/>
        <v>0</v>
      </c>
      <c r="Q119" s="7"/>
      <c r="R119" s="7"/>
    </row>
    <row r="120" spans="1:18" ht="77.25" customHeight="1" x14ac:dyDescent="0.3">
      <c r="A120" s="11" t="s">
        <v>38</v>
      </c>
      <c r="B120" s="3" t="s">
        <v>39</v>
      </c>
      <c r="C120" s="8" t="s">
        <v>72</v>
      </c>
      <c r="D120" s="7" t="s">
        <v>75</v>
      </c>
      <c r="E120" s="7"/>
      <c r="F120" s="7"/>
      <c r="G120" s="7"/>
      <c r="H120" s="7">
        <f t="shared" si="13"/>
        <v>0</v>
      </c>
      <c r="I120" s="7">
        <f t="shared" si="14"/>
        <v>0</v>
      </c>
      <c r="J120" s="15" t="s">
        <v>128</v>
      </c>
      <c r="K120" s="7"/>
      <c r="L120" s="7"/>
      <c r="M120" s="7"/>
      <c r="N120" s="7">
        <f t="shared" si="11"/>
        <v>0</v>
      </c>
      <c r="O120" s="7"/>
      <c r="P120" s="7">
        <f t="shared" si="12"/>
        <v>0</v>
      </c>
      <c r="Q120" s="7"/>
      <c r="R120" s="7"/>
    </row>
    <row r="121" spans="1:18" ht="120" x14ac:dyDescent="0.3">
      <c r="A121" s="2" t="s">
        <v>40</v>
      </c>
      <c r="B121" s="3" t="s">
        <v>41</v>
      </c>
      <c r="C121" s="8" t="s">
        <v>72</v>
      </c>
      <c r="D121" s="7" t="s">
        <v>75</v>
      </c>
      <c r="E121" s="7"/>
      <c r="F121" s="7"/>
      <c r="G121" s="7"/>
      <c r="H121" s="7">
        <f t="shared" si="13"/>
        <v>0</v>
      </c>
      <c r="I121" s="7">
        <f t="shared" si="14"/>
        <v>0</v>
      </c>
      <c r="J121" s="15" t="s">
        <v>129</v>
      </c>
      <c r="K121" s="7"/>
      <c r="L121" s="7"/>
      <c r="M121" s="7"/>
      <c r="N121" s="7">
        <f t="shared" si="11"/>
        <v>0</v>
      </c>
      <c r="O121" s="7"/>
      <c r="P121" s="7">
        <f t="shared" si="12"/>
        <v>0</v>
      </c>
      <c r="Q121" s="7"/>
      <c r="R121" s="7"/>
    </row>
    <row r="122" spans="1:18" ht="39.75" customHeight="1" x14ac:dyDescent="0.3">
      <c r="A122" s="62" t="s">
        <v>42</v>
      </c>
      <c r="B122" s="88" t="s">
        <v>43</v>
      </c>
      <c r="C122" s="8" t="s">
        <v>80</v>
      </c>
      <c r="D122" s="20" t="s">
        <v>151</v>
      </c>
      <c r="E122" s="7">
        <v>1</v>
      </c>
      <c r="F122" s="7">
        <v>9</v>
      </c>
      <c r="G122" s="7">
        <v>9</v>
      </c>
      <c r="H122" s="7">
        <f t="shared" si="13"/>
        <v>81</v>
      </c>
      <c r="I122" s="7">
        <f t="shared" si="14"/>
        <v>2430</v>
      </c>
      <c r="J122" s="15" t="s">
        <v>130</v>
      </c>
      <c r="K122" s="7">
        <v>1</v>
      </c>
      <c r="L122" s="7">
        <v>117</v>
      </c>
      <c r="M122" s="7">
        <v>117</v>
      </c>
      <c r="N122" s="7">
        <f t="shared" si="11"/>
        <v>117</v>
      </c>
      <c r="O122" s="7">
        <v>9</v>
      </c>
      <c r="P122" s="7">
        <f t="shared" si="12"/>
        <v>1053</v>
      </c>
      <c r="Q122" s="7"/>
      <c r="R122" s="7"/>
    </row>
    <row r="123" spans="1:18" ht="39.75" customHeight="1" x14ac:dyDescent="0.3">
      <c r="A123" s="62"/>
      <c r="B123" s="90"/>
      <c r="C123" s="44" t="s">
        <v>138</v>
      </c>
      <c r="D123" s="42" t="s">
        <v>179</v>
      </c>
      <c r="E123" s="7"/>
      <c r="F123" s="7"/>
      <c r="G123" s="7"/>
      <c r="H123" s="7">
        <f t="shared" si="13"/>
        <v>0</v>
      </c>
      <c r="I123" s="7">
        <f t="shared" si="14"/>
        <v>0</v>
      </c>
      <c r="J123" s="15" t="s">
        <v>130</v>
      </c>
      <c r="K123" s="7"/>
      <c r="L123" s="7"/>
      <c r="M123" s="7"/>
      <c r="N123" s="7">
        <f t="shared" si="11"/>
        <v>0</v>
      </c>
      <c r="O123" s="7"/>
      <c r="P123" s="7">
        <f t="shared" si="12"/>
        <v>0</v>
      </c>
      <c r="Q123" s="7"/>
      <c r="R123" s="7"/>
    </row>
    <row r="124" spans="1:18" ht="39.75" customHeight="1" x14ac:dyDescent="0.3">
      <c r="A124" s="62"/>
      <c r="B124" s="88" t="s">
        <v>44</v>
      </c>
      <c r="C124" s="8" t="s">
        <v>69</v>
      </c>
      <c r="D124" s="20" t="s">
        <v>151</v>
      </c>
      <c r="E124" s="7">
        <v>1</v>
      </c>
      <c r="F124" s="7">
        <v>10</v>
      </c>
      <c r="G124" s="7">
        <v>3</v>
      </c>
      <c r="H124" s="7">
        <f t="shared" si="13"/>
        <v>30</v>
      </c>
      <c r="I124" s="7">
        <f t="shared" si="14"/>
        <v>900</v>
      </c>
      <c r="J124" s="15" t="s">
        <v>131</v>
      </c>
      <c r="K124" s="7">
        <v>3</v>
      </c>
      <c r="L124" s="7">
        <v>184</v>
      </c>
      <c r="M124" s="7">
        <v>240</v>
      </c>
      <c r="N124" s="7">
        <f t="shared" si="11"/>
        <v>720</v>
      </c>
      <c r="O124" s="7">
        <v>3</v>
      </c>
      <c r="P124" s="7">
        <f t="shared" si="12"/>
        <v>2160</v>
      </c>
      <c r="Q124" s="7"/>
      <c r="R124" s="7"/>
    </row>
    <row r="125" spans="1:18" ht="39.75" customHeight="1" x14ac:dyDescent="0.3">
      <c r="A125" s="62"/>
      <c r="B125" s="90"/>
      <c r="C125" s="44" t="s">
        <v>138</v>
      </c>
      <c r="D125" s="42" t="s">
        <v>179</v>
      </c>
      <c r="E125" s="7"/>
      <c r="F125" s="7"/>
      <c r="G125" s="7"/>
      <c r="H125" s="7">
        <f t="shared" si="13"/>
        <v>0</v>
      </c>
      <c r="I125" s="7">
        <f t="shared" si="14"/>
        <v>0</v>
      </c>
      <c r="J125" s="15" t="s">
        <v>131</v>
      </c>
      <c r="K125" s="7"/>
      <c r="L125" s="7"/>
      <c r="M125" s="7"/>
      <c r="N125" s="7">
        <f t="shared" si="11"/>
        <v>0</v>
      </c>
      <c r="O125" s="7"/>
      <c r="P125" s="7">
        <f t="shared" si="12"/>
        <v>0</v>
      </c>
      <c r="Q125" s="7"/>
      <c r="R125" s="7"/>
    </row>
    <row r="126" spans="1:18" ht="39.75" customHeight="1" x14ac:dyDescent="0.3">
      <c r="A126" s="62"/>
      <c r="B126" s="93" t="s">
        <v>142</v>
      </c>
      <c r="C126" s="8" t="s">
        <v>69</v>
      </c>
      <c r="D126" s="20" t="s">
        <v>151</v>
      </c>
      <c r="E126" s="7">
        <v>0.5</v>
      </c>
      <c r="F126" s="7">
        <v>6</v>
      </c>
      <c r="G126" s="7">
        <v>2</v>
      </c>
      <c r="H126" s="7">
        <f t="shared" si="13"/>
        <v>6</v>
      </c>
      <c r="I126" s="7">
        <f t="shared" si="14"/>
        <v>180</v>
      </c>
      <c r="J126" s="15" t="s">
        <v>135</v>
      </c>
      <c r="K126" s="7">
        <v>1</v>
      </c>
      <c r="L126" s="7">
        <v>115</v>
      </c>
      <c r="M126" s="7">
        <v>115</v>
      </c>
      <c r="N126" s="7">
        <f t="shared" si="11"/>
        <v>115</v>
      </c>
      <c r="O126" s="7">
        <v>2</v>
      </c>
      <c r="P126" s="7">
        <f t="shared" si="12"/>
        <v>230</v>
      </c>
      <c r="Q126" s="7"/>
      <c r="R126" s="7"/>
    </row>
    <row r="127" spans="1:18" ht="39.75" customHeight="1" x14ac:dyDescent="0.3">
      <c r="A127" s="62"/>
      <c r="B127" s="94"/>
      <c r="C127" s="44" t="s">
        <v>138</v>
      </c>
      <c r="D127" s="42" t="s">
        <v>151</v>
      </c>
      <c r="E127" s="7"/>
      <c r="F127" s="20"/>
      <c r="G127" s="20"/>
      <c r="H127" s="7">
        <f t="shared" si="13"/>
        <v>0</v>
      </c>
      <c r="I127" s="7">
        <f t="shared" si="14"/>
        <v>0</v>
      </c>
      <c r="J127" s="15" t="s">
        <v>135</v>
      </c>
      <c r="K127" s="7"/>
      <c r="L127" s="7"/>
      <c r="M127" s="7"/>
      <c r="N127" s="7">
        <f t="shared" si="11"/>
        <v>0</v>
      </c>
      <c r="O127" s="7"/>
      <c r="P127" s="7">
        <f t="shared" si="12"/>
        <v>0</v>
      </c>
      <c r="Q127" s="7"/>
      <c r="R127" s="7"/>
    </row>
    <row r="128" spans="1:18" ht="39.75" customHeight="1" x14ac:dyDescent="0.3">
      <c r="A128" s="62"/>
      <c r="B128" s="88" t="s">
        <v>45</v>
      </c>
      <c r="C128" s="8" t="s">
        <v>81</v>
      </c>
      <c r="D128" s="20" t="s">
        <v>151</v>
      </c>
      <c r="E128" s="7">
        <v>0.5</v>
      </c>
      <c r="F128" s="7">
        <v>8</v>
      </c>
      <c r="G128" s="7">
        <v>2</v>
      </c>
      <c r="H128" s="7">
        <f t="shared" si="13"/>
        <v>8</v>
      </c>
      <c r="I128" s="7">
        <f t="shared" si="14"/>
        <v>240</v>
      </c>
      <c r="J128" s="15" t="s">
        <v>132</v>
      </c>
      <c r="K128" s="7">
        <v>1</v>
      </c>
      <c r="L128" s="7">
        <v>160</v>
      </c>
      <c r="M128" s="7">
        <v>160</v>
      </c>
      <c r="N128" s="7">
        <f t="shared" si="11"/>
        <v>160</v>
      </c>
      <c r="O128" s="7">
        <v>2</v>
      </c>
      <c r="P128" s="7">
        <f t="shared" si="12"/>
        <v>320</v>
      </c>
      <c r="Q128" s="7"/>
      <c r="R128" s="7"/>
    </row>
    <row r="129" spans="1:18" ht="39.75" customHeight="1" x14ac:dyDescent="0.3">
      <c r="A129" s="62"/>
      <c r="B129" s="90"/>
      <c r="C129" s="44" t="s">
        <v>138</v>
      </c>
      <c r="D129" s="39"/>
      <c r="E129" s="7"/>
      <c r="F129" s="20"/>
      <c r="G129" s="20"/>
      <c r="H129" s="7">
        <f t="shared" si="13"/>
        <v>0</v>
      </c>
      <c r="I129" s="7">
        <f t="shared" si="14"/>
        <v>0</v>
      </c>
      <c r="J129" s="15" t="s">
        <v>132</v>
      </c>
      <c r="K129" s="7"/>
      <c r="L129" s="7"/>
      <c r="M129" s="7"/>
      <c r="N129" s="7">
        <f t="shared" si="11"/>
        <v>0</v>
      </c>
      <c r="O129" s="7"/>
      <c r="P129" s="7">
        <f t="shared" si="12"/>
        <v>0</v>
      </c>
      <c r="Q129" s="7"/>
      <c r="R129" s="7"/>
    </row>
    <row r="130" spans="1:18" ht="30" x14ac:dyDescent="0.3">
      <c r="A130" s="2" t="s">
        <v>46</v>
      </c>
      <c r="B130" s="3" t="s">
        <v>47</v>
      </c>
      <c r="C130" s="8" t="s">
        <v>72</v>
      </c>
      <c r="D130" s="22" t="s">
        <v>82</v>
      </c>
      <c r="E130" s="7"/>
      <c r="F130" s="7"/>
      <c r="G130" s="20"/>
      <c r="H130" s="7"/>
      <c r="I130" s="7"/>
      <c r="J130" s="15" t="s">
        <v>133</v>
      </c>
      <c r="K130" s="7"/>
      <c r="L130" s="7"/>
      <c r="M130" s="7"/>
      <c r="N130" s="7">
        <f t="shared" si="11"/>
        <v>0</v>
      </c>
      <c r="O130" s="20"/>
      <c r="P130" s="7">
        <f t="shared" si="12"/>
        <v>0</v>
      </c>
      <c r="Q130" s="7"/>
      <c r="R130" s="7"/>
    </row>
    <row r="131" spans="1:18" ht="30" x14ac:dyDescent="0.3">
      <c r="A131" s="2" t="s">
        <v>48</v>
      </c>
      <c r="B131" s="3" t="s">
        <v>49</v>
      </c>
      <c r="C131" s="8" t="s">
        <v>80</v>
      </c>
      <c r="D131" s="20" t="s">
        <v>151</v>
      </c>
      <c r="E131" s="7"/>
      <c r="F131" s="7"/>
      <c r="G131" s="20"/>
      <c r="H131" s="7"/>
      <c r="I131" s="7"/>
      <c r="J131" s="15" t="s">
        <v>133</v>
      </c>
      <c r="K131" s="7"/>
      <c r="L131" s="7"/>
      <c r="M131" s="7"/>
      <c r="N131" s="7">
        <f t="shared" si="11"/>
        <v>0</v>
      </c>
      <c r="O131" s="20"/>
      <c r="P131" s="7">
        <f t="shared" si="12"/>
        <v>0</v>
      </c>
      <c r="Q131" s="7"/>
      <c r="R131" s="7"/>
    </row>
    <row r="132" spans="1:18" ht="45" x14ac:dyDescent="0.3">
      <c r="A132" s="2" t="s">
        <v>50</v>
      </c>
      <c r="B132" s="3" t="s">
        <v>51</v>
      </c>
      <c r="C132" s="8" t="s">
        <v>83</v>
      </c>
      <c r="D132" s="20" t="s">
        <v>151</v>
      </c>
      <c r="E132" s="7"/>
      <c r="F132" s="7"/>
      <c r="G132" s="20"/>
      <c r="H132" s="7"/>
      <c r="I132" s="7"/>
      <c r="J132" s="15" t="s">
        <v>184</v>
      </c>
      <c r="K132" s="7"/>
      <c r="L132" s="7"/>
      <c r="M132" s="7"/>
      <c r="N132" s="7">
        <f t="shared" si="11"/>
        <v>0</v>
      </c>
      <c r="O132" s="20"/>
      <c r="P132" s="7">
        <f t="shared" si="12"/>
        <v>0</v>
      </c>
      <c r="Q132" s="7"/>
      <c r="R132" s="7"/>
    </row>
    <row r="133" spans="1:18" ht="16.5" customHeight="1" x14ac:dyDescent="0.3">
      <c r="A133" s="51" t="s">
        <v>52</v>
      </c>
      <c r="B133" s="88" t="s">
        <v>53</v>
      </c>
      <c r="C133" s="65" t="s">
        <v>84</v>
      </c>
      <c r="D133" s="54" t="s">
        <v>67</v>
      </c>
      <c r="E133" s="54">
        <v>2</v>
      </c>
      <c r="F133" s="7">
        <v>24</v>
      </c>
      <c r="G133" s="7"/>
      <c r="H133" s="7"/>
      <c r="I133" s="7"/>
      <c r="J133" s="15" t="s">
        <v>185</v>
      </c>
      <c r="K133" s="7">
        <v>5</v>
      </c>
      <c r="L133" s="7">
        <v>184</v>
      </c>
      <c r="M133" s="7">
        <v>184</v>
      </c>
      <c r="N133" s="7">
        <f t="shared" ref="N133:N137" si="15">+M133*K133</f>
        <v>920</v>
      </c>
      <c r="O133" s="20"/>
      <c r="P133" s="7">
        <f t="shared" si="12"/>
        <v>0</v>
      </c>
      <c r="Q133" s="7"/>
      <c r="R133" s="7"/>
    </row>
    <row r="134" spans="1:18" ht="14.4" x14ac:dyDescent="0.3">
      <c r="A134" s="52"/>
      <c r="B134" s="90"/>
      <c r="C134" s="67"/>
      <c r="D134" s="55"/>
      <c r="E134" s="55"/>
      <c r="F134" s="7">
        <v>24</v>
      </c>
      <c r="G134" s="7"/>
      <c r="H134" s="7"/>
      <c r="I134" s="7"/>
      <c r="J134" s="15" t="s">
        <v>186</v>
      </c>
      <c r="K134" s="7">
        <v>5</v>
      </c>
      <c r="L134" s="7">
        <v>184</v>
      </c>
      <c r="M134" s="7">
        <v>184</v>
      </c>
      <c r="N134" s="7">
        <f t="shared" si="15"/>
        <v>920</v>
      </c>
      <c r="O134" s="20"/>
      <c r="P134" s="7">
        <f t="shared" si="12"/>
        <v>0</v>
      </c>
      <c r="Q134" s="7"/>
      <c r="R134" s="7"/>
    </row>
    <row r="135" spans="1:18" ht="14.4" x14ac:dyDescent="0.3">
      <c r="A135" s="52"/>
      <c r="B135" s="88" t="s">
        <v>54</v>
      </c>
      <c r="C135" s="65" t="s">
        <v>84</v>
      </c>
      <c r="D135" s="54" t="s">
        <v>75</v>
      </c>
      <c r="E135" s="7"/>
      <c r="F135" s="7"/>
      <c r="G135" s="7"/>
      <c r="H135" s="7"/>
      <c r="I135" s="7"/>
      <c r="J135" s="15" t="s">
        <v>185</v>
      </c>
      <c r="K135" s="7">
        <v>5</v>
      </c>
      <c r="L135" s="7">
        <v>184</v>
      </c>
      <c r="M135" s="7">
        <v>184</v>
      </c>
      <c r="N135" s="7">
        <f t="shared" si="15"/>
        <v>920</v>
      </c>
      <c r="O135" s="20"/>
      <c r="P135" s="7">
        <f t="shared" si="12"/>
        <v>0</v>
      </c>
      <c r="Q135" s="7"/>
      <c r="R135" s="7"/>
    </row>
    <row r="136" spans="1:18" ht="14.4" x14ac:dyDescent="0.3">
      <c r="A136" s="52"/>
      <c r="B136" s="89"/>
      <c r="C136" s="66"/>
      <c r="D136" s="56"/>
      <c r="E136" s="7"/>
      <c r="F136" s="7"/>
      <c r="G136" s="7"/>
      <c r="H136" s="7"/>
      <c r="I136" s="7"/>
      <c r="J136" s="15" t="s">
        <v>186</v>
      </c>
      <c r="K136" s="7">
        <v>5</v>
      </c>
      <c r="L136" s="7">
        <v>184</v>
      </c>
      <c r="M136" s="7">
        <v>184</v>
      </c>
      <c r="N136" s="7">
        <f t="shared" si="15"/>
        <v>920</v>
      </c>
      <c r="O136" s="20"/>
      <c r="P136" s="7">
        <f t="shared" si="12"/>
        <v>0</v>
      </c>
      <c r="Q136" s="7"/>
      <c r="R136" s="7"/>
    </row>
    <row r="137" spans="1:18" ht="14.4" x14ac:dyDescent="0.3">
      <c r="A137" s="53"/>
      <c r="B137" s="90"/>
      <c r="C137" s="67"/>
      <c r="D137" s="55"/>
      <c r="E137" s="7"/>
      <c r="F137" s="7"/>
      <c r="G137" s="7"/>
      <c r="H137" s="7"/>
      <c r="I137" s="7"/>
      <c r="J137" s="15" t="s">
        <v>180</v>
      </c>
      <c r="K137" s="7">
        <v>2</v>
      </c>
      <c r="L137" s="7">
        <v>184</v>
      </c>
      <c r="M137" s="7">
        <v>184</v>
      </c>
      <c r="N137" s="7">
        <f t="shared" si="15"/>
        <v>368</v>
      </c>
      <c r="O137" s="20"/>
      <c r="P137" s="7">
        <f t="shared" si="12"/>
        <v>0</v>
      </c>
      <c r="Q137" s="7"/>
      <c r="R137" s="7"/>
    </row>
    <row r="138" spans="1:18" ht="14.4" x14ac:dyDescent="0.3">
      <c r="A138" s="51" t="s">
        <v>55</v>
      </c>
      <c r="B138" s="88" t="s">
        <v>56</v>
      </c>
      <c r="C138" s="65" t="s">
        <v>72</v>
      </c>
      <c r="D138" s="7" t="s">
        <v>75</v>
      </c>
      <c r="E138" s="7"/>
      <c r="F138" s="7"/>
      <c r="G138" s="7"/>
      <c r="H138" s="7"/>
      <c r="I138" s="7"/>
      <c r="J138" s="15" t="s">
        <v>112</v>
      </c>
      <c r="K138" s="7"/>
      <c r="L138" s="7"/>
      <c r="M138" s="7"/>
      <c r="N138" s="7"/>
      <c r="O138" s="7"/>
      <c r="P138" s="7">
        <f t="shared" si="12"/>
        <v>0</v>
      </c>
      <c r="Q138" s="7"/>
      <c r="R138" s="7"/>
    </row>
    <row r="139" spans="1:18" ht="14.4" x14ac:dyDescent="0.3">
      <c r="A139" s="52"/>
      <c r="B139" s="89"/>
      <c r="C139" s="66"/>
      <c r="D139" s="7"/>
      <c r="E139" s="7"/>
      <c r="F139" s="7"/>
      <c r="G139" s="7"/>
      <c r="H139" s="7"/>
      <c r="I139" s="7"/>
      <c r="J139" s="15" t="s">
        <v>136</v>
      </c>
      <c r="K139" s="7"/>
      <c r="L139" s="7"/>
      <c r="M139" s="7"/>
      <c r="N139" s="7"/>
      <c r="O139" s="7"/>
      <c r="P139" s="7"/>
      <c r="Q139" s="7"/>
      <c r="R139" s="7"/>
    </row>
    <row r="140" spans="1:18" ht="28.8" x14ac:dyDescent="0.3">
      <c r="A140" s="53"/>
      <c r="B140" s="90"/>
      <c r="C140" s="67"/>
      <c r="D140" s="7"/>
      <c r="E140" s="7"/>
      <c r="F140" s="7"/>
      <c r="G140" s="7"/>
      <c r="H140" s="7"/>
      <c r="I140" s="7"/>
      <c r="J140" s="15" t="s">
        <v>137</v>
      </c>
      <c r="K140" s="7"/>
      <c r="L140" s="7"/>
      <c r="M140" s="7"/>
      <c r="N140" s="7"/>
      <c r="O140" s="7"/>
      <c r="P140" s="7"/>
      <c r="Q140" s="7"/>
      <c r="R140" s="7"/>
    </row>
    <row r="141" spans="1:18" ht="30" x14ac:dyDescent="0.3">
      <c r="A141" s="2" t="s">
        <v>57</v>
      </c>
      <c r="B141" s="3" t="s">
        <v>58</v>
      </c>
      <c r="C141" s="8" t="s">
        <v>79</v>
      </c>
      <c r="D141" s="7" t="s">
        <v>67</v>
      </c>
      <c r="E141" s="7"/>
      <c r="F141" s="7"/>
      <c r="G141" s="7"/>
      <c r="H141" s="7"/>
      <c r="I141" s="7"/>
      <c r="J141" s="15" t="s">
        <v>124</v>
      </c>
      <c r="K141" s="7"/>
      <c r="L141" s="7"/>
      <c r="M141" s="7"/>
      <c r="N141" s="7"/>
      <c r="O141" s="7"/>
      <c r="P141" s="7"/>
      <c r="Q141" s="7"/>
      <c r="R141" s="7"/>
    </row>
    <row r="142" spans="1:18" ht="30" x14ac:dyDescent="0.3">
      <c r="A142" s="2" t="s">
        <v>59</v>
      </c>
      <c r="B142" s="3" t="s">
        <v>60</v>
      </c>
      <c r="C142" s="8" t="s">
        <v>72</v>
      </c>
      <c r="D142" s="7" t="s">
        <v>75</v>
      </c>
      <c r="E142" s="7"/>
      <c r="F142" s="7"/>
      <c r="G142" s="7"/>
      <c r="H142" s="7"/>
      <c r="I142" s="7"/>
      <c r="J142" s="15" t="s">
        <v>115</v>
      </c>
      <c r="K142" s="7"/>
      <c r="L142" s="7"/>
      <c r="M142" s="7"/>
      <c r="N142" s="7"/>
      <c r="O142" s="7"/>
      <c r="P142" s="7"/>
      <c r="Q142" s="7"/>
      <c r="R142" s="7"/>
    </row>
    <row r="143" spans="1:18" ht="60" x14ac:dyDescent="0.3">
      <c r="A143" s="2" t="s">
        <v>61</v>
      </c>
      <c r="B143" s="3" t="s">
        <v>62</v>
      </c>
      <c r="C143" s="8" t="s">
        <v>85</v>
      </c>
      <c r="D143" s="7" t="s">
        <v>86</v>
      </c>
      <c r="E143" s="7"/>
      <c r="F143" s="7"/>
      <c r="G143" s="7"/>
      <c r="H143" s="7"/>
      <c r="I143" s="7"/>
      <c r="J143" s="7" t="s">
        <v>124</v>
      </c>
      <c r="K143" s="7"/>
      <c r="L143" s="7"/>
      <c r="M143" s="7"/>
      <c r="N143" s="7"/>
      <c r="O143" s="7"/>
      <c r="P143" s="7"/>
      <c r="Q143" s="7"/>
      <c r="R143" s="7"/>
    </row>
  </sheetData>
  <autoFilter ref="A3:P143" xr:uid="{00000000-0009-0000-0000-000000000000}"/>
  <mergeCells count="75">
    <mergeCell ref="E133:E134"/>
    <mergeCell ref="E2:I2"/>
    <mergeCell ref="K2:P2"/>
    <mergeCell ref="A4:A7"/>
    <mergeCell ref="A8:A33"/>
    <mergeCell ref="A34:A95"/>
    <mergeCell ref="B34:B40"/>
    <mergeCell ref="C34:C40"/>
    <mergeCell ref="D34:D40"/>
    <mergeCell ref="B41:B46"/>
    <mergeCell ref="C41:C46"/>
    <mergeCell ref="D41:D46"/>
    <mergeCell ref="B47:B52"/>
    <mergeCell ref="C47:C52"/>
    <mergeCell ref="D47:D52"/>
    <mergeCell ref="B53:B58"/>
    <mergeCell ref="C53:C58"/>
    <mergeCell ref="D53:D58"/>
    <mergeCell ref="B59:B64"/>
    <mergeCell ref="C59:C64"/>
    <mergeCell ref="D59:D64"/>
    <mergeCell ref="B65:B70"/>
    <mergeCell ref="C65:C70"/>
    <mergeCell ref="D65:D70"/>
    <mergeCell ref="B71:B77"/>
    <mergeCell ref="C71:C77"/>
    <mergeCell ref="D71:D77"/>
    <mergeCell ref="B78:B83"/>
    <mergeCell ref="C78:C83"/>
    <mergeCell ref="D78:D83"/>
    <mergeCell ref="B84:B89"/>
    <mergeCell ref="C84:C89"/>
    <mergeCell ref="D84:D89"/>
    <mergeCell ref="B90:B95"/>
    <mergeCell ref="C90:C95"/>
    <mergeCell ref="D90:D95"/>
    <mergeCell ref="A96:A100"/>
    <mergeCell ref="B96:B100"/>
    <mergeCell ref="C96:C105"/>
    <mergeCell ref="D96:D100"/>
    <mergeCell ref="Q96:T105"/>
    <mergeCell ref="A101:A105"/>
    <mergeCell ref="B101:B105"/>
    <mergeCell ref="D101:D105"/>
    <mergeCell ref="A106:A108"/>
    <mergeCell ref="B106:B108"/>
    <mergeCell ref="C106:C108"/>
    <mergeCell ref="A109:A117"/>
    <mergeCell ref="B109:B113"/>
    <mergeCell ref="C109:C110"/>
    <mergeCell ref="D109:D110"/>
    <mergeCell ref="C111:C113"/>
    <mergeCell ref="D111:D113"/>
    <mergeCell ref="B114:B117"/>
    <mergeCell ref="C114:C117"/>
    <mergeCell ref="D114:D117"/>
    <mergeCell ref="D133:D134"/>
    <mergeCell ref="B135:B137"/>
    <mergeCell ref="C135:C137"/>
    <mergeCell ref="D135:D137"/>
    <mergeCell ref="A118:A119"/>
    <mergeCell ref="B118:B119"/>
    <mergeCell ref="C118:C119"/>
    <mergeCell ref="D118:D119"/>
    <mergeCell ref="A122:A129"/>
    <mergeCell ref="B122:B123"/>
    <mergeCell ref="B124:B125"/>
    <mergeCell ref="B126:B127"/>
    <mergeCell ref="B128:B129"/>
    <mergeCell ref="A138:A140"/>
    <mergeCell ref="B138:B140"/>
    <mergeCell ref="C138:C140"/>
    <mergeCell ref="A133:A137"/>
    <mergeCell ref="B133:B134"/>
    <mergeCell ref="C133:C134"/>
  </mergeCells>
  <conditionalFormatting sqref="E109:G117">
    <cfRule type="cellIs" dxfId="12" priority="6" operator="equal">
      <formula>"NA"</formula>
    </cfRule>
  </conditionalFormatting>
  <conditionalFormatting sqref="E130:I130 H131:I143">
    <cfRule type="cellIs" dxfId="11" priority="10" operator="equal">
      <formula>"NA"</formula>
    </cfRule>
  </conditionalFormatting>
  <conditionalFormatting sqref="G1 G7">
    <cfRule type="cellIs" dxfId="10" priority="12" operator="equal">
      <formula>"NA"</formula>
    </cfRule>
  </conditionalFormatting>
  <conditionalFormatting sqref="G3:R3 H4:N4 H5:I129 N5:N137 H144:P1048576">
    <cfRule type="cellIs" dxfId="9" priority="9" operator="equal">
      <formula>"NA"</formula>
    </cfRule>
  </conditionalFormatting>
  <conditionalFormatting sqref="J91:J118">
    <cfRule type="cellIs" dxfId="8" priority="1" operator="equal">
      <formula>"NA"</formula>
    </cfRule>
  </conditionalFormatting>
  <conditionalFormatting sqref="J5:M90">
    <cfRule type="cellIs" dxfId="7" priority="2" operator="equal">
      <formula>"NA"</formula>
    </cfRule>
  </conditionalFormatting>
  <conditionalFormatting sqref="K91:M111 K112:L112 M112:M113 K113 K114:M118 E142">
    <cfRule type="cellIs" dxfId="6" priority="8" operator="equal">
      <formula>"NA"</formula>
    </cfRule>
  </conditionalFormatting>
  <conditionalFormatting sqref="O7">
    <cfRule type="cellIs" dxfId="5" priority="5" operator="equal">
      <formula>"NA"</formula>
    </cfRule>
  </conditionalFormatting>
  <conditionalFormatting sqref="O109:O117">
    <cfRule type="cellIs" dxfId="4" priority="3" operator="equal">
      <formula>"NA"</formula>
    </cfRule>
  </conditionalFormatting>
  <conditionalFormatting sqref="O130:O131">
    <cfRule type="cellIs" dxfId="3" priority="4" operator="equal">
      <formula>"NA"</formula>
    </cfRule>
  </conditionalFormatting>
  <conditionalFormatting sqref="Q4:R95 P4:P143 E96:E105 Q106:R143 J119:M137 E133:G133 O133:O137 F134:G134 E135:G137 J138:N143">
    <cfRule type="cellIs" dxfId="2" priority="11" operator="equal">
      <formula>"NA"</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selection activeCell="B14" sqref="B14"/>
    </sheetView>
  </sheetViews>
  <sheetFormatPr baseColWidth="10" defaultRowHeight="14.4" x14ac:dyDescent="0.3"/>
  <cols>
    <col min="1" max="1" width="35.6640625" customWidth="1"/>
    <col min="2" max="2" width="3" bestFit="1" customWidth="1"/>
  </cols>
  <sheetData>
    <row r="1" spans="1:4" x14ac:dyDescent="0.3">
      <c r="A1" s="14" t="s">
        <v>112</v>
      </c>
      <c r="B1">
        <v>1</v>
      </c>
      <c r="C1">
        <v>1</v>
      </c>
      <c r="D1" t="str">
        <f>_xlfn.IFS($C1=$B$1,$A$1,$C1=$B$2,$A$2,$C1=$B$3,$A$3,$C1=$B$4,$A$4,$C1=$B$5,+$A$5,$C1=$B$6,+$A$6,$C1=$B$7,+$A$7,$C1=$B$8,+$A$8,$C1=$B$9,$A$9,$C1=$B$10,+$A$10,$C1=$B$11,+$A$11,$C1=$B$12,+$A$12)</f>
        <v>Médico General</v>
      </c>
    </row>
    <row r="2" spans="1:4" x14ac:dyDescent="0.3">
      <c r="A2" s="14" t="s">
        <v>113</v>
      </c>
      <c r="B2">
        <v>2</v>
      </c>
      <c r="C2">
        <v>2</v>
      </c>
      <c r="D2" t="str">
        <f t="shared" ref="D2:D12" si="0">_xlfn.IFS($C2=$B$1,$A$1,$C2=$B$2,$A$2,$C2=$B$3,$A$3,$C2=$B$4,$A$4,$C2=$B$5,+$A$5,$C2=$B$6,+$A$6,$C2=$B$7,+$A$7,$C2=$B$8,+$A$8,$C2=$B$9,$A$9,$C2=$B$10,+$A$10,$C2=$B$11,+$A$11,$C2=$B$12,+$A$12)</f>
        <v>Médico Especialista Medicina Interna</v>
      </c>
    </row>
    <row r="3" spans="1:4" x14ac:dyDescent="0.3">
      <c r="A3" s="14" t="s">
        <v>114</v>
      </c>
      <c r="B3">
        <v>3</v>
      </c>
      <c r="C3">
        <v>4</v>
      </c>
      <c r="D3" t="str">
        <f t="shared" si="0"/>
        <v>ME Ginecología y Obstetricia</v>
      </c>
    </row>
    <row r="4" spans="1:4" x14ac:dyDescent="0.3">
      <c r="A4" s="14" t="s">
        <v>115</v>
      </c>
      <c r="B4">
        <v>4</v>
      </c>
      <c r="C4">
        <v>12</v>
      </c>
      <c r="D4" t="str">
        <f t="shared" si="0"/>
        <v>Odontólogo General</v>
      </c>
    </row>
    <row r="5" spans="1:4" x14ac:dyDescent="0.3">
      <c r="A5" s="14" t="s">
        <v>116</v>
      </c>
      <c r="B5">
        <v>5</v>
      </c>
      <c r="D5" t="e">
        <f t="shared" si="0"/>
        <v>#N/A</v>
      </c>
    </row>
    <row r="6" spans="1:4" x14ac:dyDescent="0.3">
      <c r="A6" s="14" t="s">
        <v>117</v>
      </c>
      <c r="B6">
        <v>6</v>
      </c>
      <c r="D6" t="e">
        <f t="shared" si="0"/>
        <v>#N/A</v>
      </c>
    </row>
    <row r="7" spans="1:4" x14ac:dyDescent="0.3">
      <c r="A7" s="14" t="s">
        <v>118</v>
      </c>
      <c r="B7">
        <v>7</v>
      </c>
      <c r="D7" t="e">
        <f t="shared" si="0"/>
        <v>#N/A</v>
      </c>
    </row>
    <row r="8" spans="1:4" x14ac:dyDescent="0.3">
      <c r="A8" s="14" t="s">
        <v>119</v>
      </c>
      <c r="B8">
        <v>8</v>
      </c>
      <c r="D8" t="e">
        <f t="shared" si="0"/>
        <v>#N/A</v>
      </c>
    </row>
    <row r="9" spans="1:4" x14ac:dyDescent="0.3">
      <c r="A9" s="14" t="s">
        <v>120</v>
      </c>
      <c r="B9">
        <v>9</v>
      </c>
      <c r="D9" t="e">
        <f t="shared" si="0"/>
        <v>#N/A</v>
      </c>
    </row>
    <row r="10" spans="1:4" x14ac:dyDescent="0.3">
      <c r="A10" s="14" t="s">
        <v>121</v>
      </c>
      <c r="B10">
        <v>10</v>
      </c>
      <c r="D10" t="e">
        <f t="shared" si="0"/>
        <v>#N/A</v>
      </c>
    </row>
    <row r="11" spans="1:4" x14ac:dyDescent="0.3">
      <c r="A11" s="14" t="s">
        <v>122</v>
      </c>
      <c r="B11">
        <v>11</v>
      </c>
      <c r="D11" t="e">
        <f t="shared" si="0"/>
        <v>#N/A</v>
      </c>
    </row>
    <row r="12" spans="1:4" x14ac:dyDescent="0.3">
      <c r="A12" s="14" t="s">
        <v>123</v>
      </c>
      <c r="B12">
        <v>12</v>
      </c>
      <c r="D12" t="e">
        <f t="shared" si="0"/>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SEDE PRINCIPAL</vt:lpstr>
      <vt:lpstr>SEDE CENTRO</vt:lpstr>
      <vt:lpstr>AJUSTES</vt:lpstr>
      <vt:lpstr>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USER-HRM</dc:creator>
  <cp:lastModifiedBy>LEIDY TOLEDO ROJAS</cp:lastModifiedBy>
  <cp:lastPrinted>2023-05-29T00:19:05Z</cp:lastPrinted>
  <dcterms:created xsi:type="dcterms:W3CDTF">2023-03-29T17:40:47Z</dcterms:created>
  <dcterms:modified xsi:type="dcterms:W3CDTF">2025-12-02T16:50:28Z</dcterms:modified>
</cp:coreProperties>
</file>