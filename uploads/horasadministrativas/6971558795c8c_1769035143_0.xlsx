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RNOS" sheetId="1" state="visible" r:id="rId3"/>
    <sheet name="FESTIVOS" sheetId="2" state="hidden" r:id="rId4"/>
  </sheets>
  <definedNames>
    <definedName function="false" hidden="false" name="ListaSinBlancos" vbProcedure="false">OFFSET(TURNOS!$B$75, 0, 0, COUNTIF(TURNOS!$B$75:$B$1000, "&lt;&gt;"))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<sst xmlns="http://schemas.openxmlformats.org/spreadsheetml/2006/main" count="194" uniqueCount="79">
  <si>
    <t xml:space="preserve">                                                    E.S.E. HOSPITAL REGIONAL DE MONIQUIRA</t>
  </si>
  <si>
    <t xml:space="preserve">CÓDIGO</t>
  </si>
  <si>
    <t xml:space="preserve">MACROPROCESO</t>
  </si>
  <si>
    <t xml:space="preserve">DIRECCIONAMIENTO ESTRATEGICO</t>
  </si>
  <si>
    <t xml:space="preserve">D.E.</t>
  </si>
  <si>
    <t xml:space="preserve">Hrm2025*</t>
  </si>
  <si>
    <t xml:space="preserve">SUBPROCESO</t>
  </si>
  <si>
    <t xml:space="preserve">SUBGERENCIA CIENTIFICA</t>
  </si>
  <si>
    <t xml:space="preserve">VERSIÓN</t>
  </si>
  <si>
    <t xml:space="preserve">TIPO DE DOCUMENTO</t>
  </si>
  <si>
    <t xml:space="preserve">FORMATO</t>
  </si>
  <si>
    <t xml:space="preserve">NOMBRE</t>
  </si>
  <si>
    <t xml:space="preserve">PROGRAMACION DE TURNOS 2</t>
  </si>
  <si>
    <t xml:space="preserve">Pág. 1 de 1</t>
  </si>
  <si>
    <t xml:space="preserve">MES:</t>
  </si>
  <si>
    <t xml:space="preserve">Febrero</t>
  </si>
  <si>
    <t xml:space="preserve">AÑO:</t>
  </si>
  <si>
    <t xml:space="preserve">ÁREA:</t>
  </si>
  <si>
    <t xml:space="preserve">MEDICINA INTERNA</t>
  </si>
  <si>
    <t xml:space="preserve">Todas</t>
  </si>
  <si>
    <t xml:space="preserve">NOMBRE DEL PROFESIONAL</t>
  </si>
  <si>
    <t xml:space="preserve">DOCUMENTO</t>
  </si>
  <si>
    <t xml:space="preserve">Total Horas</t>
  </si>
  <si>
    <t xml:space="preserve">D</t>
  </si>
  <si>
    <t xml:space="preserve">L</t>
  </si>
  <si>
    <t xml:space="preserve">M</t>
  </si>
  <si>
    <t xml:space="preserve">J</t>
  </si>
  <si>
    <t xml:space="preserve">V</t>
  </si>
  <si>
    <t xml:space="preserve">S</t>
  </si>
  <si>
    <t xml:space="preserve">SANCHEZ CASTILLO FABIAN ANDRES</t>
  </si>
  <si>
    <t xml:space="preserve">URG/DISP</t>
  </si>
  <si>
    <t xml:space="preserve">MC</t>
  </si>
  <si>
    <t xml:space="preserve">H</t>
  </si>
  <si>
    <t xml:space="preserve">TC</t>
  </si>
  <si>
    <t xml:space="preserve">CARRERO FORERO GERMAN ALONSO</t>
  </si>
  <si>
    <t xml:space="preserve">LOPEZ MORA OSCAR MAURICIO</t>
  </si>
  <si>
    <t xml:space="preserve">GONZALEZ OJEDA CARLOS ARTURO</t>
  </si>
  <si>
    <t xml:space="preserve">CRISTIAN  ANDRES  PULIDO</t>
  </si>
  <si>
    <t xml:space="preserve">JOSE DAVID SOCARRAS</t>
  </si>
  <si>
    <t xml:space="preserve">OBSERVACIONES</t>
  </si>
  <si>
    <t xml:space="preserve">COD</t>
  </si>
  <si>
    <t xml:space="preserve">HORAS</t>
  </si>
  <si>
    <t xml:space="preserve">TOTAL HORAS</t>
  </si>
  <si>
    <t xml:space="preserve">ACTIVIDAD</t>
  </si>
  <si>
    <t xml:space="preserve">ADM</t>
  </si>
  <si>
    <t xml:space="preserve">08:30:00 a 18:00:00</t>
  </si>
  <si>
    <t xml:space="preserve">ADMINISTRATIVO</t>
  </si>
  <si>
    <t xml:space="preserve">ADM/TC</t>
  </si>
  <si>
    <t xml:space="preserve">13:00:00 a 20:00:00
07:00:00 a 13:00:00</t>
  </si>
  <si>
    <t xml:space="preserve">7.0
6.0</t>
  </si>
  <si>
    <t xml:space="preserve">CONSULTA  EXTERNA
ADMINISTRATIVO</t>
  </si>
  <si>
    <t xml:space="preserve">DISP</t>
  </si>
  <si>
    <t xml:space="preserve">23:00:00 a 07:00:00</t>
  </si>
  <si>
    <t xml:space="preserve">DISPONIBILIDAD</t>
  </si>
  <si>
    <t xml:space="preserve">APROBÓ
KARIN MILENA GAMBA</t>
  </si>
  <si>
    <t xml:space="preserve">GPC</t>
  </si>
  <si>
    <t xml:space="preserve">07:00:00 a 13:00:00</t>
  </si>
  <si>
    <t xml:space="preserve">GUIAS DE  PRACTICA CLINICA</t>
  </si>
  <si>
    <t xml:space="preserve">GPC/TC</t>
  </si>
  <si>
    <t xml:space="preserve">07:00:00 a 13:00:00
13:00:00 a 20:00:00</t>
  </si>
  <si>
    <t xml:space="preserve">6.0
7.0</t>
  </si>
  <si>
    <t xml:space="preserve">GUIAS DE  PRACTICA CLINICA
CONSULTA  EXTERNA</t>
  </si>
  <si>
    <t xml:space="preserve">07:00:00 a 19:00:00</t>
  </si>
  <si>
    <t xml:space="preserve">TURNO</t>
  </si>
  <si>
    <t xml:space="preserve">H-6</t>
  </si>
  <si>
    <t xml:space="preserve">13:00:00 a 19:00:00</t>
  </si>
  <si>
    <t xml:space="preserve">H-M</t>
  </si>
  <si>
    <t xml:space="preserve">CONSULTA  EXTERNA</t>
  </si>
  <si>
    <t xml:space="preserve">MC/GPC</t>
  </si>
  <si>
    <t xml:space="preserve">06:00:00 a 13:00:00
13:00:00 a 19:00:00</t>
  </si>
  <si>
    <t xml:space="preserve">CONSULTA  EXTERNA
GUIAS DE  PRACTICA CLINICA</t>
  </si>
  <si>
    <t xml:space="preserve">URG</t>
  </si>
  <si>
    <t xml:space="preserve">URGENCIAS</t>
  </si>
  <si>
    <t xml:space="preserve">URG / P</t>
  </si>
  <si>
    <t xml:space="preserve">19:00:00 a 22:00:00</t>
  </si>
  <si>
    <t xml:space="preserve">07:00:00 a 19:00:00
22:00:00 a 07:00:00
19:00:00 a 22:00:00</t>
  </si>
  <si>
    <t xml:space="preserve">12.0
9.0
3.0</t>
  </si>
  <si>
    <t xml:space="preserve">URGENCIAS
DISPONIBILIDAD
URGENCIAS NOCHE</t>
  </si>
  <si>
    <t xml:space="preserve">FESTIVOS DEL AÑO 2025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</si>
</sst>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General"/>
    <numFmt numFmtId="167" formatCode="dd/mm/yyyy"/>
  </numFmts>
  <fonts count="1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sz val="12"/>
      <color rgb="FFFFFFFF"/>
      <name val="Calibri"/>
      <family val="0"/>
      <charset val="1"/>
    </font>
    <font>
      <sz val="8"/>
      <color rgb="FFFFFFFF"/>
      <name val="Arial Narrow"/>
      <family val="0"/>
      <charset val="1"/>
    </font>
    <font>
      <sz val="8"/>
      <color rgb="FF000000"/>
      <name val="Arial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5C6E8"/>
        <bgColor rgb="FFCCCCFF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6" fillId="0" borderId="3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6" fillId="0" borderId="6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6" fillId="0" borderId="9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1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1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6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4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4" fontId="9" fillId="3" borderId="4" xfId="0" applyFont="true" applyBorder="true" applyAlignment="true" applyProtection="true">
      <alignment horizontal="left" vertical="top" textRotation="0" wrapText="true" indent="0" shrinkToFit="false"/>
      <protection locked="true" hidden="true"/>
    </xf>
    <xf numFmtId="164" fontId="9" fillId="3" borderId="15" xfId="0" applyFont="true" applyBorder="true" applyAlignment="true" applyProtection="true">
      <alignment horizontal="left" vertical="top" textRotation="0" wrapText="true" indent="0" shrinkToFit="false"/>
      <protection locked="true" hidden="true"/>
    </xf>
    <xf numFmtId="164" fontId="11" fillId="3" borderId="4" xfId="0" applyFont="true" applyBorder="true" applyAlignment="true" applyProtection="true">
      <alignment horizontal="general" vertical="top" textRotation="0" wrapText="true" indent="0" shrinkToFit="false"/>
      <protection locked="true" hidden="true"/>
    </xf>
    <xf numFmtId="164" fontId="0" fillId="0" borderId="1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18" xfId="0" applyFont="false" applyBorder="true" applyAlignment="true" applyProtection="true">
      <alignment horizontal="general" vertical="bottom" textRotation="0" wrapText="true" indent="0" shrinkToFit="false"/>
      <protection locked="true" hidden="tru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19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tru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64" fontId="13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14" fillId="0" borderId="1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7" fontId="15" fillId="0" borderId="2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7" fontId="15" fillId="0" borderId="19" xfId="0" applyFont="true" applyBorder="true" applyAlignment="true" applyProtection="true">
      <alignment horizontal="center" vertical="center" textRotation="0" wrapText="true" indent="0" shrinkToFit="false"/>
      <protection locked="tru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C6E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466560</xdr:colOff>
      <xdr:row>0</xdr:row>
      <xdr:rowOff>200160</xdr:rowOff>
    </xdr:from>
    <xdr:to>
      <xdr:col>2</xdr:col>
      <xdr:colOff>1990080</xdr:colOff>
      <xdr:row>7</xdr:row>
      <xdr:rowOff>190440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1919520" y="200160"/>
          <a:ext cx="1523520" cy="13618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FESTIVOS" displayName="tFESTIVOS" ref="A1:A51" headerRowCount="1" totalsRowCount="0" totalsRowShown="0">
  <autoFilter ref="A1:A51"/>
  <tableColumns count="1">
    <tableColumn id="1" name="FESTIVOS DEL AÑO 2025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4" ySplit="12" topLeftCell="H13" activePane="bottomRight" state="frozen"/>
      <selection pane="topLeft" activeCell="A1" activeCellId="0" sqref="A1"/>
      <selection pane="topRight" activeCell="H1" activeCellId="0" sqref="H1"/>
      <selection pane="bottomLeft" activeCell="A13" activeCellId="0" sqref="A13"/>
      <selection pane="bottomRight" activeCell="F14" activeCellId="0" sqref="F14"/>
    </sheetView>
  </sheetViews>
  <sheetFormatPr defaultColWidth="9.37890625" defaultRowHeight="14.25" zeroHeight="false" outlineLevelRow="0" outlineLevelCol="0"/>
  <cols>
    <col collapsed="false" customWidth="false" hidden="false" outlineLevel="0" max="2" min="1" style="1" width="9.38"/>
    <col collapsed="false" customWidth="true" hidden="false" outlineLevel="0" max="3" min="3" style="1" width="30.75"/>
    <col collapsed="false" customWidth="true" hidden="false" outlineLevel="0" max="4" min="4" style="1" width="21.13"/>
    <col collapsed="false" customWidth="true" hidden="false" outlineLevel="0" max="37" min="5" style="1" width="8.12"/>
    <col collapsed="false" customWidth="true" hidden="false" outlineLevel="0" max="38" min="38" style="1" width="11.25"/>
    <col collapsed="false" customWidth="false" hidden="false" outlineLevel="0" max="39" min="39" style="1" width="9.38"/>
  </cols>
  <sheetData>
    <row r="1" customFormat="false" ht="16.5" hidden="false" customHeight="true" outlineLevel="0" collapsed="false"/>
    <row r="2" customFormat="false" ht="18" hidden="false" customHeight="true" outlineLevel="0" collapsed="false">
      <c r="C2" s="2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 t="s">
        <v>1</v>
      </c>
      <c r="AD2" s="4"/>
      <c r="AE2" s="4"/>
      <c r="AF2" s="4"/>
      <c r="AG2" s="4"/>
      <c r="AH2" s="4"/>
      <c r="AI2" s="4"/>
    </row>
    <row r="3" customFormat="false" ht="14.25" hidden="false" customHeight="false" outlineLevel="0" collapsed="false">
      <c r="C3" s="2"/>
      <c r="D3" s="5" t="s">
        <v>2</v>
      </c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7" t="s">
        <v>4</v>
      </c>
      <c r="AD3" s="7"/>
      <c r="AE3" s="7"/>
      <c r="AF3" s="7"/>
      <c r="AG3" s="7"/>
      <c r="AH3" s="7"/>
      <c r="AI3" s="7"/>
    </row>
    <row r="4" customFormat="false" ht="14.25" hidden="false" customHeight="false" outlineLevel="0" collapsed="false">
      <c r="C4" s="8" t="s">
        <v>5</v>
      </c>
      <c r="D4" s="9" t="s">
        <v>6</v>
      </c>
      <c r="E4" s="6" t="s">
        <v>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7" t="s">
        <v>8</v>
      </c>
      <c r="AD4" s="7"/>
      <c r="AE4" s="7"/>
      <c r="AF4" s="7"/>
      <c r="AG4" s="7"/>
      <c r="AH4" s="7"/>
      <c r="AI4" s="7"/>
    </row>
    <row r="5" customFormat="false" ht="14.25" hidden="false" customHeight="false" outlineLevel="0" collapsed="false">
      <c r="C5" s="8" t="n">
        <v>1</v>
      </c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7"/>
      <c r="AD5" s="7"/>
      <c r="AE5" s="7"/>
      <c r="AF5" s="7"/>
      <c r="AG5" s="7"/>
      <c r="AH5" s="7"/>
      <c r="AI5" s="7"/>
    </row>
    <row r="6" customFormat="false" ht="14.25" hidden="false" customHeight="false" outlineLevel="0" collapsed="false">
      <c r="C6" s="8"/>
      <c r="D6" s="5" t="s">
        <v>9</v>
      </c>
      <c r="E6" s="6" t="s">
        <v>10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7" t="n">
        <v>1</v>
      </c>
      <c r="AD6" s="7"/>
      <c r="AE6" s="7"/>
      <c r="AF6" s="7"/>
      <c r="AG6" s="7"/>
      <c r="AH6" s="7"/>
      <c r="AI6" s="7"/>
    </row>
    <row r="7" customFormat="false" ht="16.5" hidden="false" customHeight="true" outlineLevel="0" collapsed="false">
      <c r="C7" s="2"/>
      <c r="D7" s="10" t="s">
        <v>11</v>
      </c>
      <c r="E7" s="6" t="s">
        <v>12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11" t="s">
        <v>13</v>
      </c>
      <c r="AD7" s="11"/>
      <c r="AE7" s="11"/>
      <c r="AF7" s="11"/>
      <c r="AG7" s="11"/>
      <c r="AH7" s="11"/>
      <c r="AI7" s="11"/>
    </row>
    <row r="8" customFormat="false" ht="16.5" hidden="false" customHeight="true" outlineLevel="0" collapsed="false">
      <c r="C8" s="12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3"/>
      <c r="AD8" s="13"/>
      <c r="AE8" s="13"/>
      <c r="AF8" s="13"/>
      <c r="AG8" s="13"/>
      <c r="AH8" s="13"/>
      <c r="AI8" s="13"/>
    </row>
    <row r="9" customFormat="false" ht="16.5" hidden="false" customHeight="true" outlineLevel="0" collapsed="false">
      <c r="C9" s="15"/>
      <c r="D9" s="16"/>
      <c r="E9" s="16" t="s">
        <v>14</v>
      </c>
      <c r="F9" s="16"/>
      <c r="G9" s="16"/>
      <c r="H9" s="16" t="s">
        <v>15</v>
      </c>
      <c r="I9" s="16"/>
      <c r="J9" s="16"/>
      <c r="K9" s="16"/>
      <c r="L9" s="16"/>
      <c r="M9" s="16"/>
      <c r="N9" s="16"/>
      <c r="O9" s="16" t="s">
        <v>16</v>
      </c>
      <c r="P9" s="16"/>
      <c r="Q9" s="16"/>
      <c r="R9" s="16" t="n">
        <v>2026</v>
      </c>
      <c r="S9" s="16"/>
      <c r="T9" s="16"/>
      <c r="U9" s="16"/>
      <c r="V9" s="16"/>
      <c r="W9" s="17" t="s">
        <v>17</v>
      </c>
      <c r="X9" s="18" t="s">
        <v>18</v>
      </c>
      <c r="Y9" s="18"/>
      <c r="Z9" s="18"/>
      <c r="AA9" s="18"/>
      <c r="AB9" s="18"/>
      <c r="AC9" s="18"/>
      <c r="AD9" s="18"/>
      <c r="AE9" s="19" t="s">
        <v>19</v>
      </c>
      <c r="AF9" s="19"/>
      <c r="AG9" s="19"/>
      <c r="AH9" s="19"/>
      <c r="AI9" s="19"/>
    </row>
    <row r="10" customFormat="false" ht="16.5" hidden="false" customHeight="true" outlineLevel="0" collapsed="false">
      <c r="C10" s="2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/>
      <c r="Q10" s="20"/>
      <c r="R10" s="14"/>
      <c r="S10" s="14"/>
      <c r="T10" s="20"/>
      <c r="U10" s="20"/>
      <c r="V10" s="20"/>
      <c r="W10" s="20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 customFormat="false" ht="14.25" hidden="false" customHeight="true" outlineLevel="0" collapsed="false">
      <c r="C11" s="21" t="s">
        <v>20</v>
      </c>
      <c r="D11" s="22" t="s">
        <v>21</v>
      </c>
      <c r="E11" s="23" t="n">
        <v>1</v>
      </c>
      <c r="F11" s="23" t="n">
        <v>2</v>
      </c>
      <c r="G11" s="23" t="n">
        <v>3</v>
      </c>
      <c r="H11" s="23" t="n">
        <v>4</v>
      </c>
      <c r="I11" s="23" t="n">
        <v>5</v>
      </c>
      <c r="J11" s="23" t="n">
        <v>6</v>
      </c>
      <c r="K11" s="23" t="n">
        <v>7</v>
      </c>
      <c r="L11" s="23" t="n">
        <v>8</v>
      </c>
      <c r="M11" s="23" t="n">
        <v>9</v>
      </c>
      <c r="N11" s="23" t="n">
        <v>10</v>
      </c>
      <c r="O11" s="23" t="n">
        <v>11</v>
      </c>
      <c r="P11" s="23" t="n">
        <v>12</v>
      </c>
      <c r="Q11" s="23" t="n">
        <v>13</v>
      </c>
      <c r="R11" s="23" t="n">
        <v>14</v>
      </c>
      <c r="S11" s="23" t="n">
        <v>15</v>
      </c>
      <c r="T11" s="23" t="n">
        <v>16</v>
      </c>
      <c r="U11" s="23" t="n">
        <v>17</v>
      </c>
      <c r="V11" s="23" t="n">
        <v>18</v>
      </c>
      <c r="W11" s="23" t="n">
        <v>19</v>
      </c>
      <c r="X11" s="23" t="n">
        <v>20</v>
      </c>
      <c r="Y11" s="23" t="n">
        <v>21</v>
      </c>
      <c r="Z11" s="23" t="n">
        <v>22</v>
      </c>
      <c r="AA11" s="23" t="n">
        <v>23</v>
      </c>
      <c r="AB11" s="23" t="n">
        <v>24</v>
      </c>
      <c r="AC11" s="23" t="n">
        <v>25</v>
      </c>
      <c r="AD11" s="23" t="n">
        <v>26</v>
      </c>
      <c r="AE11" s="23" t="n">
        <v>27</v>
      </c>
      <c r="AF11" s="23" t="n">
        <v>28</v>
      </c>
      <c r="AG11" s="23"/>
      <c r="AH11" s="23"/>
      <c r="AI11" s="23"/>
      <c r="AJ11" s="23"/>
      <c r="AK11" s="23"/>
      <c r="AL11" s="24" t="s">
        <v>22</v>
      </c>
    </row>
    <row r="12" customFormat="false" ht="14.25" hidden="false" customHeight="false" outlineLevel="0" collapsed="false">
      <c r="C12" s="21"/>
      <c r="D12" s="22"/>
      <c r="E12" s="23" t="s">
        <v>23</v>
      </c>
      <c r="F12" s="23" t="s">
        <v>24</v>
      </c>
      <c r="G12" s="23" t="s">
        <v>25</v>
      </c>
      <c r="H12" s="23" t="s">
        <v>25</v>
      </c>
      <c r="I12" s="23" t="s">
        <v>26</v>
      </c>
      <c r="J12" s="23" t="s">
        <v>27</v>
      </c>
      <c r="K12" s="23" t="s">
        <v>28</v>
      </c>
      <c r="L12" s="23" t="s">
        <v>23</v>
      </c>
      <c r="M12" s="23" t="s">
        <v>24</v>
      </c>
      <c r="N12" s="23" t="s">
        <v>25</v>
      </c>
      <c r="O12" s="23" t="s">
        <v>25</v>
      </c>
      <c r="P12" s="23" t="s">
        <v>26</v>
      </c>
      <c r="Q12" s="23" t="s">
        <v>27</v>
      </c>
      <c r="R12" s="23" t="s">
        <v>28</v>
      </c>
      <c r="S12" s="23" t="s">
        <v>23</v>
      </c>
      <c r="T12" s="23" t="s">
        <v>24</v>
      </c>
      <c r="U12" s="23" t="s">
        <v>25</v>
      </c>
      <c r="V12" s="23" t="s">
        <v>25</v>
      </c>
      <c r="W12" s="23" t="s">
        <v>26</v>
      </c>
      <c r="X12" s="23" t="s">
        <v>27</v>
      </c>
      <c r="Y12" s="23" t="s">
        <v>28</v>
      </c>
      <c r="Z12" s="23" t="s">
        <v>23</v>
      </c>
      <c r="AA12" s="23" t="s">
        <v>24</v>
      </c>
      <c r="AB12" s="23" t="s">
        <v>25</v>
      </c>
      <c r="AC12" s="23" t="s">
        <v>25</v>
      </c>
      <c r="AD12" s="23" t="s">
        <v>26</v>
      </c>
      <c r="AE12" s="23" t="s">
        <v>27</v>
      </c>
      <c r="AF12" s="23" t="s">
        <v>28</v>
      </c>
      <c r="AG12" s="23"/>
      <c r="AH12" s="23"/>
      <c r="AI12" s="23"/>
      <c r="AJ12" s="23"/>
      <c r="AK12" s="23"/>
      <c r="AL12" s="25"/>
    </row>
    <row r="13" customFormat="false" ht="15" hidden="false" customHeight="false" outlineLevel="0" collapsed="false">
      <c r="B13" s="26" t="n">
        <v>1</v>
      </c>
      <c r="C13" s="27" t="s">
        <v>29</v>
      </c>
      <c r="D13" s="28" t="n">
        <v>1049610828</v>
      </c>
      <c r="E13" s="29" t="s">
        <v>30</v>
      </c>
      <c r="F13" s="29" t="s">
        <v>30</v>
      </c>
      <c r="G13" s="29" t="s">
        <v>31</v>
      </c>
      <c r="H13" s="29" t="s">
        <v>32</v>
      </c>
      <c r="I13" s="29"/>
      <c r="J13" s="29"/>
      <c r="K13" s="29" t="s">
        <v>31</v>
      </c>
      <c r="L13" s="29" t="s">
        <v>31</v>
      </c>
      <c r="M13" s="29" t="s">
        <v>30</v>
      </c>
      <c r="N13" s="29" t="s">
        <v>31</v>
      </c>
      <c r="O13" s="29" t="s">
        <v>30</v>
      </c>
      <c r="P13" s="29" t="s">
        <v>32</v>
      </c>
      <c r="Q13" s="29" t="s">
        <v>32</v>
      </c>
      <c r="R13" s="29" t="s">
        <v>32</v>
      </c>
      <c r="S13" s="29" t="s">
        <v>30</v>
      </c>
      <c r="T13" s="29" t="s">
        <v>32</v>
      </c>
      <c r="U13" s="29"/>
      <c r="V13" s="29"/>
      <c r="W13" s="29" t="s">
        <v>31</v>
      </c>
      <c r="X13" s="29"/>
      <c r="Y13" s="29"/>
      <c r="Z13" s="29"/>
      <c r="AA13" s="29" t="s">
        <v>33</v>
      </c>
      <c r="AB13" s="29" t="s">
        <v>30</v>
      </c>
      <c r="AC13" s="29" t="s">
        <v>32</v>
      </c>
      <c r="AD13" s="29" t="s">
        <v>32</v>
      </c>
      <c r="AE13" s="29"/>
      <c r="AF13" s="29" t="s">
        <v>30</v>
      </c>
      <c r="AG13" s="29"/>
      <c r="AH13" s="29"/>
      <c r="AI13" s="29"/>
      <c r="AJ13" s="29"/>
      <c r="AK13" s="29"/>
      <c r="AL13" s="30" t="n">
        <f aca="false">IFERROR(VLOOKUP(E13,$B$75:$E$101,4,FALSE()),0)+
IFERROR(VLOOKUP(F13,$B$75:$E$101,4,FALSE()),0)+
IFERROR(VLOOKUP(G13,$B$75:$E$101,4,FALSE()),0)+
IFERROR(VLOOKUP(H13,$B$75:$E$101,4,FALSE()),0)+
IFERROR(VLOOKUP(I13,$B$75:$E$101,4,FALSE()),0)+
IFERROR(VLOOKUP(J13,$B$75:$E$101,4,FALSE()),0)+
IFERROR(VLOOKUP(K13,$B$75:$E$101,4,FALSE()),0)+
IFERROR(VLOOKUP(L13,$B$75:$E$101,4,FALSE()),0)+
IFERROR(VLOOKUP(M13,$B$75:$E$101,4,FALSE()),0)+
IFERROR(VLOOKUP(N13,$B$75:$E$101,4,FALSE()),0)+
IFERROR(VLOOKUP(O13,$B$75:$E$101,4,FALSE()),0)+
IFERROR(VLOOKUP(P13,$B$75:$E$101,4,FALSE()),0)+
IFERROR(VLOOKUP(Q13,$B$75:$E$101,4,FALSE()),0)+
IFERROR(VLOOKUP(R13,$B$75:$E$101,4,FALSE()),0)+
IFERROR(VLOOKUP(S13,$B$75:$E$101,4,FALSE()),0)+
IFERROR(VLOOKUP(T13,$B$75:$E$101,4,FALSE()),0)+
IFERROR(VLOOKUP(U13,$B$75:$E$101,4,FALSE()),0)+
IFERROR(VLOOKUP(V13,$B$75:$E$101,4,FALSE()),0)+
IFERROR(VLOOKUP(W13,$B$75:$E$101,4,FALSE()),0)+
IFERROR(VLOOKUP(X13,$B$75:$E$101,4,FALSE()),0)+
IFERROR(VLOOKUP(Y13,$B$75:$E$101,4,FALSE()),0)+
IFERROR(VLOOKUP(Z13,$B$75:$E$101,4,FALSE()),0)+
IFERROR(VLOOKUP(AA13,$B$75:$E$101,4,FALSE()),0)+
IFERROR(VLOOKUP(AB13,$B$75:$E$101,4,FALSE()),0)+
IFERROR(VLOOKUP(AC13,$B$75:$E$101,4,FALSE()),0)+
IFERROR(VLOOKUP(AD13,$B$75:$E$101,4,FALSE()),0)+
IFERROR(VLOOKUP(AE13,$B$75:$E$101,4,FALSE()),0)+
IFERROR(VLOOKUP(AF13,$B$75:$E$101,4,FALSE()),0)+
IFERROR(VLOOKUP(AG13,$B$75:$E$101,4,FALSE()),0)+
IFERROR(VLOOKUP(AH13,$B$75:$E$101,4,FALSE()),0)+
IFERROR(VLOOKUP(AI13,$B$75:$E$101,4,FALSE()),0)+
IFERROR(VLOOKUP(AJ13,$B$75:$E$101,4,FALSE()),0)</f>
        <v>288</v>
      </c>
      <c r="AM13" s="31"/>
      <c r="AN13" s="31"/>
    </row>
    <row r="14" customFormat="false" ht="15" hidden="false" customHeight="false" outlineLevel="0" collapsed="false">
      <c r="B14" s="26" t="n">
        <v>2</v>
      </c>
      <c r="C14" s="27" t="s">
        <v>34</v>
      </c>
      <c r="D14" s="28" t="n">
        <v>79964043</v>
      </c>
      <c r="E14" s="29"/>
      <c r="F14" s="29" t="s">
        <v>32</v>
      </c>
      <c r="G14" s="29" t="s">
        <v>30</v>
      </c>
      <c r="H14" s="29" t="s">
        <v>30</v>
      </c>
      <c r="I14" s="29" t="s">
        <v>32</v>
      </c>
      <c r="J14" s="29" t="s">
        <v>31</v>
      </c>
      <c r="K14" s="29" t="s">
        <v>30</v>
      </c>
      <c r="L14" s="29" t="s">
        <v>31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0" t="n">
        <f aca="false">IFERROR(VLOOKUP(E14,$B$75:$E$101,4,FALSE()),0)+
IFERROR(VLOOKUP(F14,$B$75:$E$101,4,FALSE()),0)+
IFERROR(VLOOKUP(G14,$B$75:$E$101,4,FALSE()),0)+
IFERROR(VLOOKUP(H14,$B$75:$E$101,4,FALSE()),0)+
IFERROR(VLOOKUP(I14,$B$75:$E$101,4,FALSE()),0)+
IFERROR(VLOOKUP(J14,$B$75:$E$101,4,FALSE()),0)+
IFERROR(VLOOKUP(K14,$B$75:$E$101,4,FALSE()),0)+
IFERROR(VLOOKUP(L14,$B$75:$E$101,4,FALSE()),0)+
IFERROR(VLOOKUP(M14,$B$75:$E$101,4,FALSE()),0)+
IFERROR(VLOOKUP(N14,$B$75:$E$101,4,FALSE()),0)+
IFERROR(VLOOKUP(O14,$B$75:$E$101,4,FALSE()),0)+
IFERROR(VLOOKUP(P14,$B$75:$E$101,4,FALSE()),0)+
IFERROR(VLOOKUP(Q14,$B$75:$E$101,4,FALSE()),0)+
IFERROR(VLOOKUP(R14,$B$75:$E$101,4,FALSE()),0)+
IFERROR(VLOOKUP(S14,$B$75:$E$101,4,FALSE()),0)+
IFERROR(VLOOKUP(T14,$B$75:$E$101,4,FALSE()),0)+
IFERROR(VLOOKUP(U14,$B$75:$E$101,4,FALSE()),0)+
IFERROR(VLOOKUP(V14,$B$75:$E$101,4,FALSE()),0)+
IFERROR(VLOOKUP(W14,$B$75:$E$101,4,FALSE()),0)+
IFERROR(VLOOKUP(X14,$B$75:$E$101,4,FALSE()),0)+
IFERROR(VLOOKUP(Y14,$B$75:$E$101,4,FALSE()),0)+
IFERROR(VLOOKUP(Z14,$B$75:$E$101,4,FALSE()),0)+
IFERROR(VLOOKUP(AA14,$B$75:$E$101,4,FALSE()),0)+
IFERROR(VLOOKUP(AB14,$B$75:$E$101,4,FALSE()),0)+
IFERROR(VLOOKUP(AC14,$B$75:$E$101,4,FALSE()),0)+
IFERROR(VLOOKUP(AD14,$B$75:$E$101,4,FALSE()),0)+
IFERROR(VLOOKUP(AE14,$B$75:$E$101,4,FALSE()),0)+
IFERROR(VLOOKUP(AF14,$B$75:$E$101,4,FALSE()),0)+
IFERROR(VLOOKUP(AG14,$B$75:$E$101,4,FALSE()),0)+
IFERROR(VLOOKUP(AH14,$B$75:$E$101,4,FALSE()),0)+
IFERROR(VLOOKUP(AI14,$B$75:$E$101,4,FALSE()),0)+
IFERROR(VLOOKUP(AJ14,$B$75:$E$101,4,FALSE()),0)</f>
        <v>108</v>
      </c>
      <c r="AM14" s="31"/>
      <c r="AN14" s="31"/>
    </row>
    <row r="15" customFormat="false" ht="15" hidden="false" customHeight="false" outlineLevel="0" collapsed="false">
      <c r="B15" s="26" t="n">
        <v>3</v>
      </c>
      <c r="C15" s="27" t="s">
        <v>35</v>
      </c>
      <c r="D15" s="28" t="n">
        <v>1054678655</v>
      </c>
      <c r="E15" s="29" t="s">
        <v>32</v>
      </c>
      <c r="F15" s="29" t="s">
        <v>31</v>
      </c>
      <c r="G15" s="29" t="s">
        <v>32</v>
      </c>
      <c r="H15" s="29"/>
      <c r="I15" s="29" t="s">
        <v>33</v>
      </c>
      <c r="J15" s="29" t="s">
        <v>32</v>
      </c>
      <c r="K15" s="29"/>
      <c r="L15" s="29"/>
      <c r="M15" s="29" t="s">
        <v>33</v>
      </c>
      <c r="N15" s="29" t="s">
        <v>33</v>
      </c>
      <c r="O15" s="29" t="s">
        <v>31</v>
      </c>
      <c r="P15" s="29"/>
      <c r="Q15" s="29" t="s">
        <v>33</v>
      </c>
      <c r="R15" s="29"/>
      <c r="S15" s="29"/>
      <c r="T15" s="29" t="s">
        <v>30</v>
      </c>
      <c r="U15" s="29" t="s">
        <v>32</v>
      </c>
      <c r="V15" s="29" t="s">
        <v>32</v>
      </c>
      <c r="W15" s="29" t="s">
        <v>30</v>
      </c>
      <c r="X15" s="29" t="s">
        <v>30</v>
      </c>
      <c r="Y15" s="29" t="s">
        <v>32</v>
      </c>
      <c r="Z15" s="29" t="s">
        <v>30</v>
      </c>
      <c r="AA15" s="29" t="s">
        <v>30</v>
      </c>
      <c r="AB15" s="29" t="s">
        <v>32</v>
      </c>
      <c r="AC15" s="29" t="s">
        <v>30</v>
      </c>
      <c r="AD15" s="29" t="s">
        <v>30</v>
      </c>
      <c r="AE15" s="29" t="s">
        <v>31</v>
      </c>
      <c r="AF15" s="29"/>
      <c r="AG15" s="29"/>
      <c r="AH15" s="29"/>
      <c r="AI15" s="29"/>
      <c r="AJ15" s="29"/>
      <c r="AK15" s="29"/>
      <c r="AL15" s="30" t="n">
        <f aca="false">IFERROR(VLOOKUP(E15,$B$75:$E$101,4,FALSE()),0)+
IFERROR(VLOOKUP(F15,$B$75:$E$101,4,FALSE()),0)+
IFERROR(VLOOKUP(G15,$B$75:$E$101,4,FALSE()),0)+
IFERROR(VLOOKUP(H15,$B$75:$E$101,4,FALSE()),0)+
IFERROR(VLOOKUP(I15,$B$75:$E$101,4,FALSE()),0)+
IFERROR(VLOOKUP(J15,$B$75:$E$101,4,FALSE()),0)+
IFERROR(VLOOKUP(K15,$B$75:$E$101,4,FALSE()),0)+
IFERROR(VLOOKUP(L15,$B$75:$E$101,4,FALSE()),0)+
IFERROR(VLOOKUP(M15,$B$75:$E$101,4,FALSE()),0)+
IFERROR(VLOOKUP(N15,$B$75:$E$101,4,FALSE()),0)+
IFERROR(VLOOKUP(O15,$B$75:$E$101,4,FALSE()),0)+
IFERROR(VLOOKUP(P15,$B$75:$E$101,4,FALSE()),0)+
IFERROR(VLOOKUP(Q15,$B$75:$E$101,4,FALSE()),0)+
IFERROR(VLOOKUP(R15,$B$75:$E$101,4,FALSE()),0)+
IFERROR(VLOOKUP(S15,$B$75:$E$101,4,FALSE()),0)+
IFERROR(VLOOKUP(T15,$B$75:$E$101,4,FALSE()),0)+
IFERROR(VLOOKUP(U15,$B$75:$E$101,4,FALSE()),0)+
IFERROR(VLOOKUP(V15,$B$75:$E$101,4,FALSE()),0)+
IFERROR(VLOOKUP(W15,$B$75:$E$101,4,FALSE()),0)+
IFERROR(VLOOKUP(X15,$B$75:$E$101,4,FALSE()),0)+
IFERROR(VLOOKUP(Y15,$B$75:$E$101,4,FALSE()),0)+
IFERROR(VLOOKUP(Z15,$B$75:$E$101,4,FALSE()),0)+
IFERROR(VLOOKUP(AA15,$B$75:$E$101,4,FALSE()),0)+
IFERROR(VLOOKUP(AB15,$B$75:$E$101,4,FALSE()),0)+
IFERROR(VLOOKUP(AC15,$B$75:$E$101,4,FALSE()),0)+
IFERROR(VLOOKUP(AD15,$B$75:$E$101,4,FALSE()),0)+
IFERROR(VLOOKUP(AE15,$B$75:$E$101,4,FALSE()),0)+
IFERROR(VLOOKUP(AF15,$B$75:$E$101,4,FALSE()),0)+
IFERROR(VLOOKUP(AG15,$B$75:$E$101,4,FALSE()),0)+
IFERROR(VLOOKUP(AH15,$B$75:$E$101,4,FALSE()),0)+
IFERROR(VLOOKUP(AI15,$B$75:$E$101,4,FALSE()),0)+
IFERROR(VLOOKUP(AJ15,$B$75:$E$101,4,FALSE()),0)</f>
        <v>294</v>
      </c>
      <c r="AM15" s="31"/>
      <c r="AN15" s="31"/>
    </row>
    <row r="16" customFormat="false" ht="15.75" hidden="false" customHeight="true" outlineLevel="0" collapsed="false">
      <c r="B16" s="26" t="n">
        <v>4</v>
      </c>
      <c r="C16" s="27" t="s">
        <v>36</v>
      </c>
      <c r="D16" s="28" t="n">
        <v>1032418522</v>
      </c>
      <c r="E16" s="29"/>
      <c r="F16" s="29" t="s">
        <v>33</v>
      </c>
      <c r="G16" s="29"/>
      <c r="H16" s="29" t="s">
        <v>31</v>
      </c>
      <c r="I16" s="29" t="s">
        <v>31</v>
      </c>
      <c r="J16" s="29" t="s">
        <v>33</v>
      </c>
      <c r="K16" s="29" t="s">
        <v>32</v>
      </c>
      <c r="L16" s="29" t="s">
        <v>32</v>
      </c>
      <c r="M16" s="29" t="s">
        <v>31</v>
      </c>
      <c r="N16" s="29" t="s">
        <v>32</v>
      </c>
      <c r="O16" s="29" t="s">
        <v>32</v>
      </c>
      <c r="P16" s="29" t="s">
        <v>30</v>
      </c>
      <c r="Q16" s="29" t="s">
        <v>30</v>
      </c>
      <c r="R16" s="29" t="s">
        <v>30</v>
      </c>
      <c r="S16" s="29"/>
      <c r="T16" s="29"/>
      <c r="U16" s="29" t="s">
        <v>30</v>
      </c>
      <c r="V16" s="29" t="s">
        <v>30</v>
      </c>
      <c r="W16" s="29" t="s">
        <v>32</v>
      </c>
      <c r="X16" s="29" t="s">
        <v>32</v>
      </c>
      <c r="Y16" s="29" t="s">
        <v>30</v>
      </c>
      <c r="Z16" s="29" t="s">
        <v>32</v>
      </c>
      <c r="AA16" s="29" t="s">
        <v>32</v>
      </c>
      <c r="AB16" s="29" t="s">
        <v>31</v>
      </c>
      <c r="AC16" s="29"/>
      <c r="AD16" s="29"/>
      <c r="AE16" s="29" t="s">
        <v>30</v>
      </c>
      <c r="AF16" s="29"/>
      <c r="AG16" s="29"/>
      <c r="AH16" s="29"/>
      <c r="AI16" s="29"/>
      <c r="AJ16" s="29"/>
      <c r="AK16" s="29"/>
      <c r="AL16" s="30" t="n">
        <f aca="false">IFERROR(VLOOKUP(E16,$B$75:$E$101,4,FALSE()),0)+
IFERROR(VLOOKUP(F16,$B$75:$E$101,4,FALSE()),0)+
IFERROR(VLOOKUP(G16,$B$75:$E$101,4,FALSE()),0)+
IFERROR(VLOOKUP(H16,$B$75:$E$101,4,FALSE()),0)+
IFERROR(VLOOKUP(I16,$B$75:$E$101,4,FALSE()),0)+
IFERROR(VLOOKUP(J16,$B$75:$E$101,4,FALSE()),0)+
IFERROR(VLOOKUP(K16,$B$75:$E$101,4,FALSE()),0)+
IFERROR(VLOOKUP(L16,$B$75:$E$101,4,FALSE()),0)+
IFERROR(VLOOKUP(M16,$B$75:$E$101,4,FALSE()),0)+
IFERROR(VLOOKUP(N16,$B$75:$E$101,4,FALSE()),0)+
IFERROR(VLOOKUP(O16,$B$75:$E$101,4,FALSE()),0)+
IFERROR(VLOOKUP(P16,$B$75:$E$101,4,FALSE()),0)+
IFERROR(VLOOKUP(Q16,$B$75:$E$101,4,FALSE()),0)+
IFERROR(VLOOKUP(R16,$B$75:$E$101,4,FALSE()),0)+
IFERROR(VLOOKUP(S16,$B$75:$E$101,4,FALSE()),0)+
IFERROR(VLOOKUP(T16,$B$75:$E$101,4,FALSE()),0)+
IFERROR(VLOOKUP(U16,$B$75:$E$101,4,FALSE()),0)+
IFERROR(VLOOKUP(V16,$B$75:$E$101,4,FALSE()),0)+
IFERROR(VLOOKUP(W16,$B$75:$E$101,4,FALSE()),0)+
IFERROR(VLOOKUP(X16,$B$75:$E$101,4,FALSE()),0)+
IFERROR(VLOOKUP(Y16,$B$75:$E$101,4,FALSE()),0)+
IFERROR(VLOOKUP(Z16,$B$75:$E$101,4,FALSE()),0)+
IFERROR(VLOOKUP(AA16,$B$75:$E$101,4,FALSE()),0)+
IFERROR(VLOOKUP(AB16,$B$75:$E$101,4,FALSE()),0)+
IFERROR(VLOOKUP(AC16,$B$75:$E$101,4,FALSE()),0)+
IFERROR(VLOOKUP(AD16,$B$75:$E$101,4,FALSE()),0)+
IFERROR(VLOOKUP(AE16,$B$75:$E$101,4,FALSE()),0)+
IFERROR(VLOOKUP(AF16,$B$75:$E$101,4,FALSE()),0)+
IFERROR(VLOOKUP(AG16,$B$75:$E$101,4,FALSE()),0)+
IFERROR(VLOOKUP(AH16,$B$75:$E$101,4,FALSE()),0)+
IFERROR(VLOOKUP(AI16,$B$75:$E$101,4,FALSE()),0)+
IFERROR(VLOOKUP(AJ16,$B$75:$E$101,4,FALSE()),0)</f>
        <v>300</v>
      </c>
      <c r="AM16" s="31"/>
      <c r="AN16" s="31"/>
    </row>
    <row r="17" customFormat="false" ht="15.75" hidden="false" customHeight="true" outlineLevel="0" collapsed="false">
      <c r="B17" s="26" t="n">
        <v>5</v>
      </c>
      <c r="C17" s="27" t="s">
        <v>37</v>
      </c>
      <c r="D17" s="27" t="n">
        <v>1049634359</v>
      </c>
      <c r="E17" s="29"/>
      <c r="F17" s="29"/>
      <c r="G17" s="29"/>
      <c r="H17" s="29" t="s">
        <v>33</v>
      </c>
      <c r="I17" s="29" t="s">
        <v>30</v>
      </c>
      <c r="J17" s="29" t="s">
        <v>30</v>
      </c>
      <c r="K17" s="29" t="s">
        <v>31</v>
      </c>
      <c r="L17" s="29" t="s">
        <v>30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 t="s">
        <v>32</v>
      </c>
      <c r="AF17" s="29" t="s">
        <v>32</v>
      </c>
      <c r="AG17" s="29"/>
      <c r="AH17" s="29"/>
      <c r="AI17" s="29"/>
      <c r="AJ17" s="29"/>
      <c r="AK17" s="29"/>
      <c r="AL17" s="30" t="n">
        <f aca="false">IFERROR(VLOOKUP(E17,$B$75:$E$101,4,FALSE()),0)+
IFERROR(VLOOKUP(F17,$B$75:$E$101,4,FALSE()),0)+
IFERROR(VLOOKUP(G17,$B$75:$E$101,4,FALSE()),0)+
IFERROR(VLOOKUP(H17,$B$75:$E$101,4,FALSE()),0)+
IFERROR(VLOOKUP(I17,$B$75:$E$101,4,FALSE()),0)+
IFERROR(VLOOKUP(J17,$B$75:$E$101,4,FALSE()),0)+
IFERROR(VLOOKUP(K17,$B$75:$E$101,4,FALSE()),0)+
IFERROR(VLOOKUP(L17,$B$75:$E$101,4,FALSE()),0)+
IFERROR(VLOOKUP(M17,$B$75:$E$101,4,FALSE()),0)+
IFERROR(VLOOKUP(N17,$B$75:$E$101,4,FALSE()),0)+
IFERROR(VLOOKUP(O17,$B$75:$E$101,4,FALSE()),0)+
IFERROR(VLOOKUP(P17,$B$75:$E$101,4,FALSE()),0)+
IFERROR(VLOOKUP(Q17,$B$75:$E$101,4,FALSE()),0)+
IFERROR(VLOOKUP(R17,$B$75:$E$101,4,FALSE()),0)+
IFERROR(VLOOKUP(S17,$B$75:$E$101,4,FALSE()),0)+
IFERROR(VLOOKUP(T17,$B$75:$E$101,4,FALSE()),0)+
IFERROR(VLOOKUP(U17,$B$75:$E$101,4,FALSE()),0)+
IFERROR(VLOOKUP(V17,$B$75:$E$101,4,FALSE()),0)+
IFERROR(VLOOKUP(W17,$B$75:$E$101,4,FALSE()),0)+
IFERROR(VLOOKUP(X17,$B$75:$E$101,4,FALSE()),0)+
IFERROR(VLOOKUP(Y17,$B$75:$E$101,4,FALSE()),0)+
IFERROR(VLOOKUP(Z17,$B$75:$E$101,4,FALSE()),0)+
IFERROR(VLOOKUP(AA17,$B$75:$E$101,4,FALSE()),0)+
IFERROR(VLOOKUP(AB17,$B$75:$E$101,4,FALSE()),0)+
IFERROR(VLOOKUP(AC17,$B$75:$E$101,4,FALSE()),0)+
IFERROR(VLOOKUP(AD17,$B$75:$E$101,4,FALSE()),0)+
IFERROR(VLOOKUP(AE17,$B$75:$E$101,4,FALSE()),0)+
IFERROR(VLOOKUP(AF17,$B$75:$E$101,4,FALSE()),0)+
IFERROR(VLOOKUP(AG17,$B$75:$E$101,4,FALSE()),0)+
IFERROR(VLOOKUP(AH17,$B$75:$E$101,4,FALSE()),0)+
IFERROR(VLOOKUP(AI17,$B$75:$E$101,4,FALSE()),0)+
IFERROR(VLOOKUP(AJ17,$B$75:$E$101,4,FALSE()),0)</f>
        <v>108</v>
      </c>
      <c r="AM17" s="31"/>
      <c r="AN17" s="31"/>
    </row>
    <row r="18" customFormat="false" ht="15.75" hidden="false" customHeight="true" outlineLevel="0" collapsed="false">
      <c r="B18" s="26" t="n">
        <v>6</v>
      </c>
      <c r="C18" s="27" t="s">
        <v>38</v>
      </c>
      <c r="D18" s="27" t="n">
        <v>1065623428</v>
      </c>
      <c r="E18" s="29"/>
      <c r="F18" s="29"/>
      <c r="G18" s="29"/>
      <c r="H18" s="29"/>
      <c r="I18" s="29"/>
      <c r="J18" s="29"/>
      <c r="K18" s="29"/>
      <c r="L18" s="29"/>
      <c r="M18" s="29" t="s">
        <v>32</v>
      </c>
      <c r="N18" s="29" t="s">
        <v>30</v>
      </c>
      <c r="O18" s="29" t="s">
        <v>30</v>
      </c>
      <c r="P18" s="29" t="s">
        <v>31</v>
      </c>
      <c r="Q18" s="29" t="s">
        <v>33</v>
      </c>
      <c r="R18" s="29" t="s">
        <v>31</v>
      </c>
      <c r="S18" s="29" t="s">
        <v>32</v>
      </c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30" t="n">
        <f aca="false">IFERROR(VLOOKUP(E18,$B$75:$E$101,4,FALSE()),0)+
IFERROR(VLOOKUP(F18,$B$75:$E$101,4,FALSE()),0)+
IFERROR(VLOOKUP(G18,$B$75:$E$101,4,FALSE()),0)+
IFERROR(VLOOKUP(H18,$B$75:$E$101,4,FALSE()),0)+
IFERROR(VLOOKUP(I18,$B$75:$E$101,4,FALSE()),0)+
IFERROR(VLOOKUP(J18,$B$75:$E$101,4,FALSE()),0)+
IFERROR(VLOOKUP(K18,$B$75:$E$101,4,FALSE()),0)+
IFERROR(VLOOKUP(L18,$B$75:$E$101,4,FALSE()),0)+
IFERROR(VLOOKUP(M18,$B$75:$E$101,4,FALSE()),0)+
IFERROR(VLOOKUP(N18,$B$75:$E$101,4,FALSE()),0)+
IFERROR(VLOOKUP(O18,$B$75:$E$101,4,FALSE()),0)+
IFERROR(VLOOKUP(P18,$B$75:$E$101,4,FALSE()),0)+
IFERROR(VLOOKUP(Q18,$B$75:$E$101,4,FALSE()),0)+
IFERROR(VLOOKUP(R18,$B$75:$E$101,4,FALSE()),0)+
IFERROR(VLOOKUP(S18,$B$75:$E$101,4,FALSE()),0)+
IFERROR(VLOOKUP(T18,$B$75:$E$101,4,FALSE()),0)+
IFERROR(VLOOKUP(U18,$B$75:$E$101,4,FALSE()),0)+
IFERROR(VLOOKUP(V18,$B$75:$E$101,4,FALSE()),0)+
IFERROR(VLOOKUP(W18,$B$75:$E$101,4,FALSE()),0)+
IFERROR(VLOOKUP(X18,$B$75:$E$101,4,FALSE()),0)+
IFERROR(VLOOKUP(Y18,$B$75:$E$101,4,FALSE()),0)+
IFERROR(VLOOKUP(Z18,$B$75:$E$101,4,FALSE()),0)+
IFERROR(VLOOKUP(AA18,$B$75:$E$101,4,FALSE()),0)+
IFERROR(VLOOKUP(AB18,$B$75:$E$101,4,FALSE()),0)+
IFERROR(VLOOKUP(AC18,$B$75:$E$101,4,FALSE()),0)+
IFERROR(VLOOKUP(AD18,$B$75:$E$101,4,FALSE()),0)+
IFERROR(VLOOKUP(AE18,$B$75:$E$101,4,FALSE()),0)+
IFERROR(VLOOKUP(AF18,$B$75:$E$101,4,FALSE()),0)+
IFERROR(VLOOKUP(AG18,$B$75:$E$101,4,FALSE()),0)+
IFERROR(VLOOKUP(AH18,$B$75:$E$101,4,FALSE()),0)+
IFERROR(VLOOKUP(AI18,$B$75:$E$101,4,FALSE()),0)+
IFERROR(VLOOKUP(AJ18,$B$75:$E$101,4,FALSE()),0)</f>
        <v>90</v>
      </c>
      <c r="AM18" s="31"/>
      <c r="AN18" s="31"/>
    </row>
    <row r="19" customFormat="false" ht="15.75" hidden="false" customHeight="true" outlineLevel="0" collapsed="false">
      <c r="B19" s="26" t="n">
        <v>7</v>
      </c>
      <c r="C19" s="27"/>
      <c r="D19" s="27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30" t="n">
        <f aca="false">IFERROR(VLOOKUP(E19,$B$75:$E$101,4,FALSE()),0)+
IFERROR(VLOOKUP(F19,$B$75:$E$101,4,FALSE()),0)+
IFERROR(VLOOKUP(G19,$B$75:$E$101,4,FALSE()),0)+
IFERROR(VLOOKUP(H19,$B$75:$E$101,4,FALSE()),0)+
IFERROR(VLOOKUP(I19,$B$75:$E$101,4,FALSE()),0)+
IFERROR(VLOOKUP(J19,$B$75:$E$101,4,FALSE()),0)+
IFERROR(VLOOKUP(K19,$B$75:$E$101,4,FALSE()),0)+
IFERROR(VLOOKUP(L19,$B$75:$E$101,4,FALSE()),0)+
IFERROR(VLOOKUP(M19,$B$75:$E$101,4,FALSE()),0)+
IFERROR(VLOOKUP(N19,$B$75:$E$101,4,FALSE()),0)+
IFERROR(VLOOKUP(O19,$B$75:$E$101,4,FALSE()),0)+
IFERROR(VLOOKUP(P19,$B$75:$E$101,4,FALSE()),0)+
IFERROR(VLOOKUP(Q19,$B$75:$E$101,4,FALSE()),0)+
IFERROR(VLOOKUP(R19,$B$75:$E$101,4,FALSE()),0)+
IFERROR(VLOOKUP(S19,$B$75:$E$101,4,FALSE()),0)+
IFERROR(VLOOKUP(T19,$B$75:$E$101,4,FALSE()),0)+
IFERROR(VLOOKUP(U19,$B$75:$E$101,4,FALSE()),0)+
IFERROR(VLOOKUP(V19,$B$75:$E$101,4,FALSE()),0)+
IFERROR(VLOOKUP(W19,$B$75:$E$101,4,FALSE()),0)+
IFERROR(VLOOKUP(X19,$B$75:$E$101,4,FALSE()),0)+
IFERROR(VLOOKUP(Y19,$B$75:$E$101,4,FALSE()),0)+
IFERROR(VLOOKUP(Z19,$B$75:$E$101,4,FALSE()),0)+
IFERROR(VLOOKUP(AA19,$B$75:$E$101,4,FALSE()),0)+
IFERROR(VLOOKUP(AB19,$B$75:$E$101,4,FALSE()),0)+
IFERROR(VLOOKUP(AC19,$B$75:$E$101,4,FALSE()),0)+
IFERROR(VLOOKUP(AD19,$B$75:$E$101,4,FALSE()),0)+
IFERROR(VLOOKUP(AE19,$B$75:$E$101,4,FALSE()),0)+
IFERROR(VLOOKUP(AF19,$B$75:$E$101,4,FALSE()),0)+
IFERROR(VLOOKUP(AG19,$B$75:$E$101,4,FALSE()),0)+
IFERROR(VLOOKUP(AH19,$B$75:$E$101,4,FALSE()),0)+
IFERROR(VLOOKUP(AI19,$B$75:$E$101,4,FALSE()),0)+
IFERROR(VLOOKUP(AJ19,$B$75:$E$101,4,FALSE()),0)</f>
        <v>0</v>
      </c>
      <c r="AM19" s="31"/>
      <c r="AN19" s="31"/>
    </row>
    <row r="20" customFormat="false" ht="15.75" hidden="false" customHeight="true" outlineLevel="0" collapsed="false">
      <c r="B20" s="26" t="n">
        <v>8</v>
      </c>
      <c r="C20" s="27"/>
      <c r="D20" s="27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30" t="n">
        <f aca="false">IFERROR(VLOOKUP(E20,$B$75:$E$101,4,FALSE()),0)+
IFERROR(VLOOKUP(F20,$B$75:$E$101,4,FALSE()),0)+
IFERROR(VLOOKUP(G20,$B$75:$E$101,4,FALSE()),0)+
IFERROR(VLOOKUP(H20,$B$75:$E$101,4,FALSE()),0)+
IFERROR(VLOOKUP(I20,$B$75:$E$101,4,FALSE()),0)+
IFERROR(VLOOKUP(J20,$B$75:$E$101,4,FALSE()),0)+
IFERROR(VLOOKUP(K20,$B$75:$E$101,4,FALSE()),0)+
IFERROR(VLOOKUP(L20,$B$75:$E$101,4,FALSE()),0)+
IFERROR(VLOOKUP(M20,$B$75:$E$101,4,FALSE()),0)+
IFERROR(VLOOKUP(N20,$B$75:$E$101,4,FALSE()),0)+
IFERROR(VLOOKUP(O20,$B$75:$E$101,4,FALSE()),0)+
IFERROR(VLOOKUP(P20,$B$75:$E$101,4,FALSE()),0)+
IFERROR(VLOOKUP(Q20,$B$75:$E$101,4,FALSE()),0)+
IFERROR(VLOOKUP(R20,$B$75:$E$101,4,FALSE()),0)+
IFERROR(VLOOKUP(S20,$B$75:$E$101,4,FALSE()),0)+
IFERROR(VLOOKUP(T20,$B$75:$E$101,4,FALSE()),0)+
IFERROR(VLOOKUP(U20,$B$75:$E$101,4,FALSE()),0)+
IFERROR(VLOOKUP(V20,$B$75:$E$101,4,FALSE()),0)+
IFERROR(VLOOKUP(W20,$B$75:$E$101,4,FALSE()),0)+
IFERROR(VLOOKUP(X20,$B$75:$E$101,4,FALSE()),0)+
IFERROR(VLOOKUP(Y20,$B$75:$E$101,4,FALSE()),0)+
IFERROR(VLOOKUP(Z20,$B$75:$E$101,4,FALSE()),0)+
IFERROR(VLOOKUP(AA20,$B$75:$E$101,4,FALSE()),0)+
IFERROR(VLOOKUP(AB20,$B$75:$E$101,4,FALSE()),0)+
IFERROR(VLOOKUP(AC20,$B$75:$E$101,4,FALSE()),0)+
IFERROR(VLOOKUP(AD20,$B$75:$E$101,4,FALSE()),0)+
IFERROR(VLOOKUP(AE20,$B$75:$E$101,4,FALSE()),0)+
IFERROR(VLOOKUP(AF20,$B$75:$E$101,4,FALSE()),0)+
IFERROR(VLOOKUP(AG20,$B$75:$E$101,4,FALSE()),0)+
IFERROR(VLOOKUP(AH20,$B$75:$E$101,4,FALSE()),0)+
IFERROR(VLOOKUP(AI20,$B$75:$E$101,4,FALSE()),0)+
IFERROR(VLOOKUP(AJ20,$B$75:$E$101,4,FALSE()),0)</f>
        <v>0</v>
      </c>
      <c r="AM20" s="31"/>
      <c r="AN20" s="31"/>
    </row>
    <row r="21" customFormat="false" ht="15.75" hidden="false" customHeight="true" outlineLevel="0" collapsed="false">
      <c r="B21" s="26" t="n">
        <v>9</v>
      </c>
      <c r="C21" s="27"/>
      <c r="D21" s="27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30" t="n">
        <f aca="false">IFERROR(VLOOKUP(E21,$B$75:$E$101,4,FALSE()),0)+
IFERROR(VLOOKUP(F21,$B$75:$E$101,4,FALSE()),0)+
IFERROR(VLOOKUP(G21,$B$75:$E$101,4,FALSE()),0)+
IFERROR(VLOOKUP(H21,$B$75:$E$101,4,FALSE()),0)+
IFERROR(VLOOKUP(I21,$B$75:$E$101,4,FALSE()),0)+
IFERROR(VLOOKUP(J21,$B$75:$E$101,4,FALSE()),0)+
IFERROR(VLOOKUP(K21,$B$75:$E$101,4,FALSE()),0)+
IFERROR(VLOOKUP(L21,$B$75:$E$101,4,FALSE()),0)+
IFERROR(VLOOKUP(M21,$B$75:$E$101,4,FALSE()),0)+
IFERROR(VLOOKUP(N21,$B$75:$E$101,4,FALSE()),0)+
IFERROR(VLOOKUP(O21,$B$75:$E$101,4,FALSE()),0)+
IFERROR(VLOOKUP(P21,$B$75:$E$101,4,FALSE()),0)+
IFERROR(VLOOKUP(Q21,$B$75:$E$101,4,FALSE()),0)+
IFERROR(VLOOKUP(R21,$B$75:$E$101,4,FALSE()),0)+
IFERROR(VLOOKUP(S21,$B$75:$E$101,4,FALSE()),0)+
IFERROR(VLOOKUP(T21,$B$75:$E$101,4,FALSE()),0)+
IFERROR(VLOOKUP(U21,$B$75:$E$101,4,FALSE()),0)+
IFERROR(VLOOKUP(V21,$B$75:$E$101,4,FALSE()),0)+
IFERROR(VLOOKUP(W21,$B$75:$E$101,4,FALSE()),0)+
IFERROR(VLOOKUP(X21,$B$75:$E$101,4,FALSE()),0)+
IFERROR(VLOOKUP(Y21,$B$75:$E$101,4,FALSE()),0)+
IFERROR(VLOOKUP(Z21,$B$75:$E$101,4,FALSE()),0)+
IFERROR(VLOOKUP(AA21,$B$75:$E$101,4,FALSE()),0)+
IFERROR(VLOOKUP(AB21,$B$75:$E$101,4,FALSE()),0)+
IFERROR(VLOOKUP(AC21,$B$75:$E$101,4,FALSE()),0)+
IFERROR(VLOOKUP(AD21,$B$75:$E$101,4,FALSE()),0)+
IFERROR(VLOOKUP(AE21,$B$75:$E$101,4,FALSE()),0)+
IFERROR(VLOOKUP(AF21,$B$75:$E$101,4,FALSE()),0)+
IFERROR(VLOOKUP(AG21,$B$75:$E$101,4,FALSE()),0)+
IFERROR(VLOOKUP(AH21,$B$75:$E$101,4,FALSE()),0)+
IFERROR(VLOOKUP(AI21,$B$75:$E$101,4,FALSE()),0)+
IFERROR(VLOOKUP(AJ21,$B$75:$E$101,4,FALSE()),0)</f>
        <v>0</v>
      </c>
      <c r="AM21" s="31"/>
      <c r="AN21" s="31"/>
    </row>
    <row r="22" customFormat="false" ht="15.75" hidden="false" customHeight="true" outlineLevel="0" collapsed="false">
      <c r="B22" s="26" t="n">
        <v>10</v>
      </c>
      <c r="C22" s="27"/>
      <c r="D22" s="27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30" t="n">
        <f aca="false">IFERROR(VLOOKUP(E22,$B$75:$E$101,4,FALSE()),0)+
IFERROR(VLOOKUP(F22,$B$75:$E$101,4,FALSE()),0)+
IFERROR(VLOOKUP(G22,$B$75:$E$101,4,FALSE()),0)+
IFERROR(VLOOKUP(H22,$B$75:$E$101,4,FALSE()),0)+
IFERROR(VLOOKUP(I22,$B$75:$E$101,4,FALSE()),0)+
IFERROR(VLOOKUP(J22,$B$75:$E$101,4,FALSE()),0)+
IFERROR(VLOOKUP(K22,$B$75:$E$101,4,FALSE()),0)+
IFERROR(VLOOKUP(L22,$B$75:$E$101,4,FALSE()),0)+
IFERROR(VLOOKUP(M22,$B$75:$E$101,4,FALSE()),0)+
IFERROR(VLOOKUP(N22,$B$75:$E$101,4,FALSE()),0)+
IFERROR(VLOOKUP(O22,$B$75:$E$101,4,FALSE()),0)+
IFERROR(VLOOKUP(P22,$B$75:$E$101,4,FALSE()),0)+
IFERROR(VLOOKUP(Q22,$B$75:$E$101,4,FALSE()),0)+
IFERROR(VLOOKUP(R22,$B$75:$E$101,4,FALSE()),0)+
IFERROR(VLOOKUP(S22,$B$75:$E$101,4,FALSE()),0)+
IFERROR(VLOOKUP(T22,$B$75:$E$101,4,FALSE()),0)+
IFERROR(VLOOKUP(U22,$B$75:$E$101,4,FALSE()),0)+
IFERROR(VLOOKUP(V22,$B$75:$E$101,4,FALSE()),0)+
IFERROR(VLOOKUP(W22,$B$75:$E$101,4,FALSE()),0)+
IFERROR(VLOOKUP(X22,$B$75:$E$101,4,FALSE()),0)+
IFERROR(VLOOKUP(Y22,$B$75:$E$101,4,FALSE()),0)+
IFERROR(VLOOKUP(Z22,$B$75:$E$101,4,FALSE()),0)+
IFERROR(VLOOKUP(AA22,$B$75:$E$101,4,FALSE()),0)+
IFERROR(VLOOKUP(AB22,$B$75:$E$101,4,FALSE()),0)+
IFERROR(VLOOKUP(AC22,$B$75:$E$101,4,FALSE()),0)+
IFERROR(VLOOKUP(AD22,$B$75:$E$101,4,FALSE()),0)+
IFERROR(VLOOKUP(AE22,$B$75:$E$101,4,FALSE()),0)+
IFERROR(VLOOKUP(AF22,$B$75:$E$101,4,FALSE()),0)+
IFERROR(VLOOKUP(AG22,$B$75:$E$101,4,FALSE()),0)+
IFERROR(VLOOKUP(AH22,$B$75:$E$101,4,FALSE()),0)+
IFERROR(VLOOKUP(AI22,$B$75:$E$101,4,FALSE()),0)+
IFERROR(VLOOKUP(AJ22,$B$75:$E$101,4,FALSE()),0)</f>
        <v>0</v>
      </c>
      <c r="AM22" s="31"/>
      <c r="AN22" s="31"/>
    </row>
    <row r="23" customFormat="false" ht="15.75" hidden="false" customHeight="true" outlineLevel="0" collapsed="false">
      <c r="B23" s="26" t="n">
        <v>11</v>
      </c>
      <c r="C23" s="27"/>
      <c r="D23" s="27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30" t="n">
        <f aca="false">IFERROR(VLOOKUP(E23,$B$75:$E$101,4,FALSE()),0)+
IFERROR(VLOOKUP(F23,$B$75:$E$101,4,FALSE()),0)+
IFERROR(VLOOKUP(G23,$B$75:$E$101,4,FALSE()),0)+
IFERROR(VLOOKUP(H23,$B$75:$E$101,4,FALSE()),0)+
IFERROR(VLOOKUP(I23,$B$75:$E$101,4,FALSE()),0)+
IFERROR(VLOOKUP(J23,$B$75:$E$101,4,FALSE()),0)+
IFERROR(VLOOKUP(K23,$B$75:$E$101,4,FALSE()),0)+
IFERROR(VLOOKUP(L23,$B$75:$E$101,4,FALSE()),0)+
IFERROR(VLOOKUP(M23,$B$75:$E$101,4,FALSE()),0)+
IFERROR(VLOOKUP(N23,$B$75:$E$101,4,FALSE()),0)+
IFERROR(VLOOKUP(O23,$B$75:$E$101,4,FALSE()),0)+
IFERROR(VLOOKUP(P23,$B$75:$E$101,4,FALSE()),0)+
IFERROR(VLOOKUP(Q23,$B$75:$E$101,4,FALSE()),0)+
IFERROR(VLOOKUP(R23,$B$75:$E$101,4,FALSE()),0)+
IFERROR(VLOOKUP(S23,$B$75:$E$101,4,FALSE()),0)+
IFERROR(VLOOKUP(T23,$B$75:$E$101,4,FALSE()),0)+
IFERROR(VLOOKUP(U23,$B$75:$E$101,4,FALSE()),0)+
IFERROR(VLOOKUP(V23,$B$75:$E$101,4,FALSE()),0)+
IFERROR(VLOOKUP(W23,$B$75:$E$101,4,FALSE()),0)+
IFERROR(VLOOKUP(X23,$B$75:$E$101,4,FALSE()),0)+
IFERROR(VLOOKUP(Y23,$B$75:$E$101,4,FALSE()),0)+
IFERROR(VLOOKUP(Z23,$B$75:$E$101,4,FALSE()),0)+
IFERROR(VLOOKUP(AA23,$B$75:$E$101,4,FALSE()),0)+
IFERROR(VLOOKUP(AB23,$B$75:$E$101,4,FALSE()),0)+
IFERROR(VLOOKUP(AC23,$B$75:$E$101,4,FALSE()),0)+
IFERROR(VLOOKUP(AD23,$B$75:$E$101,4,FALSE()),0)+
IFERROR(VLOOKUP(AE23,$B$75:$E$101,4,FALSE()),0)+
IFERROR(VLOOKUP(AF23,$B$75:$E$101,4,FALSE()),0)+
IFERROR(VLOOKUP(AG23,$B$75:$E$101,4,FALSE()),0)+
IFERROR(VLOOKUP(AH23,$B$75:$E$101,4,FALSE()),0)+
IFERROR(VLOOKUP(AI23,$B$75:$E$101,4,FALSE()),0)+
IFERROR(VLOOKUP(AJ23,$B$75:$E$101,4,FALSE()),0)</f>
        <v>0</v>
      </c>
      <c r="AM23" s="31"/>
      <c r="AN23" s="31"/>
    </row>
    <row r="24" customFormat="false" ht="15.75" hidden="false" customHeight="true" outlineLevel="0" collapsed="false">
      <c r="B24" s="26" t="n">
        <v>12</v>
      </c>
      <c r="C24" s="27"/>
      <c r="D24" s="27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30" t="n">
        <f aca="false">IFERROR(VLOOKUP(E24,$B$75:$E$101,4,FALSE()),0)+
IFERROR(VLOOKUP(F24,$B$75:$E$101,4,FALSE()),0)+
IFERROR(VLOOKUP(G24,$B$75:$E$101,4,FALSE()),0)+
IFERROR(VLOOKUP(H24,$B$75:$E$101,4,FALSE()),0)+
IFERROR(VLOOKUP(I24,$B$75:$E$101,4,FALSE()),0)+
IFERROR(VLOOKUP(J24,$B$75:$E$101,4,FALSE()),0)+
IFERROR(VLOOKUP(K24,$B$75:$E$101,4,FALSE()),0)+
IFERROR(VLOOKUP(L24,$B$75:$E$101,4,FALSE()),0)+
IFERROR(VLOOKUP(M24,$B$75:$E$101,4,FALSE()),0)+
IFERROR(VLOOKUP(N24,$B$75:$E$101,4,FALSE()),0)+
IFERROR(VLOOKUP(O24,$B$75:$E$101,4,FALSE()),0)+
IFERROR(VLOOKUP(P24,$B$75:$E$101,4,FALSE()),0)+
IFERROR(VLOOKUP(Q24,$B$75:$E$101,4,FALSE()),0)+
IFERROR(VLOOKUP(R24,$B$75:$E$101,4,FALSE()),0)+
IFERROR(VLOOKUP(S24,$B$75:$E$101,4,FALSE()),0)+
IFERROR(VLOOKUP(T24,$B$75:$E$101,4,FALSE()),0)+
IFERROR(VLOOKUP(U24,$B$75:$E$101,4,FALSE()),0)+
IFERROR(VLOOKUP(V24,$B$75:$E$101,4,FALSE()),0)+
IFERROR(VLOOKUP(W24,$B$75:$E$101,4,FALSE()),0)+
IFERROR(VLOOKUP(X24,$B$75:$E$101,4,FALSE()),0)+
IFERROR(VLOOKUP(Y24,$B$75:$E$101,4,FALSE()),0)+
IFERROR(VLOOKUP(Z24,$B$75:$E$101,4,FALSE()),0)+
IFERROR(VLOOKUP(AA24,$B$75:$E$101,4,FALSE()),0)+
IFERROR(VLOOKUP(AB24,$B$75:$E$101,4,FALSE()),0)+
IFERROR(VLOOKUP(AC24,$B$75:$E$101,4,FALSE()),0)+
IFERROR(VLOOKUP(AD24,$B$75:$E$101,4,FALSE()),0)+
IFERROR(VLOOKUP(AE24,$B$75:$E$101,4,FALSE()),0)+
IFERROR(VLOOKUP(AF24,$B$75:$E$101,4,FALSE()),0)+
IFERROR(VLOOKUP(AG24,$B$75:$E$101,4,FALSE()),0)+
IFERROR(VLOOKUP(AH24,$B$75:$E$101,4,FALSE()),0)+
IFERROR(VLOOKUP(AI24,$B$75:$E$101,4,FALSE()),0)+
IFERROR(VLOOKUP(AJ24,$B$75:$E$101,4,FALSE()),0)</f>
        <v>0</v>
      </c>
      <c r="AM24" s="31"/>
      <c r="AN24" s="31"/>
    </row>
    <row r="25" customFormat="false" ht="15.75" hidden="false" customHeight="true" outlineLevel="0" collapsed="false">
      <c r="B25" s="26" t="n">
        <v>13</v>
      </c>
      <c r="C25" s="27"/>
      <c r="D25" s="27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30" t="n">
        <f aca="false">IFERROR(VLOOKUP(E25,$B$75:$E$101,4,FALSE()),0)+
IFERROR(VLOOKUP(F25,$B$75:$E$101,4,FALSE()),0)+
IFERROR(VLOOKUP(G25,$B$75:$E$101,4,FALSE()),0)+
IFERROR(VLOOKUP(H25,$B$75:$E$101,4,FALSE()),0)+
IFERROR(VLOOKUP(I25,$B$75:$E$101,4,FALSE()),0)+
IFERROR(VLOOKUP(J25,$B$75:$E$101,4,FALSE()),0)+
IFERROR(VLOOKUP(K25,$B$75:$E$101,4,FALSE()),0)+
IFERROR(VLOOKUP(L25,$B$75:$E$101,4,FALSE()),0)+
IFERROR(VLOOKUP(M25,$B$75:$E$101,4,FALSE()),0)+
IFERROR(VLOOKUP(N25,$B$75:$E$101,4,FALSE()),0)+
IFERROR(VLOOKUP(O25,$B$75:$E$101,4,FALSE()),0)+
IFERROR(VLOOKUP(P25,$B$75:$E$101,4,FALSE()),0)+
IFERROR(VLOOKUP(Q25,$B$75:$E$101,4,FALSE()),0)+
IFERROR(VLOOKUP(R25,$B$75:$E$101,4,FALSE()),0)+
IFERROR(VLOOKUP(S25,$B$75:$E$101,4,FALSE()),0)+
IFERROR(VLOOKUP(T25,$B$75:$E$101,4,FALSE()),0)+
IFERROR(VLOOKUP(U25,$B$75:$E$101,4,FALSE()),0)+
IFERROR(VLOOKUP(V25,$B$75:$E$101,4,FALSE()),0)+
IFERROR(VLOOKUP(W25,$B$75:$E$101,4,FALSE()),0)+
IFERROR(VLOOKUP(X25,$B$75:$E$101,4,FALSE()),0)+
IFERROR(VLOOKUP(Y25,$B$75:$E$101,4,FALSE()),0)+
IFERROR(VLOOKUP(Z25,$B$75:$E$101,4,FALSE()),0)+
IFERROR(VLOOKUP(AA25,$B$75:$E$101,4,FALSE()),0)+
IFERROR(VLOOKUP(AB25,$B$75:$E$101,4,FALSE()),0)+
IFERROR(VLOOKUP(AC25,$B$75:$E$101,4,FALSE()),0)+
IFERROR(VLOOKUP(AD25,$B$75:$E$101,4,FALSE()),0)+
IFERROR(VLOOKUP(AE25,$B$75:$E$101,4,FALSE()),0)+
IFERROR(VLOOKUP(AF25,$B$75:$E$101,4,FALSE()),0)+
IFERROR(VLOOKUP(AG25,$B$75:$E$101,4,FALSE()),0)+
IFERROR(VLOOKUP(AH25,$B$75:$E$101,4,FALSE()),0)+
IFERROR(VLOOKUP(AI25,$B$75:$E$101,4,FALSE()),0)+
IFERROR(VLOOKUP(AJ25,$B$75:$E$101,4,FALSE()),0)</f>
        <v>0</v>
      </c>
      <c r="AM25" s="31"/>
      <c r="AN25" s="31"/>
    </row>
    <row r="26" customFormat="false" ht="15.75" hidden="false" customHeight="true" outlineLevel="0" collapsed="false">
      <c r="B26" s="26" t="n">
        <v>14</v>
      </c>
      <c r="C26" s="27"/>
      <c r="D26" s="27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30" t="n">
        <f aca="false">IFERROR(VLOOKUP(E26,$B$75:$E$101,4,FALSE()),0)+
IFERROR(VLOOKUP(F26,$B$75:$E$101,4,FALSE()),0)+
IFERROR(VLOOKUP(G26,$B$75:$E$101,4,FALSE()),0)+
IFERROR(VLOOKUP(H26,$B$75:$E$101,4,FALSE()),0)+
IFERROR(VLOOKUP(I26,$B$75:$E$101,4,FALSE()),0)+
IFERROR(VLOOKUP(J26,$B$75:$E$101,4,FALSE()),0)+
IFERROR(VLOOKUP(K26,$B$75:$E$101,4,FALSE()),0)+
IFERROR(VLOOKUP(L26,$B$75:$E$101,4,FALSE()),0)+
IFERROR(VLOOKUP(M26,$B$75:$E$101,4,FALSE()),0)+
IFERROR(VLOOKUP(N26,$B$75:$E$101,4,FALSE()),0)+
IFERROR(VLOOKUP(O26,$B$75:$E$101,4,FALSE()),0)+
IFERROR(VLOOKUP(P26,$B$75:$E$101,4,FALSE()),0)+
IFERROR(VLOOKUP(Q26,$B$75:$E$101,4,FALSE()),0)+
IFERROR(VLOOKUP(R26,$B$75:$E$101,4,FALSE()),0)+
IFERROR(VLOOKUP(S26,$B$75:$E$101,4,FALSE()),0)+
IFERROR(VLOOKUP(T26,$B$75:$E$101,4,FALSE()),0)+
IFERROR(VLOOKUP(U26,$B$75:$E$101,4,FALSE()),0)+
IFERROR(VLOOKUP(V26,$B$75:$E$101,4,FALSE()),0)+
IFERROR(VLOOKUP(W26,$B$75:$E$101,4,FALSE()),0)+
IFERROR(VLOOKUP(X26,$B$75:$E$101,4,FALSE()),0)+
IFERROR(VLOOKUP(Y26,$B$75:$E$101,4,FALSE()),0)+
IFERROR(VLOOKUP(Z26,$B$75:$E$101,4,FALSE()),0)+
IFERROR(VLOOKUP(AA26,$B$75:$E$101,4,FALSE()),0)+
IFERROR(VLOOKUP(AB26,$B$75:$E$101,4,FALSE()),0)+
IFERROR(VLOOKUP(AC26,$B$75:$E$101,4,FALSE()),0)+
IFERROR(VLOOKUP(AD26,$B$75:$E$101,4,FALSE()),0)+
IFERROR(VLOOKUP(AE26,$B$75:$E$101,4,FALSE()),0)+
IFERROR(VLOOKUP(AF26,$B$75:$E$101,4,FALSE()),0)+
IFERROR(VLOOKUP(AG26,$B$75:$E$101,4,FALSE()),0)+
IFERROR(VLOOKUP(AH26,$B$75:$E$101,4,FALSE()),0)+
IFERROR(VLOOKUP(AI26,$B$75:$E$101,4,FALSE()),0)+
IFERROR(VLOOKUP(AJ26,$B$75:$E$101,4,FALSE()),0)</f>
        <v>0</v>
      </c>
      <c r="AM26" s="31"/>
      <c r="AN26" s="31"/>
    </row>
    <row r="27" customFormat="false" ht="15.75" hidden="false" customHeight="true" outlineLevel="0" collapsed="false">
      <c r="B27" s="26" t="n">
        <v>15</v>
      </c>
      <c r="C27" s="27"/>
      <c r="D27" s="27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30" t="n">
        <f aca="false">IFERROR(VLOOKUP(E27,$B$75:$E$101,4,FALSE()),0)+
IFERROR(VLOOKUP(F27,$B$75:$E$101,4,FALSE()),0)+
IFERROR(VLOOKUP(G27,$B$75:$E$101,4,FALSE()),0)+
IFERROR(VLOOKUP(H27,$B$75:$E$101,4,FALSE()),0)+
IFERROR(VLOOKUP(I27,$B$75:$E$101,4,FALSE()),0)+
IFERROR(VLOOKUP(J27,$B$75:$E$101,4,FALSE()),0)+
IFERROR(VLOOKUP(K27,$B$75:$E$101,4,FALSE()),0)+
IFERROR(VLOOKUP(L27,$B$75:$E$101,4,FALSE()),0)+
IFERROR(VLOOKUP(M27,$B$75:$E$101,4,FALSE()),0)+
IFERROR(VLOOKUP(N27,$B$75:$E$101,4,FALSE()),0)+
IFERROR(VLOOKUP(O27,$B$75:$E$101,4,FALSE()),0)+
IFERROR(VLOOKUP(P27,$B$75:$E$101,4,FALSE()),0)+
IFERROR(VLOOKUP(Q27,$B$75:$E$101,4,FALSE()),0)+
IFERROR(VLOOKUP(R27,$B$75:$E$101,4,FALSE()),0)+
IFERROR(VLOOKUP(S27,$B$75:$E$101,4,FALSE()),0)+
IFERROR(VLOOKUP(T27,$B$75:$E$101,4,FALSE()),0)+
IFERROR(VLOOKUP(U27,$B$75:$E$101,4,FALSE()),0)+
IFERROR(VLOOKUP(V27,$B$75:$E$101,4,FALSE()),0)+
IFERROR(VLOOKUP(W27,$B$75:$E$101,4,FALSE()),0)+
IFERROR(VLOOKUP(X27,$B$75:$E$101,4,FALSE()),0)+
IFERROR(VLOOKUP(Y27,$B$75:$E$101,4,FALSE()),0)+
IFERROR(VLOOKUP(Z27,$B$75:$E$101,4,FALSE()),0)+
IFERROR(VLOOKUP(AA27,$B$75:$E$101,4,FALSE()),0)+
IFERROR(VLOOKUP(AB27,$B$75:$E$101,4,FALSE()),0)+
IFERROR(VLOOKUP(AC27,$B$75:$E$101,4,FALSE()),0)+
IFERROR(VLOOKUP(AD27,$B$75:$E$101,4,FALSE()),0)+
IFERROR(VLOOKUP(AE27,$B$75:$E$101,4,FALSE()),0)+
IFERROR(VLOOKUP(AF27,$B$75:$E$101,4,FALSE()),0)+
IFERROR(VLOOKUP(AG27,$B$75:$E$101,4,FALSE()),0)+
IFERROR(VLOOKUP(AH27,$B$75:$E$101,4,FALSE()),0)+
IFERROR(VLOOKUP(AI27,$B$75:$E$101,4,FALSE()),0)+
IFERROR(VLOOKUP(AJ27,$B$75:$E$101,4,FALSE()),0)</f>
        <v>0</v>
      </c>
      <c r="AM27" s="31"/>
      <c r="AN27" s="31"/>
    </row>
    <row r="28" customFormat="false" ht="15.75" hidden="false" customHeight="true" outlineLevel="0" collapsed="false">
      <c r="B28" s="26" t="n">
        <v>16</v>
      </c>
      <c r="C28" s="27"/>
      <c r="D28" s="27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30" t="n">
        <f aca="false">IFERROR(VLOOKUP(E28,$B$75:$E$101,4,FALSE()),0)+
IFERROR(VLOOKUP(F28,$B$75:$E$101,4,FALSE()),0)+
IFERROR(VLOOKUP(G28,$B$75:$E$101,4,FALSE()),0)+
IFERROR(VLOOKUP(H28,$B$75:$E$101,4,FALSE()),0)+
IFERROR(VLOOKUP(I28,$B$75:$E$101,4,FALSE()),0)+
IFERROR(VLOOKUP(J28,$B$75:$E$101,4,FALSE()),0)+
IFERROR(VLOOKUP(K28,$B$75:$E$101,4,FALSE()),0)+
IFERROR(VLOOKUP(L28,$B$75:$E$101,4,FALSE()),0)+
IFERROR(VLOOKUP(M28,$B$75:$E$101,4,FALSE()),0)+
IFERROR(VLOOKUP(N28,$B$75:$E$101,4,FALSE()),0)+
IFERROR(VLOOKUP(O28,$B$75:$E$101,4,FALSE()),0)+
IFERROR(VLOOKUP(P28,$B$75:$E$101,4,FALSE()),0)+
IFERROR(VLOOKUP(Q28,$B$75:$E$101,4,FALSE()),0)+
IFERROR(VLOOKUP(R28,$B$75:$E$101,4,FALSE()),0)+
IFERROR(VLOOKUP(S28,$B$75:$E$101,4,FALSE()),0)+
IFERROR(VLOOKUP(T28,$B$75:$E$101,4,FALSE()),0)+
IFERROR(VLOOKUP(U28,$B$75:$E$101,4,FALSE()),0)+
IFERROR(VLOOKUP(V28,$B$75:$E$101,4,FALSE()),0)+
IFERROR(VLOOKUP(W28,$B$75:$E$101,4,FALSE()),0)+
IFERROR(VLOOKUP(X28,$B$75:$E$101,4,FALSE()),0)+
IFERROR(VLOOKUP(Y28,$B$75:$E$101,4,FALSE()),0)+
IFERROR(VLOOKUP(Z28,$B$75:$E$101,4,FALSE()),0)+
IFERROR(VLOOKUP(AA28,$B$75:$E$101,4,FALSE()),0)+
IFERROR(VLOOKUP(AB28,$B$75:$E$101,4,FALSE()),0)+
IFERROR(VLOOKUP(AC28,$B$75:$E$101,4,FALSE()),0)+
IFERROR(VLOOKUP(AD28,$B$75:$E$101,4,FALSE()),0)+
IFERROR(VLOOKUP(AE28,$B$75:$E$101,4,FALSE()),0)+
IFERROR(VLOOKUP(AF28,$B$75:$E$101,4,FALSE()),0)+
IFERROR(VLOOKUP(AG28,$B$75:$E$101,4,FALSE()),0)+
IFERROR(VLOOKUP(AH28,$B$75:$E$101,4,FALSE()),0)+
IFERROR(VLOOKUP(AI28,$B$75:$E$101,4,FALSE()),0)+
IFERROR(VLOOKUP(AJ28,$B$75:$E$101,4,FALSE()),0)</f>
        <v>0</v>
      </c>
      <c r="AM28" s="31"/>
      <c r="AN28" s="31"/>
    </row>
    <row r="29" customFormat="false" ht="15.75" hidden="false" customHeight="true" outlineLevel="0" collapsed="false">
      <c r="B29" s="26" t="n">
        <v>17</v>
      </c>
      <c r="C29" s="27"/>
      <c r="D29" s="27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30" t="n">
        <f aca="false">IFERROR(VLOOKUP(E29,$B$75:$E$101,4,FALSE()),0)+
IFERROR(VLOOKUP(F29,$B$75:$E$101,4,FALSE()),0)+
IFERROR(VLOOKUP(G29,$B$75:$E$101,4,FALSE()),0)+
IFERROR(VLOOKUP(H29,$B$75:$E$101,4,FALSE()),0)+
IFERROR(VLOOKUP(I29,$B$75:$E$101,4,FALSE()),0)+
IFERROR(VLOOKUP(J29,$B$75:$E$101,4,FALSE()),0)+
IFERROR(VLOOKUP(K29,$B$75:$E$101,4,FALSE()),0)+
IFERROR(VLOOKUP(L29,$B$75:$E$101,4,FALSE()),0)+
IFERROR(VLOOKUP(M29,$B$75:$E$101,4,FALSE()),0)+
IFERROR(VLOOKUP(N29,$B$75:$E$101,4,FALSE()),0)+
IFERROR(VLOOKUP(O29,$B$75:$E$101,4,FALSE()),0)+
IFERROR(VLOOKUP(P29,$B$75:$E$101,4,FALSE()),0)+
IFERROR(VLOOKUP(Q29,$B$75:$E$101,4,FALSE()),0)+
IFERROR(VLOOKUP(R29,$B$75:$E$101,4,FALSE()),0)+
IFERROR(VLOOKUP(S29,$B$75:$E$101,4,FALSE()),0)+
IFERROR(VLOOKUP(T29,$B$75:$E$101,4,FALSE()),0)+
IFERROR(VLOOKUP(U29,$B$75:$E$101,4,FALSE()),0)+
IFERROR(VLOOKUP(V29,$B$75:$E$101,4,FALSE()),0)+
IFERROR(VLOOKUP(W29,$B$75:$E$101,4,FALSE()),0)+
IFERROR(VLOOKUP(X29,$B$75:$E$101,4,FALSE()),0)+
IFERROR(VLOOKUP(Y29,$B$75:$E$101,4,FALSE()),0)+
IFERROR(VLOOKUP(Z29,$B$75:$E$101,4,FALSE()),0)+
IFERROR(VLOOKUP(AA29,$B$75:$E$101,4,FALSE()),0)+
IFERROR(VLOOKUP(AB29,$B$75:$E$101,4,FALSE()),0)+
IFERROR(VLOOKUP(AC29,$B$75:$E$101,4,FALSE()),0)+
IFERROR(VLOOKUP(AD29,$B$75:$E$101,4,FALSE()),0)+
IFERROR(VLOOKUP(AE29,$B$75:$E$101,4,FALSE()),0)+
IFERROR(VLOOKUP(AF29,$B$75:$E$101,4,FALSE()),0)+
IFERROR(VLOOKUP(AG29,$B$75:$E$101,4,FALSE()),0)+
IFERROR(VLOOKUP(AH29,$B$75:$E$101,4,FALSE()),0)+
IFERROR(VLOOKUP(AI29,$B$75:$E$101,4,FALSE()),0)+
IFERROR(VLOOKUP(AJ29,$B$75:$E$101,4,FALSE()),0)</f>
        <v>0</v>
      </c>
      <c r="AM29" s="31"/>
      <c r="AN29" s="31"/>
    </row>
    <row r="30" customFormat="false" ht="15.75" hidden="false" customHeight="true" outlineLevel="0" collapsed="false">
      <c r="B30" s="26" t="n">
        <v>18</v>
      </c>
      <c r="C30" s="27"/>
      <c r="D30" s="27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30" t="n">
        <f aca="false">IFERROR(VLOOKUP(E30,$B$75:$E$101,4,FALSE()),0)+
IFERROR(VLOOKUP(F30,$B$75:$E$101,4,FALSE()),0)+
IFERROR(VLOOKUP(G30,$B$75:$E$101,4,FALSE()),0)+
IFERROR(VLOOKUP(H30,$B$75:$E$101,4,FALSE()),0)+
IFERROR(VLOOKUP(I30,$B$75:$E$101,4,FALSE()),0)+
IFERROR(VLOOKUP(J30,$B$75:$E$101,4,FALSE()),0)+
IFERROR(VLOOKUP(K30,$B$75:$E$101,4,FALSE()),0)+
IFERROR(VLOOKUP(L30,$B$75:$E$101,4,FALSE()),0)+
IFERROR(VLOOKUP(M30,$B$75:$E$101,4,FALSE()),0)+
IFERROR(VLOOKUP(N30,$B$75:$E$101,4,FALSE()),0)+
IFERROR(VLOOKUP(O30,$B$75:$E$101,4,FALSE()),0)+
IFERROR(VLOOKUP(P30,$B$75:$E$101,4,FALSE()),0)+
IFERROR(VLOOKUP(Q30,$B$75:$E$101,4,FALSE()),0)+
IFERROR(VLOOKUP(R30,$B$75:$E$101,4,FALSE()),0)+
IFERROR(VLOOKUP(S30,$B$75:$E$101,4,FALSE()),0)+
IFERROR(VLOOKUP(T30,$B$75:$E$101,4,FALSE()),0)+
IFERROR(VLOOKUP(U30,$B$75:$E$101,4,FALSE()),0)+
IFERROR(VLOOKUP(V30,$B$75:$E$101,4,FALSE()),0)+
IFERROR(VLOOKUP(W30,$B$75:$E$101,4,FALSE()),0)+
IFERROR(VLOOKUP(X30,$B$75:$E$101,4,FALSE()),0)+
IFERROR(VLOOKUP(Y30,$B$75:$E$101,4,FALSE()),0)+
IFERROR(VLOOKUP(Z30,$B$75:$E$101,4,FALSE()),0)+
IFERROR(VLOOKUP(AA30,$B$75:$E$101,4,FALSE()),0)+
IFERROR(VLOOKUP(AB30,$B$75:$E$101,4,FALSE()),0)+
IFERROR(VLOOKUP(AC30,$B$75:$E$101,4,FALSE()),0)+
IFERROR(VLOOKUP(AD30,$B$75:$E$101,4,FALSE()),0)+
IFERROR(VLOOKUP(AE30,$B$75:$E$101,4,FALSE()),0)+
IFERROR(VLOOKUP(AF30,$B$75:$E$101,4,FALSE()),0)+
IFERROR(VLOOKUP(AG30,$B$75:$E$101,4,FALSE()),0)+
IFERROR(VLOOKUP(AH30,$B$75:$E$101,4,FALSE()),0)+
IFERROR(VLOOKUP(AI30,$B$75:$E$101,4,FALSE()),0)+
IFERROR(VLOOKUP(AJ30,$B$75:$E$101,4,FALSE()),0)</f>
        <v>0</v>
      </c>
      <c r="AM30" s="31"/>
      <c r="AN30" s="31"/>
    </row>
    <row r="31" customFormat="false" ht="15.75" hidden="false" customHeight="true" outlineLevel="0" collapsed="false">
      <c r="B31" s="26" t="n">
        <v>19</v>
      </c>
      <c r="C31" s="27"/>
      <c r="D31" s="27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30" t="n">
        <f aca="false">IFERROR(VLOOKUP(E31,$B$75:$E$101,4,FALSE()),0)+
IFERROR(VLOOKUP(F31,$B$75:$E$101,4,FALSE()),0)+
IFERROR(VLOOKUP(G31,$B$75:$E$101,4,FALSE()),0)+
IFERROR(VLOOKUP(H31,$B$75:$E$101,4,FALSE()),0)+
IFERROR(VLOOKUP(I31,$B$75:$E$101,4,FALSE()),0)+
IFERROR(VLOOKUP(J31,$B$75:$E$101,4,FALSE()),0)+
IFERROR(VLOOKUP(K31,$B$75:$E$101,4,FALSE()),0)+
IFERROR(VLOOKUP(L31,$B$75:$E$101,4,FALSE()),0)+
IFERROR(VLOOKUP(M31,$B$75:$E$101,4,FALSE()),0)+
IFERROR(VLOOKUP(N31,$B$75:$E$101,4,FALSE()),0)+
IFERROR(VLOOKUP(O31,$B$75:$E$101,4,FALSE()),0)+
IFERROR(VLOOKUP(P31,$B$75:$E$101,4,FALSE()),0)+
IFERROR(VLOOKUP(Q31,$B$75:$E$101,4,FALSE()),0)+
IFERROR(VLOOKUP(R31,$B$75:$E$101,4,FALSE()),0)+
IFERROR(VLOOKUP(S31,$B$75:$E$101,4,FALSE()),0)+
IFERROR(VLOOKUP(T31,$B$75:$E$101,4,FALSE()),0)+
IFERROR(VLOOKUP(U31,$B$75:$E$101,4,FALSE()),0)+
IFERROR(VLOOKUP(V31,$B$75:$E$101,4,FALSE()),0)+
IFERROR(VLOOKUP(W31,$B$75:$E$101,4,FALSE()),0)+
IFERROR(VLOOKUP(X31,$B$75:$E$101,4,FALSE()),0)+
IFERROR(VLOOKUP(Y31,$B$75:$E$101,4,FALSE()),0)+
IFERROR(VLOOKUP(Z31,$B$75:$E$101,4,FALSE()),0)+
IFERROR(VLOOKUP(AA31,$B$75:$E$101,4,FALSE()),0)+
IFERROR(VLOOKUP(AB31,$B$75:$E$101,4,FALSE()),0)+
IFERROR(VLOOKUP(AC31,$B$75:$E$101,4,FALSE()),0)+
IFERROR(VLOOKUP(AD31,$B$75:$E$101,4,FALSE()),0)+
IFERROR(VLOOKUP(AE31,$B$75:$E$101,4,FALSE()),0)+
IFERROR(VLOOKUP(AF31,$B$75:$E$101,4,FALSE()),0)+
IFERROR(VLOOKUP(AG31,$B$75:$E$101,4,FALSE()),0)+
IFERROR(VLOOKUP(AH31,$B$75:$E$101,4,FALSE()),0)+
IFERROR(VLOOKUP(AI31,$B$75:$E$101,4,FALSE()),0)+
IFERROR(VLOOKUP(AJ31,$B$75:$E$101,4,FALSE()),0)</f>
        <v>0</v>
      </c>
      <c r="AM31" s="31"/>
      <c r="AN31" s="31"/>
    </row>
    <row r="32" customFormat="false" ht="15.75" hidden="false" customHeight="true" outlineLevel="0" collapsed="false">
      <c r="B32" s="26" t="n">
        <v>20</v>
      </c>
      <c r="C32" s="27"/>
      <c r="D32" s="27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30" t="n">
        <f aca="false">IFERROR(VLOOKUP(E32,$B$75:$E$101,4,FALSE()),0)+
IFERROR(VLOOKUP(F32,$B$75:$E$101,4,FALSE()),0)+
IFERROR(VLOOKUP(G32,$B$75:$E$101,4,FALSE()),0)+
IFERROR(VLOOKUP(H32,$B$75:$E$101,4,FALSE()),0)+
IFERROR(VLOOKUP(I32,$B$75:$E$101,4,FALSE()),0)+
IFERROR(VLOOKUP(J32,$B$75:$E$101,4,FALSE()),0)+
IFERROR(VLOOKUP(K32,$B$75:$E$101,4,FALSE()),0)+
IFERROR(VLOOKUP(L32,$B$75:$E$101,4,FALSE()),0)+
IFERROR(VLOOKUP(M32,$B$75:$E$101,4,FALSE()),0)+
IFERROR(VLOOKUP(N32,$B$75:$E$101,4,FALSE()),0)+
IFERROR(VLOOKUP(O32,$B$75:$E$101,4,FALSE()),0)+
IFERROR(VLOOKUP(P32,$B$75:$E$101,4,FALSE()),0)+
IFERROR(VLOOKUP(Q32,$B$75:$E$101,4,FALSE()),0)+
IFERROR(VLOOKUP(R32,$B$75:$E$101,4,FALSE()),0)+
IFERROR(VLOOKUP(S32,$B$75:$E$101,4,FALSE()),0)+
IFERROR(VLOOKUP(T32,$B$75:$E$101,4,FALSE()),0)+
IFERROR(VLOOKUP(U32,$B$75:$E$101,4,FALSE()),0)+
IFERROR(VLOOKUP(V32,$B$75:$E$101,4,FALSE()),0)+
IFERROR(VLOOKUP(W32,$B$75:$E$101,4,FALSE()),0)+
IFERROR(VLOOKUP(X32,$B$75:$E$101,4,FALSE()),0)+
IFERROR(VLOOKUP(Y32,$B$75:$E$101,4,FALSE()),0)+
IFERROR(VLOOKUP(Z32,$B$75:$E$101,4,FALSE()),0)+
IFERROR(VLOOKUP(AA32,$B$75:$E$101,4,FALSE()),0)+
IFERROR(VLOOKUP(AB32,$B$75:$E$101,4,FALSE()),0)+
IFERROR(VLOOKUP(AC32,$B$75:$E$101,4,FALSE()),0)+
IFERROR(VLOOKUP(AD32,$B$75:$E$101,4,FALSE()),0)+
IFERROR(VLOOKUP(AE32,$B$75:$E$101,4,FALSE()),0)+
IFERROR(VLOOKUP(AF32,$B$75:$E$101,4,FALSE()),0)+
IFERROR(VLOOKUP(AG32,$B$75:$E$101,4,FALSE()),0)+
IFERROR(VLOOKUP(AH32,$B$75:$E$101,4,FALSE()),0)+
IFERROR(VLOOKUP(AI32,$B$75:$E$101,4,FALSE()),0)+
IFERROR(VLOOKUP(AJ32,$B$75:$E$101,4,FALSE()),0)</f>
        <v>0</v>
      </c>
      <c r="AM32" s="31"/>
      <c r="AN32" s="31"/>
    </row>
    <row r="33" customFormat="false" ht="15.75" hidden="false" customHeight="true" outlineLevel="0" collapsed="false">
      <c r="B33" s="26" t="n">
        <v>21</v>
      </c>
      <c r="C33" s="27"/>
      <c r="D33" s="27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30" t="n">
        <f aca="false">IFERROR(VLOOKUP(E33,$B$75:$E$101,4,FALSE()),0)+
IFERROR(VLOOKUP(F33,$B$75:$E$101,4,FALSE()),0)+
IFERROR(VLOOKUP(G33,$B$75:$E$101,4,FALSE()),0)+
IFERROR(VLOOKUP(H33,$B$75:$E$101,4,FALSE()),0)+
IFERROR(VLOOKUP(I33,$B$75:$E$101,4,FALSE()),0)+
IFERROR(VLOOKUP(J33,$B$75:$E$101,4,FALSE()),0)+
IFERROR(VLOOKUP(K33,$B$75:$E$101,4,FALSE()),0)+
IFERROR(VLOOKUP(L33,$B$75:$E$101,4,FALSE()),0)+
IFERROR(VLOOKUP(M33,$B$75:$E$101,4,FALSE()),0)+
IFERROR(VLOOKUP(N33,$B$75:$E$101,4,FALSE()),0)+
IFERROR(VLOOKUP(O33,$B$75:$E$101,4,FALSE()),0)+
IFERROR(VLOOKUP(P33,$B$75:$E$101,4,FALSE()),0)+
IFERROR(VLOOKUP(Q33,$B$75:$E$101,4,FALSE()),0)+
IFERROR(VLOOKUP(R33,$B$75:$E$101,4,FALSE()),0)+
IFERROR(VLOOKUP(S33,$B$75:$E$101,4,FALSE()),0)+
IFERROR(VLOOKUP(T33,$B$75:$E$101,4,FALSE()),0)+
IFERROR(VLOOKUP(U33,$B$75:$E$101,4,FALSE()),0)+
IFERROR(VLOOKUP(V33,$B$75:$E$101,4,FALSE()),0)+
IFERROR(VLOOKUP(W33,$B$75:$E$101,4,FALSE()),0)+
IFERROR(VLOOKUP(X33,$B$75:$E$101,4,FALSE()),0)+
IFERROR(VLOOKUP(Y33,$B$75:$E$101,4,FALSE()),0)+
IFERROR(VLOOKUP(Z33,$B$75:$E$101,4,FALSE()),0)+
IFERROR(VLOOKUP(AA33,$B$75:$E$101,4,FALSE()),0)+
IFERROR(VLOOKUP(AB33,$B$75:$E$101,4,FALSE()),0)+
IFERROR(VLOOKUP(AC33,$B$75:$E$101,4,FALSE()),0)+
IFERROR(VLOOKUP(AD33,$B$75:$E$101,4,FALSE()),0)+
IFERROR(VLOOKUP(AE33,$B$75:$E$101,4,FALSE()),0)+
IFERROR(VLOOKUP(AF33,$B$75:$E$101,4,FALSE()),0)+
IFERROR(VLOOKUP(AG33,$B$75:$E$101,4,FALSE()),0)+
IFERROR(VLOOKUP(AH33,$B$75:$E$101,4,FALSE()),0)+
IFERROR(VLOOKUP(AI33,$B$75:$E$101,4,FALSE()),0)+
IFERROR(VLOOKUP(AJ33,$B$75:$E$101,4,FALSE()),0)</f>
        <v>0</v>
      </c>
      <c r="AM33" s="31"/>
      <c r="AN33" s="31"/>
    </row>
    <row r="34" customFormat="false" ht="15.75" hidden="false" customHeight="true" outlineLevel="0" collapsed="false">
      <c r="B34" s="26" t="n">
        <v>22</v>
      </c>
      <c r="C34" s="27"/>
      <c r="D34" s="27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30" t="n">
        <f aca="false">IFERROR(VLOOKUP(E34,$B$75:$E$101,4,FALSE()),0)+
IFERROR(VLOOKUP(F34,$B$75:$E$101,4,FALSE()),0)+
IFERROR(VLOOKUP(G34,$B$75:$E$101,4,FALSE()),0)+
IFERROR(VLOOKUP(H34,$B$75:$E$101,4,FALSE()),0)+
IFERROR(VLOOKUP(I34,$B$75:$E$101,4,FALSE()),0)+
IFERROR(VLOOKUP(J34,$B$75:$E$101,4,FALSE()),0)+
IFERROR(VLOOKUP(K34,$B$75:$E$101,4,FALSE()),0)+
IFERROR(VLOOKUP(L34,$B$75:$E$101,4,FALSE()),0)+
IFERROR(VLOOKUP(M34,$B$75:$E$101,4,FALSE()),0)+
IFERROR(VLOOKUP(N34,$B$75:$E$101,4,FALSE()),0)+
IFERROR(VLOOKUP(O34,$B$75:$E$101,4,FALSE()),0)+
IFERROR(VLOOKUP(P34,$B$75:$E$101,4,FALSE()),0)+
IFERROR(VLOOKUP(Q34,$B$75:$E$101,4,FALSE()),0)+
IFERROR(VLOOKUP(R34,$B$75:$E$101,4,FALSE()),0)+
IFERROR(VLOOKUP(S34,$B$75:$E$101,4,FALSE()),0)+
IFERROR(VLOOKUP(T34,$B$75:$E$101,4,FALSE()),0)+
IFERROR(VLOOKUP(U34,$B$75:$E$101,4,FALSE()),0)+
IFERROR(VLOOKUP(V34,$B$75:$E$101,4,FALSE()),0)+
IFERROR(VLOOKUP(W34,$B$75:$E$101,4,FALSE()),0)+
IFERROR(VLOOKUP(X34,$B$75:$E$101,4,FALSE()),0)+
IFERROR(VLOOKUP(Y34,$B$75:$E$101,4,FALSE()),0)+
IFERROR(VLOOKUP(Z34,$B$75:$E$101,4,FALSE()),0)+
IFERROR(VLOOKUP(AA34,$B$75:$E$101,4,FALSE()),0)+
IFERROR(VLOOKUP(AB34,$B$75:$E$101,4,FALSE()),0)+
IFERROR(VLOOKUP(AC34,$B$75:$E$101,4,FALSE()),0)+
IFERROR(VLOOKUP(AD34,$B$75:$E$101,4,FALSE()),0)+
IFERROR(VLOOKUP(AE34,$B$75:$E$101,4,FALSE()),0)+
IFERROR(VLOOKUP(AF34,$B$75:$E$101,4,FALSE()),0)+
IFERROR(VLOOKUP(AG34,$B$75:$E$101,4,FALSE()),0)+
IFERROR(VLOOKUP(AH34,$B$75:$E$101,4,FALSE()),0)+
IFERROR(VLOOKUP(AI34,$B$75:$E$101,4,FALSE()),0)+
IFERROR(VLOOKUP(AJ34,$B$75:$E$101,4,FALSE()),0)</f>
        <v>0</v>
      </c>
      <c r="AM34" s="31"/>
      <c r="AN34" s="31"/>
    </row>
    <row r="35" customFormat="false" ht="15.75" hidden="false" customHeight="true" outlineLevel="0" collapsed="false">
      <c r="B35" s="26" t="n">
        <v>23</v>
      </c>
      <c r="C35" s="27"/>
      <c r="D35" s="27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30" t="n">
        <f aca="false">IFERROR(VLOOKUP(E35,$B$75:$E$101,4,FALSE()),0)+
IFERROR(VLOOKUP(F35,$B$75:$E$101,4,FALSE()),0)+
IFERROR(VLOOKUP(G35,$B$75:$E$101,4,FALSE()),0)+
IFERROR(VLOOKUP(H35,$B$75:$E$101,4,FALSE()),0)+
IFERROR(VLOOKUP(I35,$B$75:$E$101,4,FALSE()),0)+
IFERROR(VLOOKUP(J35,$B$75:$E$101,4,FALSE()),0)+
IFERROR(VLOOKUP(K35,$B$75:$E$101,4,FALSE()),0)+
IFERROR(VLOOKUP(L35,$B$75:$E$101,4,FALSE()),0)+
IFERROR(VLOOKUP(M35,$B$75:$E$101,4,FALSE()),0)+
IFERROR(VLOOKUP(N35,$B$75:$E$101,4,FALSE()),0)+
IFERROR(VLOOKUP(O35,$B$75:$E$101,4,FALSE()),0)+
IFERROR(VLOOKUP(P35,$B$75:$E$101,4,FALSE()),0)+
IFERROR(VLOOKUP(Q35,$B$75:$E$101,4,FALSE()),0)+
IFERROR(VLOOKUP(R35,$B$75:$E$101,4,FALSE()),0)+
IFERROR(VLOOKUP(S35,$B$75:$E$101,4,FALSE()),0)+
IFERROR(VLOOKUP(T35,$B$75:$E$101,4,FALSE()),0)+
IFERROR(VLOOKUP(U35,$B$75:$E$101,4,FALSE()),0)+
IFERROR(VLOOKUP(V35,$B$75:$E$101,4,FALSE()),0)+
IFERROR(VLOOKUP(W35,$B$75:$E$101,4,FALSE()),0)+
IFERROR(VLOOKUP(X35,$B$75:$E$101,4,FALSE()),0)+
IFERROR(VLOOKUP(Y35,$B$75:$E$101,4,FALSE()),0)+
IFERROR(VLOOKUP(Z35,$B$75:$E$101,4,FALSE()),0)+
IFERROR(VLOOKUP(AA35,$B$75:$E$101,4,FALSE()),0)+
IFERROR(VLOOKUP(AB35,$B$75:$E$101,4,FALSE()),0)+
IFERROR(VLOOKUP(AC35,$B$75:$E$101,4,FALSE()),0)+
IFERROR(VLOOKUP(AD35,$B$75:$E$101,4,FALSE()),0)+
IFERROR(VLOOKUP(AE35,$B$75:$E$101,4,FALSE()),0)+
IFERROR(VLOOKUP(AF35,$B$75:$E$101,4,FALSE()),0)+
IFERROR(VLOOKUP(AG35,$B$75:$E$101,4,FALSE()),0)+
IFERROR(VLOOKUP(AH35,$B$75:$E$101,4,FALSE()),0)+
IFERROR(VLOOKUP(AI35,$B$75:$E$101,4,FALSE()),0)+
IFERROR(VLOOKUP(AJ35,$B$75:$E$101,4,FALSE()),0)</f>
        <v>0</v>
      </c>
      <c r="AM35" s="31"/>
      <c r="AN35" s="31"/>
    </row>
    <row r="36" customFormat="false" ht="15.75" hidden="false" customHeight="true" outlineLevel="0" collapsed="false">
      <c r="B36" s="26" t="n">
        <v>24</v>
      </c>
      <c r="C36" s="27"/>
      <c r="D36" s="27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30" t="n">
        <f aca="false">IFERROR(VLOOKUP(E36,$B$75:$E$101,4,FALSE()),0)+
IFERROR(VLOOKUP(F36,$B$75:$E$101,4,FALSE()),0)+
IFERROR(VLOOKUP(G36,$B$75:$E$101,4,FALSE()),0)+
IFERROR(VLOOKUP(H36,$B$75:$E$101,4,FALSE()),0)+
IFERROR(VLOOKUP(I36,$B$75:$E$101,4,FALSE()),0)+
IFERROR(VLOOKUP(J36,$B$75:$E$101,4,FALSE()),0)+
IFERROR(VLOOKUP(K36,$B$75:$E$101,4,FALSE()),0)+
IFERROR(VLOOKUP(L36,$B$75:$E$101,4,FALSE()),0)+
IFERROR(VLOOKUP(M36,$B$75:$E$101,4,FALSE()),0)+
IFERROR(VLOOKUP(N36,$B$75:$E$101,4,FALSE()),0)+
IFERROR(VLOOKUP(O36,$B$75:$E$101,4,FALSE()),0)+
IFERROR(VLOOKUP(P36,$B$75:$E$101,4,FALSE()),0)+
IFERROR(VLOOKUP(Q36,$B$75:$E$101,4,FALSE()),0)+
IFERROR(VLOOKUP(R36,$B$75:$E$101,4,FALSE()),0)+
IFERROR(VLOOKUP(S36,$B$75:$E$101,4,FALSE()),0)+
IFERROR(VLOOKUP(T36,$B$75:$E$101,4,FALSE()),0)+
IFERROR(VLOOKUP(U36,$B$75:$E$101,4,FALSE()),0)+
IFERROR(VLOOKUP(V36,$B$75:$E$101,4,FALSE()),0)+
IFERROR(VLOOKUP(W36,$B$75:$E$101,4,FALSE()),0)+
IFERROR(VLOOKUP(X36,$B$75:$E$101,4,FALSE()),0)+
IFERROR(VLOOKUP(Y36,$B$75:$E$101,4,FALSE()),0)+
IFERROR(VLOOKUP(Z36,$B$75:$E$101,4,FALSE()),0)+
IFERROR(VLOOKUP(AA36,$B$75:$E$101,4,FALSE()),0)+
IFERROR(VLOOKUP(AB36,$B$75:$E$101,4,FALSE()),0)+
IFERROR(VLOOKUP(AC36,$B$75:$E$101,4,FALSE()),0)+
IFERROR(VLOOKUP(AD36,$B$75:$E$101,4,FALSE()),0)+
IFERROR(VLOOKUP(AE36,$B$75:$E$101,4,FALSE()),0)+
IFERROR(VLOOKUP(AF36,$B$75:$E$101,4,FALSE()),0)+
IFERROR(VLOOKUP(AG36,$B$75:$E$101,4,FALSE()),0)+
IFERROR(VLOOKUP(AH36,$B$75:$E$101,4,FALSE()),0)+
IFERROR(VLOOKUP(AI36,$B$75:$E$101,4,FALSE()),0)+
IFERROR(VLOOKUP(AJ36,$B$75:$E$101,4,FALSE()),0)</f>
        <v>0</v>
      </c>
      <c r="AM36" s="31"/>
      <c r="AN36" s="31"/>
    </row>
    <row r="37" customFormat="false" ht="15.75" hidden="false" customHeight="true" outlineLevel="0" collapsed="false">
      <c r="B37" s="26" t="n">
        <v>25</v>
      </c>
      <c r="C37" s="27"/>
      <c r="D37" s="27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30" t="n">
        <f aca="false">IFERROR(VLOOKUP(E37,$B$75:$E$101,4,FALSE()),0)+
IFERROR(VLOOKUP(F37,$B$75:$E$101,4,FALSE()),0)+
IFERROR(VLOOKUP(G37,$B$75:$E$101,4,FALSE()),0)+
IFERROR(VLOOKUP(H37,$B$75:$E$101,4,FALSE()),0)+
IFERROR(VLOOKUP(I37,$B$75:$E$101,4,FALSE()),0)+
IFERROR(VLOOKUP(J37,$B$75:$E$101,4,FALSE()),0)+
IFERROR(VLOOKUP(K37,$B$75:$E$101,4,FALSE()),0)+
IFERROR(VLOOKUP(L37,$B$75:$E$101,4,FALSE()),0)+
IFERROR(VLOOKUP(M37,$B$75:$E$101,4,FALSE()),0)+
IFERROR(VLOOKUP(N37,$B$75:$E$101,4,FALSE()),0)+
IFERROR(VLOOKUP(O37,$B$75:$E$101,4,FALSE()),0)+
IFERROR(VLOOKUP(P37,$B$75:$E$101,4,FALSE()),0)+
IFERROR(VLOOKUP(Q37,$B$75:$E$101,4,FALSE()),0)+
IFERROR(VLOOKUP(R37,$B$75:$E$101,4,FALSE()),0)+
IFERROR(VLOOKUP(S37,$B$75:$E$101,4,FALSE()),0)+
IFERROR(VLOOKUP(T37,$B$75:$E$101,4,FALSE()),0)+
IFERROR(VLOOKUP(U37,$B$75:$E$101,4,FALSE()),0)+
IFERROR(VLOOKUP(V37,$B$75:$E$101,4,FALSE()),0)+
IFERROR(VLOOKUP(W37,$B$75:$E$101,4,FALSE()),0)+
IFERROR(VLOOKUP(X37,$B$75:$E$101,4,FALSE()),0)+
IFERROR(VLOOKUP(Y37,$B$75:$E$101,4,FALSE()),0)+
IFERROR(VLOOKUP(Z37,$B$75:$E$101,4,FALSE()),0)+
IFERROR(VLOOKUP(AA37,$B$75:$E$101,4,FALSE()),0)+
IFERROR(VLOOKUP(AB37,$B$75:$E$101,4,FALSE()),0)+
IFERROR(VLOOKUP(AC37,$B$75:$E$101,4,FALSE()),0)+
IFERROR(VLOOKUP(AD37,$B$75:$E$101,4,FALSE()),0)+
IFERROR(VLOOKUP(AE37,$B$75:$E$101,4,FALSE()),0)+
IFERROR(VLOOKUP(AF37,$B$75:$E$101,4,FALSE()),0)+
IFERROR(VLOOKUP(AG37,$B$75:$E$101,4,FALSE()),0)+
IFERROR(VLOOKUP(AH37,$B$75:$E$101,4,FALSE()),0)+
IFERROR(VLOOKUP(AI37,$B$75:$E$101,4,FALSE()),0)+
IFERROR(VLOOKUP(AJ37,$B$75:$E$101,4,FALSE()),0)</f>
        <v>0</v>
      </c>
      <c r="AM37" s="31"/>
      <c r="AN37" s="31"/>
    </row>
    <row r="38" customFormat="false" ht="15.75" hidden="false" customHeight="true" outlineLevel="0" collapsed="false">
      <c r="B38" s="26" t="n">
        <v>26</v>
      </c>
      <c r="C38" s="27"/>
      <c r="D38" s="27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30" t="n">
        <f aca="false">IFERROR(VLOOKUP(E38,$B$75:$E$101,4,FALSE()),0)+
IFERROR(VLOOKUP(F38,$B$75:$E$101,4,FALSE()),0)+
IFERROR(VLOOKUP(G38,$B$75:$E$101,4,FALSE()),0)+
IFERROR(VLOOKUP(H38,$B$75:$E$101,4,FALSE()),0)+
IFERROR(VLOOKUP(I38,$B$75:$E$101,4,FALSE()),0)+
IFERROR(VLOOKUP(J38,$B$75:$E$101,4,FALSE()),0)+
IFERROR(VLOOKUP(K38,$B$75:$E$101,4,FALSE()),0)+
IFERROR(VLOOKUP(L38,$B$75:$E$101,4,FALSE()),0)+
IFERROR(VLOOKUP(M38,$B$75:$E$101,4,FALSE()),0)+
IFERROR(VLOOKUP(N38,$B$75:$E$101,4,FALSE()),0)+
IFERROR(VLOOKUP(O38,$B$75:$E$101,4,FALSE()),0)+
IFERROR(VLOOKUP(P38,$B$75:$E$101,4,FALSE()),0)+
IFERROR(VLOOKUP(Q38,$B$75:$E$101,4,FALSE()),0)+
IFERROR(VLOOKUP(R38,$B$75:$E$101,4,FALSE()),0)+
IFERROR(VLOOKUP(S38,$B$75:$E$101,4,FALSE()),0)+
IFERROR(VLOOKUP(T38,$B$75:$E$101,4,FALSE()),0)+
IFERROR(VLOOKUP(U38,$B$75:$E$101,4,FALSE()),0)+
IFERROR(VLOOKUP(V38,$B$75:$E$101,4,FALSE()),0)+
IFERROR(VLOOKUP(W38,$B$75:$E$101,4,FALSE()),0)+
IFERROR(VLOOKUP(X38,$B$75:$E$101,4,FALSE()),0)+
IFERROR(VLOOKUP(Y38,$B$75:$E$101,4,FALSE()),0)+
IFERROR(VLOOKUP(Z38,$B$75:$E$101,4,FALSE()),0)+
IFERROR(VLOOKUP(AA38,$B$75:$E$101,4,FALSE()),0)+
IFERROR(VLOOKUP(AB38,$B$75:$E$101,4,FALSE()),0)+
IFERROR(VLOOKUP(AC38,$B$75:$E$101,4,FALSE()),0)+
IFERROR(VLOOKUP(AD38,$B$75:$E$101,4,FALSE()),0)+
IFERROR(VLOOKUP(AE38,$B$75:$E$101,4,FALSE()),0)+
IFERROR(VLOOKUP(AF38,$B$75:$E$101,4,FALSE()),0)+
IFERROR(VLOOKUP(AG38,$B$75:$E$101,4,FALSE()),0)+
IFERROR(VLOOKUP(AH38,$B$75:$E$101,4,FALSE()),0)+
IFERROR(VLOOKUP(AI38,$B$75:$E$101,4,FALSE()),0)+
IFERROR(VLOOKUP(AJ38,$B$75:$E$101,4,FALSE()),0)</f>
        <v>0</v>
      </c>
      <c r="AM38" s="31"/>
      <c r="AN38" s="31"/>
    </row>
    <row r="39" customFormat="false" ht="15.75" hidden="false" customHeight="true" outlineLevel="0" collapsed="false">
      <c r="B39" s="26" t="n">
        <v>27</v>
      </c>
      <c r="C39" s="27"/>
      <c r="D39" s="27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30" t="n">
        <f aca="false">IFERROR(VLOOKUP(E39,$B$75:$E$101,4,FALSE()),0)+
IFERROR(VLOOKUP(F39,$B$75:$E$101,4,FALSE()),0)+
IFERROR(VLOOKUP(G39,$B$75:$E$101,4,FALSE()),0)+
IFERROR(VLOOKUP(H39,$B$75:$E$101,4,FALSE()),0)+
IFERROR(VLOOKUP(I39,$B$75:$E$101,4,FALSE()),0)+
IFERROR(VLOOKUP(J39,$B$75:$E$101,4,FALSE()),0)+
IFERROR(VLOOKUP(K39,$B$75:$E$101,4,FALSE()),0)+
IFERROR(VLOOKUP(L39,$B$75:$E$101,4,FALSE()),0)+
IFERROR(VLOOKUP(M39,$B$75:$E$101,4,FALSE()),0)+
IFERROR(VLOOKUP(N39,$B$75:$E$101,4,FALSE()),0)+
IFERROR(VLOOKUP(O39,$B$75:$E$101,4,FALSE()),0)+
IFERROR(VLOOKUP(P39,$B$75:$E$101,4,FALSE()),0)+
IFERROR(VLOOKUP(Q39,$B$75:$E$101,4,FALSE()),0)+
IFERROR(VLOOKUP(R39,$B$75:$E$101,4,FALSE()),0)+
IFERROR(VLOOKUP(S39,$B$75:$E$101,4,FALSE()),0)+
IFERROR(VLOOKUP(T39,$B$75:$E$101,4,FALSE()),0)+
IFERROR(VLOOKUP(U39,$B$75:$E$101,4,FALSE()),0)+
IFERROR(VLOOKUP(V39,$B$75:$E$101,4,FALSE()),0)+
IFERROR(VLOOKUP(W39,$B$75:$E$101,4,FALSE()),0)+
IFERROR(VLOOKUP(X39,$B$75:$E$101,4,FALSE()),0)+
IFERROR(VLOOKUP(Y39,$B$75:$E$101,4,FALSE()),0)+
IFERROR(VLOOKUP(Z39,$B$75:$E$101,4,FALSE()),0)+
IFERROR(VLOOKUP(AA39,$B$75:$E$101,4,FALSE()),0)+
IFERROR(VLOOKUP(AB39,$B$75:$E$101,4,FALSE()),0)+
IFERROR(VLOOKUP(AC39,$B$75:$E$101,4,FALSE()),0)+
IFERROR(VLOOKUP(AD39,$B$75:$E$101,4,FALSE()),0)+
IFERROR(VLOOKUP(AE39,$B$75:$E$101,4,FALSE()),0)+
IFERROR(VLOOKUP(AF39,$B$75:$E$101,4,FALSE()),0)+
IFERROR(VLOOKUP(AG39,$B$75:$E$101,4,FALSE()),0)+
IFERROR(VLOOKUP(AH39,$B$75:$E$101,4,FALSE()),0)+
IFERROR(VLOOKUP(AI39,$B$75:$E$101,4,FALSE()),0)+
IFERROR(VLOOKUP(AJ39,$B$75:$E$101,4,FALSE()),0)</f>
        <v>0</v>
      </c>
      <c r="AM39" s="31"/>
      <c r="AN39" s="31"/>
    </row>
    <row r="40" customFormat="false" ht="15.75" hidden="false" customHeight="true" outlineLevel="0" collapsed="false">
      <c r="B40" s="26" t="n">
        <v>28</v>
      </c>
      <c r="C40" s="27"/>
      <c r="D40" s="27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30" t="n">
        <f aca="false">IFERROR(VLOOKUP(E40,$B$75:$E$101,4,FALSE()),0)+
IFERROR(VLOOKUP(F40,$B$75:$E$101,4,FALSE()),0)+
IFERROR(VLOOKUP(G40,$B$75:$E$101,4,FALSE()),0)+
IFERROR(VLOOKUP(H40,$B$75:$E$101,4,FALSE()),0)+
IFERROR(VLOOKUP(I40,$B$75:$E$101,4,FALSE()),0)+
IFERROR(VLOOKUP(J40,$B$75:$E$101,4,FALSE()),0)+
IFERROR(VLOOKUP(K40,$B$75:$E$101,4,FALSE()),0)+
IFERROR(VLOOKUP(L40,$B$75:$E$101,4,FALSE()),0)+
IFERROR(VLOOKUP(M40,$B$75:$E$101,4,FALSE()),0)+
IFERROR(VLOOKUP(N40,$B$75:$E$101,4,FALSE()),0)+
IFERROR(VLOOKUP(O40,$B$75:$E$101,4,FALSE()),0)+
IFERROR(VLOOKUP(P40,$B$75:$E$101,4,FALSE()),0)+
IFERROR(VLOOKUP(Q40,$B$75:$E$101,4,FALSE()),0)+
IFERROR(VLOOKUP(R40,$B$75:$E$101,4,FALSE()),0)+
IFERROR(VLOOKUP(S40,$B$75:$E$101,4,FALSE()),0)+
IFERROR(VLOOKUP(T40,$B$75:$E$101,4,FALSE()),0)+
IFERROR(VLOOKUP(U40,$B$75:$E$101,4,FALSE()),0)+
IFERROR(VLOOKUP(V40,$B$75:$E$101,4,FALSE()),0)+
IFERROR(VLOOKUP(W40,$B$75:$E$101,4,FALSE()),0)+
IFERROR(VLOOKUP(X40,$B$75:$E$101,4,FALSE()),0)+
IFERROR(VLOOKUP(Y40,$B$75:$E$101,4,FALSE()),0)+
IFERROR(VLOOKUP(Z40,$B$75:$E$101,4,FALSE()),0)+
IFERROR(VLOOKUP(AA40,$B$75:$E$101,4,FALSE()),0)+
IFERROR(VLOOKUP(AB40,$B$75:$E$101,4,FALSE()),0)+
IFERROR(VLOOKUP(AC40,$B$75:$E$101,4,FALSE()),0)+
IFERROR(VLOOKUP(AD40,$B$75:$E$101,4,FALSE()),0)+
IFERROR(VLOOKUP(AE40,$B$75:$E$101,4,FALSE()),0)+
IFERROR(VLOOKUP(AF40,$B$75:$E$101,4,FALSE()),0)+
IFERROR(VLOOKUP(AG40,$B$75:$E$101,4,FALSE()),0)+
IFERROR(VLOOKUP(AH40,$B$75:$E$101,4,FALSE()),0)+
IFERROR(VLOOKUP(AI40,$B$75:$E$101,4,FALSE()),0)+
IFERROR(VLOOKUP(AJ40,$B$75:$E$101,4,FALSE()),0)</f>
        <v>0</v>
      </c>
      <c r="AM40" s="31"/>
      <c r="AN40" s="31"/>
    </row>
    <row r="41" customFormat="false" ht="15.75" hidden="false" customHeight="true" outlineLevel="0" collapsed="false">
      <c r="B41" s="26" t="n">
        <v>29</v>
      </c>
      <c r="C41" s="27"/>
      <c r="D41" s="27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30" t="n">
        <f aca="false">IFERROR(VLOOKUP(E41,$B$75:$E$101,4,FALSE()),0)+
IFERROR(VLOOKUP(F41,$B$75:$E$101,4,FALSE()),0)+
IFERROR(VLOOKUP(G41,$B$75:$E$101,4,FALSE()),0)+
IFERROR(VLOOKUP(H41,$B$75:$E$101,4,FALSE()),0)+
IFERROR(VLOOKUP(I41,$B$75:$E$101,4,FALSE()),0)+
IFERROR(VLOOKUP(J41,$B$75:$E$101,4,FALSE()),0)+
IFERROR(VLOOKUP(K41,$B$75:$E$101,4,FALSE()),0)+
IFERROR(VLOOKUP(L41,$B$75:$E$101,4,FALSE()),0)+
IFERROR(VLOOKUP(M41,$B$75:$E$101,4,FALSE()),0)+
IFERROR(VLOOKUP(N41,$B$75:$E$101,4,FALSE()),0)+
IFERROR(VLOOKUP(O41,$B$75:$E$101,4,FALSE()),0)+
IFERROR(VLOOKUP(P41,$B$75:$E$101,4,FALSE()),0)+
IFERROR(VLOOKUP(Q41,$B$75:$E$101,4,FALSE()),0)+
IFERROR(VLOOKUP(R41,$B$75:$E$101,4,FALSE()),0)+
IFERROR(VLOOKUP(S41,$B$75:$E$101,4,FALSE()),0)+
IFERROR(VLOOKUP(T41,$B$75:$E$101,4,FALSE()),0)+
IFERROR(VLOOKUP(U41,$B$75:$E$101,4,FALSE()),0)+
IFERROR(VLOOKUP(V41,$B$75:$E$101,4,FALSE()),0)+
IFERROR(VLOOKUP(W41,$B$75:$E$101,4,FALSE()),0)+
IFERROR(VLOOKUP(X41,$B$75:$E$101,4,FALSE()),0)+
IFERROR(VLOOKUP(Y41,$B$75:$E$101,4,FALSE()),0)+
IFERROR(VLOOKUP(Z41,$B$75:$E$101,4,FALSE()),0)+
IFERROR(VLOOKUP(AA41,$B$75:$E$101,4,FALSE()),0)+
IFERROR(VLOOKUP(AB41,$B$75:$E$101,4,FALSE()),0)+
IFERROR(VLOOKUP(AC41,$B$75:$E$101,4,FALSE()),0)+
IFERROR(VLOOKUP(AD41,$B$75:$E$101,4,FALSE()),0)+
IFERROR(VLOOKUP(AE41,$B$75:$E$101,4,FALSE()),0)+
IFERROR(VLOOKUP(AF41,$B$75:$E$101,4,FALSE()),0)+
IFERROR(VLOOKUP(AG41,$B$75:$E$101,4,FALSE()),0)+
IFERROR(VLOOKUP(AH41,$B$75:$E$101,4,FALSE()),0)+
IFERROR(VLOOKUP(AI41,$B$75:$E$101,4,FALSE()),0)+
IFERROR(VLOOKUP(AJ41,$B$75:$E$101,4,FALSE()),0)</f>
        <v>0</v>
      </c>
      <c r="AM41" s="31"/>
      <c r="AN41" s="31"/>
    </row>
    <row r="42" customFormat="false" ht="15.75" hidden="false" customHeight="true" outlineLevel="0" collapsed="false">
      <c r="B42" s="26" t="n">
        <v>30</v>
      </c>
      <c r="C42" s="27"/>
      <c r="D42" s="27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30" t="n">
        <f aca="false">IFERROR(VLOOKUP(E42,$B$75:$E$101,4,FALSE()),0)+
IFERROR(VLOOKUP(F42,$B$75:$E$101,4,FALSE()),0)+
IFERROR(VLOOKUP(G42,$B$75:$E$101,4,FALSE()),0)+
IFERROR(VLOOKUP(H42,$B$75:$E$101,4,FALSE()),0)+
IFERROR(VLOOKUP(I42,$B$75:$E$101,4,FALSE()),0)+
IFERROR(VLOOKUP(J42,$B$75:$E$101,4,FALSE()),0)+
IFERROR(VLOOKUP(K42,$B$75:$E$101,4,FALSE()),0)+
IFERROR(VLOOKUP(L42,$B$75:$E$101,4,FALSE()),0)+
IFERROR(VLOOKUP(M42,$B$75:$E$101,4,FALSE()),0)+
IFERROR(VLOOKUP(N42,$B$75:$E$101,4,FALSE()),0)+
IFERROR(VLOOKUP(O42,$B$75:$E$101,4,FALSE()),0)+
IFERROR(VLOOKUP(P42,$B$75:$E$101,4,FALSE()),0)+
IFERROR(VLOOKUP(Q42,$B$75:$E$101,4,FALSE()),0)+
IFERROR(VLOOKUP(R42,$B$75:$E$101,4,FALSE()),0)+
IFERROR(VLOOKUP(S42,$B$75:$E$101,4,FALSE()),0)+
IFERROR(VLOOKUP(T42,$B$75:$E$101,4,FALSE()),0)+
IFERROR(VLOOKUP(U42,$B$75:$E$101,4,FALSE()),0)+
IFERROR(VLOOKUP(V42,$B$75:$E$101,4,FALSE()),0)+
IFERROR(VLOOKUP(W42,$B$75:$E$101,4,FALSE()),0)+
IFERROR(VLOOKUP(X42,$B$75:$E$101,4,FALSE()),0)+
IFERROR(VLOOKUP(Y42,$B$75:$E$101,4,FALSE()),0)+
IFERROR(VLOOKUP(Z42,$B$75:$E$101,4,FALSE()),0)+
IFERROR(VLOOKUP(AA42,$B$75:$E$101,4,FALSE()),0)+
IFERROR(VLOOKUP(AB42,$B$75:$E$101,4,FALSE()),0)+
IFERROR(VLOOKUP(AC42,$B$75:$E$101,4,FALSE()),0)+
IFERROR(VLOOKUP(AD42,$B$75:$E$101,4,FALSE()),0)+
IFERROR(VLOOKUP(AE42,$B$75:$E$101,4,FALSE()),0)+
IFERROR(VLOOKUP(AF42,$B$75:$E$101,4,FALSE()),0)+
IFERROR(VLOOKUP(AG42,$B$75:$E$101,4,FALSE()),0)+
IFERROR(VLOOKUP(AH42,$B$75:$E$101,4,FALSE()),0)+
IFERROR(VLOOKUP(AI42,$B$75:$E$101,4,FALSE()),0)+
IFERROR(VLOOKUP(AJ42,$B$75:$E$101,4,FALSE()),0)</f>
        <v>0</v>
      </c>
      <c r="AM42" s="31"/>
      <c r="AN42" s="31"/>
    </row>
    <row r="43" customFormat="false" ht="15.75" hidden="false" customHeight="true" outlineLevel="0" collapsed="false">
      <c r="B43" s="26" t="n">
        <v>31</v>
      </c>
      <c r="C43" s="27"/>
      <c r="D43" s="27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30" t="n">
        <f aca="false">IFERROR(VLOOKUP(E43,$B$75:$E$101,4,FALSE()),0)+
IFERROR(VLOOKUP(F43,$B$75:$E$101,4,FALSE()),0)+
IFERROR(VLOOKUP(G43,$B$75:$E$101,4,FALSE()),0)+
IFERROR(VLOOKUP(H43,$B$75:$E$101,4,FALSE()),0)+
IFERROR(VLOOKUP(I43,$B$75:$E$101,4,FALSE()),0)+
IFERROR(VLOOKUP(J43,$B$75:$E$101,4,FALSE()),0)+
IFERROR(VLOOKUP(K43,$B$75:$E$101,4,FALSE()),0)+
IFERROR(VLOOKUP(L43,$B$75:$E$101,4,FALSE()),0)+
IFERROR(VLOOKUP(M43,$B$75:$E$101,4,FALSE()),0)+
IFERROR(VLOOKUP(N43,$B$75:$E$101,4,FALSE()),0)+
IFERROR(VLOOKUP(O43,$B$75:$E$101,4,FALSE()),0)+
IFERROR(VLOOKUP(P43,$B$75:$E$101,4,FALSE()),0)+
IFERROR(VLOOKUP(Q43,$B$75:$E$101,4,FALSE()),0)+
IFERROR(VLOOKUP(R43,$B$75:$E$101,4,FALSE()),0)+
IFERROR(VLOOKUP(S43,$B$75:$E$101,4,FALSE()),0)+
IFERROR(VLOOKUP(T43,$B$75:$E$101,4,FALSE()),0)+
IFERROR(VLOOKUP(U43,$B$75:$E$101,4,FALSE()),0)+
IFERROR(VLOOKUP(V43,$B$75:$E$101,4,FALSE()),0)+
IFERROR(VLOOKUP(W43,$B$75:$E$101,4,FALSE()),0)+
IFERROR(VLOOKUP(X43,$B$75:$E$101,4,FALSE()),0)+
IFERROR(VLOOKUP(Y43,$B$75:$E$101,4,FALSE()),0)+
IFERROR(VLOOKUP(Z43,$B$75:$E$101,4,FALSE()),0)+
IFERROR(VLOOKUP(AA43,$B$75:$E$101,4,FALSE()),0)+
IFERROR(VLOOKUP(AB43,$B$75:$E$101,4,FALSE()),0)+
IFERROR(VLOOKUP(AC43,$B$75:$E$101,4,FALSE()),0)+
IFERROR(VLOOKUP(AD43,$B$75:$E$101,4,FALSE()),0)+
IFERROR(VLOOKUP(AE43,$B$75:$E$101,4,FALSE()),0)+
IFERROR(VLOOKUP(AF43,$B$75:$E$101,4,FALSE()),0)+
IFERROR(VLOOKUP(AG43,$B$75:$E$101,4,FALSE()),0)+
IFERROR(VLOOKUP(AH43,$B$75:$E$101,4,FALSE()),0)+
IFERROR(VLOOKUP(AI43,$B$75:$E$101,4,FALSE()),0)+
IFERROR(VLOOKUP(AJ43,$B$75:$E$101,4,FALSE()),0)</f>
        <v>0</v>
      </c>
      <c r="AM43" s="31"/>
      <c r="AN43" s="31"/>
    </row>
    <row r="44" customFormat="false" ht="15.75" hidden="false" customHeight="true" outlineLevel="0" collapsed="false">
      <c r="B44" s="26" t="n">
        <v>32</v>
      </c>
      <c r="C44" s="27"/>
      <c r="D44" s="27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30" t="n">
        <f aca="false">IFERROR(VLOOKUP(E44,$B$75:$E$101,4,FALSE()),0)+
IFERROR(VLOOKUP(F44,$B$75:$E$101,4,FALSE()),0)+
IFERROR(VLOOKUP(G44,$B$75:$E$101,4,FALSE()),0)+
IFERROR(VLOOKUP(H44,$B$75:$E$101,4,FALSE()),0)+
IFERROR(VLOOKUP(I44,$B$75:$E$101,4,FALSE()),0)+
IFERROR(VLOOKUP(J44,$B$75:$E$101,4,FALSE()),0)+
IFERROR(VLOOKUP(K44,$B$75:$E$101,4,FALSE()),0)+
IFERROR(VLOOKUP(L44,$B$75:$E$101,4,FALSE()),0)+
IFERROR(VLOOKUP(M44,$B$75:$E$101,4,FALSE()),0)+
IFERROR(VLOOKUP(N44,$B$75:$E$101,4,FALSE()),0)+
IFERROR(VLOOKUP(O44,$B$75:$E$101,4,FALSE()),0)+
IFERROR(VLOOKUP(P44,$B$75:$E$101,4,FALSE()),0)+
IFERROR(VLOOKUP(Q44,$B$75:$E$101,4,FALSE()),0)+
IFERROR(VLOOKUP(R44,$B$75:$E$101,4,FALSE()),0)+
IFERROR(VLOOKUP(S44,$B$75:$E$101,4,FALSE()),0)+
IFERROR(VLOOKUP(T44,$B$75:$E$101,4,FALSE()),0)+
IFERROR(VLOOKUP(U44,$B$75:$E$101,4,FALSE()),0)+
IFERROR(VLOOKUP(V44,$B$75:$E$101,4,FALSE()),0)+
IFERROR(VLOOKUP(W44,$B$75:$E$101,4,FALSE()),0)+
IFERROR(VLOOKUP(X44,$B$75:$E$101,4,FALSE()),0)+
IFERROR(VLOOKUP(Y44,$B$75:$E$101,4,FALSE()),0)+
IFERROR(VLOOKUP(Z44,$B$75:$E$101,4,FALSE()),0)+
IFERROR(VLOOKUP(AA44,$B$75:$E$101,4,FALSE()),0)+
IFERROR(VLOOKUP(AB44,$B$75:$E$101,4,FALSE()),0)+
IFERROR(VLOOKUP(AC44,$B$75:$E$101,4,FALSE()),0)+
IFERROR(VLOOKUP(AD44,$B$75:$E$101,4,FALSE()),0)+
IFERROR(VLOOKUP(AE44,$B$75:$E$101,4,FALSE()),0)+
IFERROR(VLOOKUP(AF44,$B$75:$E$101,4,FALSE()),0)+
IFERROR(VLOOKUP(AG44,$B$75:$E$101,4,FALSE()),0)+
IFERROR(VLOOKUP(AH44,$B$75:$E$101,4,FALSE()),0)+
IFERROR(VLOOKUP(AI44,$B$75:$E$101,4,FALSE()),0)+
IFERROR(VLOOKUP(AJ44,$B$75:$E$101,4,FALSE()),0)</f>
        <v>0</v>
      </c>
      <c r="AM44" s="31"/>
      <c r="AN44" s="31"/>
    </row>
    <row r="45" customFormat="false" ht="15.75" hidden="false" customHeight="true" outlineLevel="0" collapsed="false">
      <c r="B45" s="26" t="n">
        <v>33</v>
      </c>
      <c r="C45" s="27"/>
      <c r="D45" s="27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30" t="n">
        <f aca="false">IFERROR(VLOOKUP(E45,$B$75:$E$101,4,FALSE()),0)+
IFERROR(VLOOKUP(F45,$B$75:$E$101,4,FALSE()),0)+
IFERROR(VLOOKUP(G45,$B$75:$E$101,4,FALSE()),0)+
IFERROR(VLOOKUP(H45,$B$75:$E$101,4,FALSE()),0)+
IFERROR(VLOOKUP(I45,$B$75:$E$101,4,FALSE()),0)+
IFERROR(VLOOKUP(J45,$B$75:$E$101,4,FALSE()),0)+
IFERROR(VLOOKUP(K45,$B$75:$E$101,4,FALSE()),0)+
IFERROR(VLOOKUP(L45,$B$75:$E$101,4,FALSE()),0)+
IFERROR(VLOOKUP(M45,$B$75:$E$101,4,FALSE()),0)+
IFERROR(VLOOKUP(N45,$B$75:$E$101,4,FALSE()),0)+
IFERROR(VLOOKUP(O45,$B$75:$E$101,4,FALSE()),0)+
IFERROR(VLOOKUP(P45,$B$75:$E$101,4,FALSE()),0)+
IFERROR(VLOOKUP(Q45,$B$75:$E$101,4,FALSE()),0)+
IFERROR(VLOOKUP(R45,$B$75:$E$101,4,FALSE()),0)+
IFERROR(VLOOKUP(S45,$B$75:$E$101,4,FALSE()),0)+
IFERROR(VLOOKUP(T45,$B$75:$E$101,4,FALSE()),0)+
IFERROR(VLOOKUP(U45,$B$75:$E$101,4,FALSE()),0)+
IFERROR(VLOOKUP(V45,$B$75:$E$101,4,FALSE()),0)+
IFERROR(VLOOKUP(W45,$B$75:$E$101,4,FALSE()),0)+
IFERROR(VLOOKUP(X45,$B$75:$E$101,4,FALSE()),0)+
IFERROR(VLOOKUP(Y45,$B$75:$E$101,4,FALSE()),0)+
IFERROR(VLOOKUP(Z45,$B$75:$E$101,4,FALSE()),0)+
IFERROR(VLOOKUP(AA45,$B$75:$E$101,4,FALSE()),0)+
IFERROR(VLOOKUP(AB45,$B$75:$E$101,4,FALSE()),0)+
IFERROR(VLOOKUP(AC45,$B$75:$E$101,4,FALSE()),0)+
IFERROR(VLOOKUP(AD45,$B$75:$E$101,4,FALSE()),0)+
IFERROR(VLOOKUP(AE45,$B$75:$E$101,4,FALSE()),0)+
IFERROR(VLOOKUP(AF45,$B$75:$E$101,4,FALSE()),0)+
IFERROR(VLOOKUP(AG45,$B$75:$E$101,4,FALSE()),0)+
IFERROR(VLOOKUP(AH45,$B$75:$E$101,4,FALSE()),0)+
IFERROR(VLOOKUP(AI45,$B$75:$E$101,4,FALSE()),0)+
IFERROR(VLOOKUP(AJ45,$B$75:$E$101,4,FALSE()),0)</f>
        <v>0</v>
      </c>
      <c r="AM45" s="31"/>
      <c r="AN45" s="31"/>
    </row>
    <row r="46" customFormat="false" ht="15.75" hidden="false" customHeight="true" outlineLevel="0" collapsed="false">
      <c r="B46" s="26" t="n">
        <v>34</v>
      </c>
      <c r="C46" s="27"/>
      <c r="D46" s="27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30" t="n">
        <f aca="false">IFERROR(VLOOKUP(E46,$B$75:$E$101,4,FALSE()),0)+
IFERROR(VLOOKUP(F46,$B$75:$E$101,4,FALSE()),0)+
IFERROR(VLOOKUP(G46,$B$75:$E$101,4,FALSE()),0)+
IFERROR(VLOOKUP(H46,$B$75:$E$101,4,FALSE()),0)+
IFERROR(VLOOKUP(I46,$B$75:$E$101,4,FALSE()),0)+
IFERROR(VLOOKUP(J46,$B$75:$E$101,4,FALSE()),0)+
IFERROR(VLOOKUP(K46,$B$75:$E$101,4,FALSE()),0)+
IFERROR(VLOOKUP(L46,$B$75:$E$101,4,FALSE()),0)+
IFERROR(VLOOKUP(M46,$B$75:$E$101,4,FALSE()),0)+
IFERROR(VLOOKUP(N46,$B$75:$E$101,4,FALSE()),0)+
IFERROR(VLOOKUP(O46,$B$75:$E$101,4,FALSE()),0)+
IFERROR(VLOOKUP(P46,$B$75:$E$101,4,FALSE()),0)+
IFERROR(VLOOKUP(Q46,$B$75:$E$101,4,FALSE()),0)+
IFERROR(VLOOKUP(R46,$B$75:$E$101,4,FALSE()),0)+
IFERROR(VLOOKUP(S46,$B$75:$E$101,4,FALSE()),0)+
IFERROR(VLOOKUP(T46,$B$75:$E$101,4,FALSE()),0)+
IFERROR(VLOOKUP(U46,$B$75:$E$101,4,FALSE()),0)+
IFERROR(VLOOKUP(V46,$B$75:$E$101,4,FALSE()),0)+
IFERROR(VLOOKUP(W46,$B$75:$E$101,4,FALSE()),0)+
IFERROR(VLOOKUP(X46,$B$75:$E$101,4,FALSE()),0)+
IFERROR(VLOOKUP(Y46,$B$75:$E$101,4,FALSE()),0)+
IFERROR(VLOOKUP(Z46,$B$75:$E$101,4,FALSE()),0)+
IFERROR(VLOOKUP(AA46,$B$75:$E$101,4,FALSE()),0)+
IFERROR(VLOOKUP(AB46,$B$75:$E$101,4,FALSE()),0)+
IFERROR(VLOOKUP(AC46,$B$75:$E$101,4,FALSE()),0)+
IFERROR(VLOOKUP(AD46,$B$75:$E$101,4,FALSE()),0)+
IFERROR(VLOOKUP(AE46,$B$75:$E$101,4,FALSE()),0)+
IFERROR(VLOOKUP(AF46,$B$75:$E$101,4,FALSE()),0)+
IFERROR(VLOOKUP(AG46,$B$75:$E$101,4,FALSE()),0)+
IFERROR(VLOOKUP(AH46,$B$75:$E$101,4,FALSE()),0)+
IFERROR(VLOOKUP(AI46,$B$75:$E$101,4,FALSE()),0)+
IFERROR(VLOOKUP(AJ46,$B$75:$E$101,4,FALSE()),0)</f>
        <v>0</v>
      </c>
      <c r="AM46" s="31"/>
      <c r="AN46" s="31"/>
    </row>
    <row r="47" customFormat="false" ht="15.75" hidden="false" customHeight="true" outlineLevel="0" collapsed="false">
      <c r="B47" s="26" t="n">
        <v>35</v>
      </c>
      <c r="C47" s="27"/>
      <c r="D47" s="27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30" t="n">
        <f aca="false">IFERROR(VLOOKUP(E47,$B$75:$E$101,4,FALSE()),0)+
IFERROR(VLOOKUP(F47,$B$75:$E$101,4,FALSE()),0)+
IFERROR(VLOOKUP(G47,$B$75:$E$101,4,FALSE()),0)+
IFERROR(VLOOKUP(H47,$B$75:$E$101,4,FALSE()),0)+
IFERROR(VLOOKUP(I47,$B$75:$E$101,4,FALSE()),0)+
IFERROR(VLOOKUP(J47,$B$75:$E$101,4,FALSE()),0)+
IFERROR(VLOOKUP(K47,$B$75:$E$101,4,FALSE()),0)+
IFERROR(VLOOKUP(L47,$B$75:$E$101,4,FALSE()),0)+
IFERROR(VLOOKUP(M47,$B$75:$E$101,4,FALSE()),0)+
IFERROR(VLOOKUP(N47,$B$75:$E$101,4,FALSE()),0)+
IFERROR(VLOOKUP(O47,$B$75:$E$101,4,FALSE()),0)+
IFERROR(VLOOKUP(P47,$B$75:$E$101,4,FALSE()),0)+
IFERROR(VLOOKUP(Q47,$B$75:$E$101,4,FALSE()),0)+
IFERROR(VLOOKUP(R47,$B$75:$E$101,4,FALSE()),0)+
IFERROR(VLOOKUP(S47,$B$75:$E$101,4,FALSE()),0)+
IFERROR(VLOOKUP(T47,$B$75:$E$101,4,FALSE()),0)+
IFERROR(VLOOKUP(U47,$B$75:$E$101,4,FALSE()),0)+
IFERROR(VLOOKUP(V47,$B$75:$E$101,4,FALSE()),0)+
IFERROR(VLOOKUP(W47,$B$75:$E$101,4,FALSE()),0)+
IFERROR(VLOOKUP(X47,$B$75:$E$101,4,FALSE()),0)+
IFERROR(VLOOKUP(Y47,$B$75:$E$101,4,FALSE()),0)+
IFERROR(VLOOKUP(Z47,$B$75:$E$101,4,FALSE()),0)+
IFERROR(VLOOKUP(AA47,$B$75:$E$101,4,FALSE()),0)+
IFERROR(VLOOKUP(AB47,$B$75:$E$101,4,FALSE()),0)+
IFERROR(VLOOKUP(AC47,$B$75:$E$101,4,FALSE()),0)+
IFERROR(VLOOKUP(AD47,$B$75:$E$101,4,FALSE()),0)+
IFERROR(VLOOKUP(AE47,$B$75:$E$101,4,FALSE()),0)+
IFERROR(VLOOKUP(AF47,$B$75:$E$101,4,FALSE()),0)+
IFERROR(VLOOKUP(AG47,$B$75:$E$101,4,FALSE()),0)+
IFERROR(VLOOKUP(AH47,$B$75:$E$101,4,FALSE()),0)+
IFERROR(VLOOKUP(AI47,$B$75:$E$101,4,FALSE()),0)+
IFERROR(VLOOKUP(AJ47,$B$75:$E$101,4,FALSE()),0)</f>
        <v>0</v>
      </c>
      <c r="AM47" s="31"/>
      <c r="AN47" s="31"/>
    </row>
    <row r="48" customFormat="false" ht="15.75" hidden="false" customHeight="true" outlineLevel="0" collapsed="false">
      <c r="B48" s="26" t="n">
        <v>36</v>
      </c>
      <c r="C48" s="27"/>
      <c r="D48" s="27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30" t="n">
        <f aca="false">IFERROR(VLOOKUP(E48,$B$75:$E$101,4,FALSE()),0)+
IFERROR(VLOOKUP(F48,$B$75:$E$101,4,FALSE()),0)+
IFERROR(VLOOKUP(G48,$B$75:$E$101,4,FALSE()),0)+
IFERROR(VLOOKUP(H48,$B$75:$E$101,4,FALSE()),0)+
IFERROR(VLOOKUP(I48,$B$75:$E$101,4,FALSE()),0)+
IFERROR(VLOOKUP(J48,$B$75:$E$101,4,FALSE()),0)+
IFERROR(VLOOKUP(K48,$B$75:$E$101,4,FALSE()),0)+
IFERROR(VLOOKUP(L48,$B$75:$E$101,4,FALSE()),0)+
IFERROR(VLOOKUP(M48,$B$75:$E$101,4,FALSE()),0)+
IFERROR(VLOOKUP(N48,$B$75:$E$101,4,FALSE()),0)+
IFERROR(VLOOKUP(O48,$B$75:$E$101,4,FALSE()),0)+
IFERROR(VLOOKUP(P48,$B$75:$E$101,4,FALSE()),0)+
IFERROR(VLOOKUP(Q48,$B$75:$E$101,4,FALSE()),0)+
IFERROR(VLOOKUP(R48,$B$75:$E$101,4,FALSE()),0)+
IFERROR(VLOOKUP(S48,$B$75:$E$101,4,FALSE()),0)+
IFERROR(VLOOKUP(T48,$B$75:$E$101,4,FALSE()),0)+
IFERROR(VLOOKUP(U48,$B$75:$E$101,4,FALSE()),0)+
IFERROR(VLOOKUP(V48,$B$75:$E$101,4,FALSE()),0)+
IFERROR(VLOOKUP(W48,$B$75:$E$101,4,FALSE()),0)+
IFERROR(VLOOKUP(X48,$B$75:$E$101,4,FALSE()),0)+
IFERROR(VLOOKUP(Y48,$B$75:$E$101,4,FALSE()),0)+
IFERROR(VLOOKUP(Z48,$B$75:$E$101,4,FALSE()),0)+
IFERROR(VLOOKUP(AA48,$B$75:$E$101,4,FALSE()),0)+
IFERROR(VLOOKUP(AB48,$B$75:$E$101,4,FALSE()),0)+
IFERROR(VLOOKUP(AC48,$B$75:$E$101,4,FALSE()),0)+
IFERROR(VLOOKUP(AD48,$B$75:$E$101,4,FALSE()),0)+
IFERROR(VLOOKUP(AE48,$B$75:$E$101,4,FALSE()),0)+
IFERROR(VLOOKUP(AF48,$B$75:$E$101,4,FALSE()),0)+
IFERROR(VLOOKUP(AG48,$B$75:$E$101,4,FALSE()),0)+
IFERROR(VLOOKUP(AH48,$B$75:$E$101,4,FALSE()),0)+
IFERROR(VLOOKUP(AI48,$B$75:$E$101,4,FALSE()),0)+
IFERROR(VLOOKUP(AJ48,$B$75:$E$101,4,FALSE()),0)</f>
        <v>0</v>
      </c>
      <c r="AM48" s="31"/>
      <c r="AN48" s="31"/>
    </row>
    <row r="49" customFormat="false" ht="15.75" hidden="false" customHeight="true" outlineLevel="0" collapsed="false">
      <c r="B49" s="26" t="n">
        <v>37</v>
      </c>
      <c r="C49" s="27"/>
      <c r="D49" s="27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30" t="n">
        <f aca="false">IFERROR(VLOOKUP(E49,$B$75:$E$101,4,FALSE()),0)+
IFERROR(VLOOKUP(F49,$B$75:$E$101,4,FALSE()),0)+
IFERROR(VLOOKUP(G49,$B$75:$E$101,4,FALSE()),0)+
IFERROR(VLOOKUP(H49,$B$75:$E$101,4,FALSE()),0)+
IFERROR(VLOOKUP(I49,$B$75:$E$101,4,FALSE()),0)+
IFERROR(VLOOKUP(J49,$B$75:$E$101,4,FALSE()),0)+
IFERROR(VLOOKUP(K49,$B$75:$E$101,4,FALSE()),0)+
IFERROR(VLOOKUP(L49,$B$75:$E$101,4,FALSE()),0)+
IFERROR(VLOOKUP(M49,$B$75:$E$101,4,FALSE()),0)+
IFERROR(VLOOKUP(N49,$B$75:$E$101,4,FALSE()),0)+
IFERROR(VLOOKUP(O49,$B$75:$E$101,4,FALSE()),0)+
IFERROR(VLOOKUP(P49,$B$75:$E$101,4,FALSE()),0)+
IFERROR(VLOOKUP(Q49,$B$75:$E$101,4,FALSE()),0)+
IFERROR(VLOOKUP(R49,$B$75:$E$101,4,FALSE()),0)+
IFERROR(VLOOKUP(S49,$B$75:$E$101,4,FALSE()),0)+
IFERROR(VLOOKUP(T49,$B$75:$E$101,4,FALSE()),0)+
IFERROR(VLOOKUP(U49,$B$75:$E$101,4,FALSE()),0)+
IFERROR(VLOOKUP(V49,$B$75:$E$101,4,FALSE()),0)+
IFERROR(VLOOKUP(W49,$B$75:$E$101,4,FALSE()),0)+
IFERROR(VLOOKUP(X49,$B$75:$E$101,4,FALSE()),0)+
IFERROR(VLOOKUP(Y49,$B$75:$E$101,4,FALSE()),0)+
IFERROR(VLOOKUP(Z49,$B$75:$E$101,4,FALSE()),0)+
IFERROR(VLOOKUP(AA49,$B$75:$E$101,4,FALSE()),0)+
IFERROR(VLOOKUP(AB49,$B$75:$E$101,4,FALSE()),0)+
IFERROR(VLOOKUP(AC49,$B$75:$E$101,4,FALSE()),0)+
IFERROR(VLOOKUP(AD49,$B$75:$E$101,4,FALSE()),0)+
IFERROR(VLOOKUP(AE49,$B$75:$E$101,4,FALSE()),0)+
IFERROR(VLOOKUP(AF49,$B$75:$E$101,4,FALSE()),0)+
IFERROR(VLOOKUP(AG49,$B$75:$E$101,4,FALSE()),0)+
IFERROR(VLOOKUP(AH49,$B$75:$E$101,4,FALSE()),0)+
IFERROR(VLOOKUP(AI49,$B$75:$E$101,4,FALSE()),0)+
IFERROR(VLOOKUP(AJ49,$B$75:$E$101,4,FALSE()),0)</f>
        <v>0</v>
      </c>
      <c r="AM49" s="31"/>
      <c r="AN49" s="31"/>
    </row>
    <row r="50" customFormat="false" ht="15.75" hidden="false" customHeight="true" outlineLevel="0" collapsed="false">
      <c r="B50" s="26" t="n">
        <v>38</v>
      </c>
      <c r="C50" s="27"/>
      <c r="D50" s="27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30" t="n">
        <f aca="false">IFERROR(VLOOKUP(E50,$B$75:$E$101,4,FALSE()),0)+
IFERROR(VLOOKUP(F50,$B$75:$E$101,4,FALSE()),0)+
IFERROR(VLOOKUP(G50,$B$75:$E$101,4,FALSE()),0)+
IFERROR(VLOOKUP(H50,$B$75:$E$101,4,FALSE()),0)+
IFERROR(VLOOKUP(I50,$B$75:$E$101,4,FALSE()),0)+
IFERROR(VLOOKUP(J50,$B$75:$E$101,4,FALSE()),0)+
IFERROR(VLOOKUP(K50,$B$75:$E$101,4,FALSE()),0)+
IFERROR(VLOOKUP(L50,$B$75:$E$101,4,FALSE()),0)+
IFERROR(VLOOKUP(M50,$B$75:$E$101,4,FALSE()),0)+
IFERROR(VLOOKUP(N50,$B$75:$E$101,4,FALSE()),0)+
IFERROR(VLOOKUP(O50,$B$75:$E$101,4,FALSE()),0)+
IFERROR(VLOOKUP(P50,$B$75:$E$101,4,FALSE()),0)+
IFERROR(VLOOKUP(Q50,$B$75:$E$101,4,FALSE()),0)+
IFERROR(VLOOKUP(R50,$B$75:$E$101,4,FALSE()),0)+
IFERROR(VLOOKUP(S50,$B$75:$E$101,4,FALSE()),0)+
IFERROR(VLOOKUP(T50,$B$75:$E$101,4,FALSE()),0)+
IFERROR(VLOOKUP(U50,$B$75:$E$101,4,FALSE()),0)+
IFERROR(VLOOKUP(V50,$B$75:$E$101,4,FALSE()),0)+
IFERROR(VLOOKUP(W50,$B$75:$E$101,4,FALSE()),0)+
IFERROR(VLOOKUP(X50,$B$75:$E$101,4,FALSE()),0)+
IFERROR(VLOOKUP(Y50,$B$75:$E$101,4,FALSE()),0)+
IFERROR(VLOOKUP(Z50,$B$75:$E$101,4,FALSE()),0)+
IFERROR(VLOOKUP(AA50,$B$75:$E$101,4,FALSE()),0)+
IFERROR(VLOOKUP(AB50,$B$75:$E$101,4,FALSE()),0)+
IFERROR(VLOOKUP(AC50,$B$75:$E$101,4,FALSE()),0)+
IFERROR(VLOOKUP(AD50,$B$75:$E$101,4,FALSE()),0)+
IFERROR(VLOOKUP(AE50,$B$75:$E$101,4,FALSE()),0)+
IFERROR(VLOOKUP(AF50,$B$75:$E$101,4,FALSE()),0)+
IFERROR(VLOOKUP(AG50,$B$75:$E$101,4,FALSE()),0)+
IFERROR(VLOOKUP(AH50,$B$75:$E$101,4,FALSE()),0)+
IFERROR(VLOOKUP(AI50,$B$75:$E$101,4,FALSE()),0)+
IFERROR(VLOOKUP(AJ50,$B$75:$E$101,4,FALSE()),0)</f>
        <v>0</v>
      </c>
      <c r="AM50" s="31"/>
      <c r="AN50" s="31"/>
    </row>
    <row r="51" customFormat="false" ht="15.75" hidden="false" customHeight="true" outlineLevel="0" collapsed="false">
      <c r="B51" s="26" t="n">
        <v>39</v>
      </c>
      <c r="C51" s="27"/>
      <c r="D51" s="27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30" t="n">
        <f aca="false">IFERROR(VLOOKUP(E51,$B$75:$E$101,4,FALSE()),0)+
IFERROR(VLOOKUP(F51,$B$75:$E$101,4,FALSE()),0)+
IFERROR(VLOOKUP(G51,$B$75:$E$101,4,FALSE()),0)+
IFERROR(VLOOKUP(H51,$B$75:$E$101,4,FALSE()),0)+
IFERROR(VLOOKUP(I51,$B$75:$E$101,4,FALSE()),0)+
IFERROR(VLOOKUP(J51,$B$75:$E$101,4,FALSE()),0)+
IFERROR(VLOOKUP(K51,$B$75:$E$101,4,FALSE()),0)+
IFERROR(VLOOKUP(L51,$B$75:$E$101,4,FALSE()),0)+
IFERROR(VLOOKUP(M51,$B$75:$E$101,4,FALSE()),0)+
IFERROR(VLOOKUP(N51,$B$75:$E$101,4,FALSE()),0)+
IFERROR(VLOOKUP(O51,$B$75:$E$101,4,FALSE()),0)+
IFERROR(VLOOKUP(P51,$B$75:$E$101,4,FALSE()),0)+
IFERROR(VLOOKUP(Q51,$B$75:$E$101,4,FALSE()),0)+
IFERROR(VLOOKUP(R51,$B$75:$E$101,4,FALSE()),0)+
IFERROR(VLOOKUP(S51,$B$75:$E$101,4,FALSE()),0)+
IFERROR(VLOOKUP(T51,$B$75:$E$101,4,FALSE()),0)+
IFERROR(VLOOKUP(U51,$B$75:$E$101,4,FALSE()),0)+
IFERROR(VLOOKUP(V51,$B$75:$E$101,4,FALSE()),0)+
IFERROR(VLOOKUP(W51,$B$75:$E$101,4,FALSE()),0)+
IFERROR(VLOOKUP(X51,$B$75:$E$101,4,FALSE()),0)+
IFERROR(VLOOKUP(Y51,$B$75:$E$101,4,FALSE()),0)+
IFERROR(VLOOKUP(Z51,$B$75:$E$101,4,FALSE()),0)+
IFERROR(VLOOKUP(AA51,$B$75:$E$101,4,FALSE()),0)+
IFERROR(VLOOKUP(AB51,$B$75:$E$101,4,FALSE()),0)+
IFERROR(VLOOKUP(AC51,$B$75:$E$101,4,FALSE()),0)+
IFERROR(VLOOKUP(AD51,$B$75:$E$101,4,FALSE()),0)+
IFERROR(VLOOKUP(AE51,$B$75:$E$101,4,FALSE()),0)+
IFERROR(VLOOKUP(AF51,$B$75:$E$101,4,FALSE()),0)+
IFERROR(VLOOKUP(AG51,$B$75:$E$101,4,FALSE()),0)+
IFERROR(VLOOKUP(AH51,$B$75:$E$101,4,FALSE()),0)+
IFERROR(VLOOKUP(AI51,$B$75:$E$101,4,FALSE()),0)+
IFERROR(VLOOKUP(AJ51,$B$75:$E$101,4,FALSE()),0)</f>
        <v>0</v>
      </c>
      <c r="AM51" s="31"/>
      <c r="AN51" s="31"/>
    </row>
    <row r="52" customFormat="false" ht="15.75" hidden="false" customHeight="true" outlineLevel="0" collapsed="false">
      <c r="B52" s="26" t="n">
        <v>40</v>
      </c>
      <c r="C52" s="27"/>
      <c r="D52" s="27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30" t="n">
        <f aca="false">IFERROR(VLOOKUP(E52,$B$75:$E$101,4,FALSE()),0)+
IFERROR(VLOOKUP(F52,$B$75:$E$101,4,FALSE()),0)+
IFERROR(VLOOKUP(G52,$B$75:$E$101,4,FALSE()),0)+
IFERROR(VLOOKUP(H52,$B$75:$E$101,4,FALSE()),0)+
IFERROR(VLOOKUP(I52,$B$75:$E$101,4,FALSE()),0)+
IFERROR(VLOOKUP(J52,$B$75:$E$101,4,FALSE()),0)+
IFERROR(VLOOKUP(K52,$B$75:$E$101,4,FALSE()),0)+
IFERROR(VLOOKUP(L52,$B$75:$E$101,4,FALSE()),0)+
IFERROR(VLOOKUP(M52,$B$75:$E$101,4,FALSE()),0)+
IFERROR(VLOOKUP(N52,$B$75:$E$101,4,FALSE()),0)+
IFERROR(VLOOKUP(O52,$B$75:$E$101,4,FALSE()),0)+
IFERROR(VLOOKUP(P52,$B$75:$E$101,4,FALSE()),0)+
IFERROR(VLOOKUP(Q52,$B$75:$E$101,4,FALSE()),0)+
IFERROR(VLOOKUP(R52,$B$75:$E$101,4,FALSE()),0)+
IFERROR(VLOOKUP(S52,$B$75:$E$101,4,FALSE()),0)+
IFERROR(VLOOKUP(T52,$B$75:$E$101,4,FALSE()),0)+
IFERROR(VLOOKUP(U52,$B$75:$E$101,4,FALSE()),0)+
IFERROR(VLOOKUP(V52,$B$75:$E$101,4,FALSE()),0)+
IFERROR(VLOOKUP(W52,$B$75:$E$101,4,FALSE()),0)+
IFERROR(VLOOKUP(X52,$B$75:$E$101,4,FALSE()),0)+
IFERROR(VLOOKUP(Y52,$B$75:$E$101,4,FALSE()),0)+
IFERROR(VLOOKUP(Z52,$B$75:$E$101,4,FALSE()),0)+
IFERROR(VLOOKUP(AA52,$B$75:$E$101,4,FALSE()),0)+
IFERROR(VLOOKUP(AB52,$B$75:$E$101,4,FALSE()),0)+
IFERROR(VLOOKUP(AC52,$B$75:$E$101,4,FALSE()),0)+
IFERROR(VLOOKUP(AD52,$B$75:$E$101,4,FALSE()),0)+
IFERROR(VLOOKUP(AE52,$B$75:$E$101,4,FALSE()),0)+
IFERROR(VLOOKUP(AF52,$B$75:$E$101,4,FALSE()),0)+
IFERROR(VLOOKUP(AG52,$B$75:$E$101,4,FALSE()),0)+
IFERROR(VLOOKUP(AH52,$B$75:$E$101,4,FALSE()),0)+
IFERROR(VLOOKUP(AI52,$B$75:$E$101,4,FALSE()),0)+
IFERROR(VLOOKUP(AJ52,$B$75:$E$101,4,FALSE()),0)</f>
        <v>0</v>
      </c>
      <c r="AM52" s="31"/>
      <c r="AN52" s="31"/>
    </row>
    <row r="53" customFormat="false" ht="15.75" hidden="false" customHeight="true" outlineLevel="0" collapsed="false">
      <c r="B53" s="26" t="n">
        <v>41</v>
      </c>
      <c r="C53" s="27"/>
      <c r="D53" s="27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30" t="n">
        <f aca="false">IFERROR(VLOOKUP(E53,$B$75:$E$101,4,FALSE()),0)+
IFERROR(VLOOKUP(F53,$B$75:$E$101,4,FALSE()),0)+
IFERROR(VLOOKUP(G53,$B$75:$E$101,4,FALSE()),0)+
IFERROR(VLOOKUP(H53,$B$75:$E$101,4,FALSE()),0)+
IFERROR(VLOOKUP(I53,$B$75:$E$101,4,FALSE()),0)+
IFERROR(VLOOKUP(J53,$B$75:$E$101,4,FALSE()),0)+
IFERROR(VLOOKUP(K53,$B$75:$E$101,4,FALSE()),0)+
IFERROR(VLOOKUP(L53,$B$75:$E$101,4,FALSE()),0)+
IFERROR(VLOOKUP(M53,$B$75:$E$101,4,FALSE()),0)+
IFERROR(VLOOKUP(N53,$B$75:$E$101,4,FALSE()),0)+
IFERROR(VLOOKUP(O53,$B$75:$E$101,4,FALSE()),0)+
IFERROR(VLOOKUP(P53,$B$75:$E$101,4,FALSE()),0)+
IFERROR(VLOOKUP(Q53,$B$75:$E$101,4,FALSE()),0)+
IFERROR(VLOOKUP(R53,$B$75:$E$101,4,FALSE()),0)+
IFERROR(VLOOKUP(S53,$B$75:$E$101,4,FALSE()),0)+
IFERROR(VLOOKUP(T53,$B$75:$E$101,4,FALSE()),0)+
IFERROR(VLOOKUP(U53,$B$75:$E$101,4,FALSE()),0)+
IFERROR(VLOOKUP(V53,$B$75:$E$101,4,FALSE()),0)+
IFERROR(VLOOKUP(W53,$B$75:$E$101,4,FALSE()),0)+
IFERROR(VLOOKUP(X53,$B$75:$E$101,4,FALSE()),0)+
IFERROR(VLOOKUP(Y53,$B$75:$E$101,4,FALSE()),0)+
IFERROR(VLOOKUP(Z53,$B$75:$E$101,4,FALSE()),0)+
IFERROR(VLOOKUP(AA53,$B$75:$E$101,4,FALSE()),0)+
IFERROR(VLOOKUP(AB53,$B$75:$E$101,4,FALSE()),0)+
IFERROR(VLOOKUP(AC53,$B$75:$E$101,4,FALSE()),0)+
IFERROR(VLOOKUP(AD53,$B$75:$E$101,4,FALSE()),0)+
IFERROR(VLOOKUP(AE53,$B$75:$E$101,4,FALSE()),0)+
IFERROR(VLOOKUP(AF53,$B$75:$E$101,4,FALSE()),0)+
IFERROR(VLOOKUP(AG53,$B$75:$E$101,4,FALSE()),0)+
IFERROR(VLOOKUP(AH53,$B$75:$E$101,4,FALSE()),0)+
IFERROR(VLOOKUP(AI53,$B$75:$E$101,4,FALSE()),0)+
IFERROR(VLOOKUP(AJ53,$B$75:$E$101,4,FALSE()),0)</f>
        <v>0</v>
      </c>
      <c r="AM53" s="31"/>
      <c r="AN53" s="31"/>
    </row>
    <row r="54" customFormat="false" ht="15.75" hidden="false" customHeight="true" outlineLevel="0" collapsed="false">
      <c r="B54" s="26" t="n">
        <v>42</v>
      </c>
      <c r="C54" s="27"/>
      <c r="D54" s="27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30" t="n">
        <f aca="false">IFERROR(VLOOKUP(E54,$B$75:$E$101,4,FALSE()),0)+
IFERROR(VLOOKUP(F54,$B$75:$E$101,4,FALSE()),0)+
IFERROR(VLOOKUP(G54,$B$75:$E$101,4,FALSE()),0)+
IFERROR(VLOOKUP(H54,$B$75:$E$101,4,FALSE()),0)+
IFERROR(VLOOKUP(I54,$B$75:$E$101,4,FALSE()),0)+
IFERROR(VLOOKUP(J54,$B$75:$E$101,4,FALSE()),0)+
IFERROR(VLOOKUP(K54,$B$75:$E$101,4,FALSE()),0)+
IFERROR(VLOOKUP(L54,$B$75:$E$101,4,FALSE()),0)+
IFERROR(VLOOKUP(M54,$B$75:$E$101,4,FALSE()),0)+
IFERROR(VLOOKUP(N54,$B$75:$E$101,4,FALSE()),0)+
IFERROR(VLOOKUP(O54,$B$75:$E$101,4,FALSE()),0)+
IFERROR(VLOOKUP(P54,$B$75:$E$101,4,FALSE()),0)+
IFERROR(VLOOKUP(Q54,$B$75:$E$101,4,FALSE()),0)+
IFERROR(VLOOKUP(R54,$B$75:$E$101,4,FALSE()),0)+
IFERROR(VLOOKUP(S54,$B$75:$E$101,4,FALSE()),0)+
IFERROR(VLOOKUP(T54,$B$75:$E$101,4,FALSE()),0)+
IFERROR(VLOOKUP(U54,$B$75:$E$101,4,FALSE()),0)+
IFERROR(VLOOKUP(V54,$B$75:$E$101,4,FALSE()),0)+
IFERROR(VLOOKUP(W54,$B$75:$E$101,4,FALSE()),0)+
IFERROR(VLOOKUP(X54,$B$75:$E$101,4,FALSE()),0)+
IFERROR(VLOOKUP(Y54,$B$75:$E$101,4,FALSE()),0)+
IFERROR(VLOOKUP(Z54,$B$75:$E$101,4,FALSE()),0)+
IFERROR(VLOOKUP(AA54,$B$75:$E$101,4,FALSE()),0)+
IFERROR(VLOOKUP(AB54,$B$75:$E$101,4,FALSE()),0)+
IFERROR(VLOOKUP(AC54,$B$75:$E$101,4,FALSE()),0)+
IFERROR(VLOOKUP(AD54,$B$75:$E$101,4,FALSE()),0)+
IFERROR(VLOOKUP(AE54,$B$75:$E$101,4,FALSE()),0)+
IFERROR(VLOOKUP(AF54,$B$75:$E$101,4,FALSE()),0)+
IFERROR(VLOOKUP(AG54,$B$75:$E$101,4,FALSE()),0)+
IFERROR(VLOOKUP(AH54,$B$75:$E$101,4,FALSE()),0)+
IFERROR(VLOOKUP(AI54,$B$75:$E$101,4,FALSE()),0)+
IFERROR(VLOOKUP(AJ54,$B$75:$E$101,4,FALSE()),0)</f>
        <v>0</v>
      </c>
      <c r="AM54" s="31"/>
      <c r="AN54" s="31"/>
    </row>
    <row r="55" customFormat="false" ht="15.75" hidden="false" customHeight="true" outlineLevel="0" collapsed="false">
      <c r="B55" s="26" t="n">
        <v>43</v>
      </c>
      <c r="C55" s="27"/>
      <c r="D55" s="27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30" t="n">
        <f aca="false">IFERROR(VLOOKUP(E55,$B$75:$E$101,4,FALSE()),0)+
IFERROR(VLOOKUP(F55,$B$75:$E$101,4,FALSE()),0)+
IFERROR(VLOOKUP(G55,$B$75:$E$101,4,FALSE()),0)+
IFERROR(VLOOKUP(H55,$B$75:$E$101,4,FALSE()),0)+
IFERROR(VLOOKUP(I55,$B$75:$E$101,4,FALSE()),0)+
IFERROR(VLOOKUP(J55,$B$75:$E$101,4,FALSE()),0)+
IFERROR(VLOOKUP(K55,$B$75:$E$101,4,FALSE()),0)+
IFERROR(VLOOKUP(L55,$B$75:$E$101,4,FALSE()),0)+
IFERROR(VLOOKUP(M55,$B$75:$E$101,4,FALSE()),0)+
IFERROR(VLOOKUP(N55,$B$75:$E$101,4,FALSE()),0)+
IFERROR(VLOOKUP(O55,$B$75:$E$101,4,FALSE()),0)+
IFERROR(VLOOKUP(P55,$B$75:$E$101,4,FALSE()),0)+
IFERROR(VLOOKUP(Q55,$B$75:$E$101,4,FALSE()),0)+
IFERROR(VLOOKUP(R55,$B$75:$E$101,4,FALSE()),0)+
IFERROR(VLOOKUP(S55,$B$75:$E$101,4,FALSE()),0)+
IFERROR(VLOOKUP(T55,$B$75:$E$101,4,FALSE()),0)+
IFERROR(VLOOKUP(U55,$B$75:$E$101,4,FALSE()),0)+
IFERROR(VLOOKUP(V55,$B$75:$E$101,4,FALSE()),0)+
IFERROR(VLOOKUP(W55,$B$75:$E$101,4,FALSE()),0)+
IFERROR(VLOOKUP(X55,$B$75:$E$101,4,FALSE()),0)+
IFERROR(VLOOKUP(Y55,$B$75:$E$101,4,FALSE()),0)+
IFERROR(VLOOKUP(Z55,$B$75:$E$101,4,FALSE()),0)+
IFERROR(VLOOKUP(AA55,$B$75:$E$101,4,FALSE()),0)+
IFERROR(VLOOKUP(AB55,$B$75:$E$101,4,FALSE()),0)+
IFERROR(VLOOKUP(AC55,$B$75:$E$101,4,FALSE()),0)+
IFERROR(VLOOKUP(AD55,$B$75:$E$101,4,FALSE()),0)+
IFERROR(VLOOKUP(AE55,$B$75:$E$101,4,FALSE()),0)+
IFERROR(VLOOKUP(AF55,$B$75:$E$101,4,FALSE()),0)+
IFERROR(VLOOKUP(AG55,$B$75:$E$101,4,FALSE()),0)+
IFERROR(VLOOKUP(AH55,$B$75:$E$101,4,FALSE()),0)+
IFERROR(VLOOKUP(AI55,$B$75:$E$101,4,FALSE()),0)+
IFERROR(VLOOKUP(AJ55,$B$75:$E$101,4,FALSE()),0)</f>
        <v>0</v>
      </c>
      <c r="AM55" s="31"/>
      <c r="AN55" s="31"/>
    </row>
    <row r="56" customFormat="false" ht="15.75" hidden="false" customHeight="true" outlineLevel="0" collapsed="false">
      <c r="B56" s="26" t="n">
        <v>44</v>
      </c>
      <c r="C56" s="27"/>
      <c r="D56" s="27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30" t="n">
        <f aca="false">IFERROR(VLOOKUP(E56,$B$75:$E$101,4,FALSE()),0)+
IFERROR(VLOOKUP(F56,$B$75:$E$101,4,FALSE()),0)+
IFERROR(VLOOKUP(G56,$B$75:$E$101,4,FALSE()),0)+
IFERROR(VLOOKUP(H56,$B$75:$E$101,4,FALSE()),0)+
IFERROR(VLOOKUP(I56,$B$75:$E$101,4,FALSE()),0)+
IFERROR(VLOOKUP(J56,$B$75:$E$101,4,FALSE()),0)+
IFERROR(VLOOKUP(K56,$B$75:$E$101,4,FALSE()),0)+
IFERROR(VLOOKUP(L56,$B$75:$E$101,4,FALSE()),0)+
IFERROR(VLOOKUP(M56,$B$75:$E$101,4,FALSE()),0)+
IFERROR(VLOOKUP(N56,$B$75:$E$101,4,FALSE()),0)+
IFERROR(VLOOKUP(O56,$B$75:$E$101,4,FALSE()),0)+
IFERROR(VLOOKUP(P56,$B$75:$E$101,4,FALSE()),0)+
IFERROR(VLOOKUP(Q56,$B$75:$E$101,4,FALSE()),0)+
IFERROR(VLOOKUP(R56,$B$75:$E$101,4,FALSE()),0)+
IFERROR(VLOOKUP(S56,$B$75:$E$101,4,FALSE()),0)+
IFERROR(VLOOKUP(T56,$B$75:$E$101,4,FALSE()),0)+
IFERROR(VLOOKUP(U56,$B$75:$E$101,4,FALSE()),0)+
IFERROR(VLOOKUP(V56,$B$75:$E$101,4,FALSE()),0)+
IFERROR(VLOOKUP(W56,$B$75:$E$101,4,FALSE()),0)+
IFERROR(VLOOKUP(X56,$B$75:$E$101,4,FALSE()),0)+
IFERROR(VLOOKUP(Y56,$B$75:$E$101,4,FALSE()),0)+
IFERROR(VLOOKUP(Z56,$B$75:$E$101,4,FALSE()),0)+
IFERROR(VLOOKUP(AA56,$B$75:$E$101,4,FALSE()),0)+
IFERROR(VLOOKUP(AB56,$B$75:$E$101,4,FALSE()),0)+
IFERROR(VLOOKUP(AC56,$B$75:$E$101,4,FALSE()),0)+
IFERROR(VLOOKUP(AD56,$B$75:$E$101,4,FALSE()),0)+
IFERROR(VLOOKUP(AE56,$B$75:$E$101,4,FALSE()),0)+
IFERROR(VLOOKUP(AF56,$B$75:$E$101,4,FALSE()),0)+
IFERROR(VLOOKUP(AG56,$B$75:$E$101,4,FALSE()),0)+
IFERROR(VLOOKUP(AH56,$B$75:$E$101,4,FALSE()),0)+
IFERROR(VLOOKUP(AI56,$B$75:$E$101,4,FALSE()),0)+
IFERROR(VLOOKUP(AJ56,$B$75:$E$101,4,FALSE()),0)</f>
        <v>0</v>
      </c>
      <c r="AM56" s="31"/>
      <c r="AN56" s="31"/>
    </row>
    <row r="57" customFormat="false" ht="15.75" hidden="false" customHeight="true" outlineLevel="0" collapsed="false">
      <c r="B57" s="26" t="n">
        <v>45</v>
      </c>
      <c r="C57" s="27"/>
      <c r="D57" s="27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30" t="n">
        <f aca="false">IFERROR(VLOOKUP(E57,$B$75:$E$101,4,FALSE()),0)+
IFERROR(VLOOKUP(F57,$B$75:$E$101,4,FALSE()),0)+
IFERROR(VLOOKUP(G57,$B$75:$E$101,4,FALSE()),0)+
IFERROR(VLOOKUP(H57,$B$75:$E$101,4,FALSE()),0)+
IFERROR(VLOOKUP(I57,$B$75:$E$101,4,FALSE()),0)+
IFERROR(VLOOKUP(J57,$B$75:$E$101,4,FALSE()),0)+
IFERROR(VLOOKUP(K57,$B$75:$E$101,4,FALSE()),0)+
IFERROR(VLOOKUP(L57,$B$75:$E$101,4,FALSE()),0)+
IFERROR(VLOOKUP(M57,$B$75:$E$101,4,FALSE()),0)+
IFERROR(VLOOKUP(N57,$B$75:$E$101,4,FALSE()),0)+
IFERROR(VLOOKUP(O57,$B$75:$E$101,4,FALSE()),0)+
IFERROR(VLOOKUP(P57,$B$75:$E$101,4,FALSE()),0)+
IFERROR(VLOOKUP(Q57,$B$75:$E$101,4,FALSE()),0)+
IFERROR(VLOOKUP(R57,$B$75:$E$101,4,FALSE()),0)+
IFERROR(VLOOKUP(S57,$B$75:$E$101,4,FALSE()),0)+
IFERROR(VLOOKUP(T57,$B$75:$E$101,4,FALSE()),0)+
IFERROR(VLOOKUP(U57,$B$75:$E$101,4,FALSE()),0)+
IFERROR(VLOOKUP(V57,$B$75:$E$101,4,FALSE()),0)+
IFERROR(VLOOKUP(W57,$B$75:$E$101,4,FALSE()),0)+
IFERROR(VLOOKUP(X57,$B$75:$E$101,4,FALSE()),0)+
IFERROR(VLOOKUP(Y57,$B$75:$E$101,4,FALSE()),0)+
IFERROR(VLOOKUP(Z57,$B$75:$E$101,4,FALSE()),0)+
IFERROR(VLOOKUP(AA57,$B$75:$E$101,4,FALSE()),0)+
IFERROR(VLOOKUP(AB57,$B$75:$E$101,4,FALSE()),0)+
IFERROR(VLOOKUP(AC57,$B$75:$E$101,4,FALSE()),0)+
IFERROR(VLOOKUP(AD57,$B$75:$E$101,4,FALSE()),0)+
IFERROR(VLOOKUP(AE57,$B$75:$E$101,4,FALSE()),0)+
IFERROR(VLOOKUP(AF57,$B$75:$E$101,4,FALSE()),0)+
IFERROR(VLOOKUP(AG57,$B$75:$E$101,4,FALSE()),0)+
IFERROR(VLOOKUP(AH57,$B$75:$E$101,4,FALSE()),0)+
IFERROR(VLOOKUP(AI57,$B$75:$E$101,4,FALSE()),0)+
IFERROR(VLOOKUP(AJ57,$B$75:$E$101,4,FALSE()),0)</f>
        <v>0</v>
      </c>
      <c r="AM57" s="31"/>
      <c r="AN57" s="31"/>
    </row>
    <row r="58" customFormat="false" ht="15.75" hidden="false" customHeight="true" outlineLevel="0" collapsed="false">
      <c r="B58" s="26" t="n">
        <v>46</v>
      </c>
      <c r="C58" s="27"/>
      <c r="D58" s="27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30" t="n">
        <f aca="false">IFERROR(VLOOKUP(E58,$B$75:$E$101,4,FALSE()),0)+
IFERROR(VLOOKUP(F58,$B$75:$E$101,4,FALSE()),0)+
IFERROR(VLOOKUP(G58,$B$75:$E$101,4,FALSE()),0)+
IFERROR(VLOOKUP(H58,$B$75:$E$101,4,FALSE()),0)+
IFERROR(VLOOKUP(I58,$B$75:$E$101,4,FALSE()),0)+
IFERROR(VLOOKUP(J58,$B$75:$E$101,4,FALSE()),0)+
IFERROR(VLOOKUP(K58,$B$75:$E$101,4,FALSE()),0)+
IFERROR(VLOOKUP(L58,$B$75:$E$101,4,FALSE()),0)+
IFERROR(VLOOKUP(M58,$B$75:$E$101,4,FALSE()),0)+
IFERROR(VLOOKUP(N58,$B$75:$E$101,4,FALSE()),0)+
IFERROR(VLOOKUP(O58,$B$75:$E$101,4,FALSE()),0)+
IFERROR(VLOOKUP(P58,$B$75:$E$101,4,FALSE()),0)+
IFERROR(VLOOKUP(Q58,$B$75:$E$101,4,FALSE()),0)+
IFERROR(VLOOKUP(R58,$B$75:$E$101,4,FALSE()),0)+
IFERROR(VLOOKUP(S58,$B$75:$E$101,4,FALSE()),0)+
IFERROR(VLOOKUP(T58,$B$75:$E$101,4,FALSE()),0)+
IFERROR(VLOOKUP(U58,$B$75:$E$101,4,FALSE()),0)+
IFERROR(VLOOKUP(V58,$B$75:$E$101,4,FALSE()),0)+
IFERROR(VLOOKUP(W58,$B$75:$E$101,4,FALSE()),0)+
IFERROR(VLOOKUP(X58,$B$75:$E$101,4,FALSE()),0)+
IFERROR(VLOOKUP(Y58,$B$75:$E$101,4,FALSE()),0)+
IFERROR(VLOOKUP(Z58,$B$75:$E$101,4,FALSE()),0)+
IFERROR(VLOOKUP(AA58,$B$75:$E$101,4,FALSE()),0)+
IFERROR(VLOOKUP(AB58,$B$75:$E$101,4,FALSE()),0)+
IFERROR(VLOOKUP(AC58,$B$75:$E$101,4,FALSE()),0)+
IFERROR(VLOOKUP(AD58,$B$75:$E$101,4,FALSE()),0)+
IFERROR(VLOOKUP(AE58,$B$75:$E$101,4,FALSE()),0)+
IFERROR(VLOOKUP(AF58,$B$75:$E$101,4,FALSE()),0)+
IFERROR(VLOOKUP(AG58,$B$75:$E$101,4,FALSE()),0)+
IFERROR(VLOOKUP(AH58,$B$75:$E$101,4,FALSE()),0)+
IFERROR(VLOOKUP(AI58,$B$75:$E$101,4,FALSE()),0)+
IFERROR(VLOOKUP(AJ58,$B$75:$E$101,4,FALSE()),0)</f>
        <v>0</v>
      </c>
      <c r="AM58" s="31"/>
      <c r="AN58" s="31"/>
    </row>
    <row r="59" customFormat="false" ht="15.75" hidden="false" customHeight="true" outlineLevel="0" collapsed="false">
      <c r="B59" s="26" t="n">
        <v>47</v>
      </c>
      <c r="C59" s="27"/>
      <c r="D59" s="27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30" t="n">
        <f aca="false">IFERROR(VLOOKUP(E59,$B$75:$E$101,4,FALSE()),0)+
IFERROR(VLOOKUP(F59,$B$75:$E$101,4,FALSE()),0)+
IFERROR(VLOOKUP(G59,$B$75:$E$101,4,FALSE()),0)+
IFERROR(VLOOKUP(H59,$B$75:$E$101,4,FALSE()),0)+
IFERROR(VLOOKUP(I59,$B$75:$E$101,4,FALSE()),0)+
IFERROR(VLOOKUP(J59,$B$75:$E$101,4,FALSE()),0)+
IFERROR(VLOOKUP(K59,$B$75:$E$101,4,FALSE()),0)+
IFERROR(VLOOKUP(L59,$B$75:$E$101,4,FALSE()),0)+
IFERROR(VLOOKUP(M59,$B$75:$E$101,4,FALSE()),0)+
IFERROR(VLOOKUP(N59,$B$75:$E$101,4,FALSE()),0)+
IFERROR(VLOOKUP(O59,$B$75:$E$101,4,FALSE()),0)+
IFERROR(VLOOKUP(P59,$B$75:$E$101,4,FALSE()),0)+
IFERROR(VLOOKUP(Q59,$B$75:$E$101,4,FALSE()),0)+
IFERROR(VLOOKUP(R59,$B$75:$E$101,4,FALSE()),0)+
IFERROR(VLOOKUP(S59,$B$75:$E$101,4,FALSE()),0)+
IFERROR(VLOOKUP(T59,$B$75:$E$101,4,FALSE()),0)+
IFERROR(VLOOKUP(U59,$B$75:$E$101,4,FALSE()),0)+
IFERROR(VLOOKUP(V59,$B$75:$E$101,4,FALSE()),0)+
IFERROR(VLOOKUP(W59,$B$75:$E$101,4,FALSE()),0)+
IFERROR(VLOOKUP(X59,$B$75:$E$101,4,FALSE()),0)+
IFERROR(VLOOKUP(Y59,$B$75:$E$101,4,FALSE()),0)+
IFERROR(VLOOKUP(Z59,$B$75:$E$101,4,FALSE()),0)+
IFERROR(VLOOKUP(AA59,$B$75:$E$101,4,FALSE()),0)+
IFERROR(VLOOKUP(AB59,$B$75:$E$101,4,FALSE()),0)+
IFERROR(VLOOKUP(AC59,$B$75:$E$101,4,FALSE()),0)+
IFERROR(VLOOKUP(AD59,$B$75:$E$101,4,FALSE()),0)+
IFERROR(VLOOKUP(AE59,$B$75:$E$101,4,FALSE()),0)+
IFERROR(VLOOKUP(AF59,$B$75:$E$101,4,FALSE()),0)+
IFERROR(VLOOKUP(AG59,$B$75:$E$101,4,FALSE()),0)+
IFERROR(VLOOKUP(AH59,$B$75:$E$101,4,FALSE()),0)+
IFERROR(VLOOKUP(AI59,$B$75:$E$101,4,FALSE()),0)+
IFERROR(VLOOKUP(AJ59,$B$75:$E$101,4,FALSE()),0)</f>
        <v>0</v>
      </c>
      <c r="AM59" s="31"/>
      <c r="AN59" s="31"/>
    </row>
    <row r="60" customFormat="false" ht="15.75" hidden="false" customHeight="true" outlineLevel="0" collapsed="false">
      <c r="B60" s="26" t="n">
        <v>48</v>
      </c>
      <c r="C60" s="27"/>
      <c r="D60" s="27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30" t="n">
        <f aca="false">IFERROR(VLOOKUP(E60,$B$75:$E$101,4,FALSE()),0)+
IFERROR(VLOOKUP(F60,$B$75:$E$101,4,FALSE()),0)+
IFERROR(VLOOKUP(G60,$B$75:$E$101,4,FALSE()),0)+
IFERROR(VLOOKUP(H60,$B$75:$E$101,4,FALSE()),0)+
IFERROR(VLOOKUP(I60,$B$75:$E$101,4,FALSE()),0)+
IFERROR(VLOOKUP(J60,$B$75:$E$101,4,FALSE()),0)+
IFERROR(VLOOKUP(K60,$B$75:$E$101,4,FALSE()),0)+
IFERROR(VLOOKUP(L60,$B$75:$E$101,4,FALSE()),0)+
IFERROR(VLOOKUP(M60,$B$75:$E$101,4,FALSE()),0)+
IFERROR(VLOOKUP(N60,$B$75:$E$101,4,FALSE()),0)+
IFERROR(VLOOKUP(O60,$B$75:$E$101,4,FALSE()),0)+
IFERROR(VLOOKUP(P60,$B$75:$E$101,4,FALSE()),0)+
IFERROR(VLOOKUP(Q60,$B$75:$E$101,4,FALSE()),0)+
IFERROR(VLOOKUP(R60,$B$75:$E$101,4,FALSE()),0)+
IFERROR(VLOOKUP(S60,$B$75:$E$101,4,FALSE()),0)+
IFERROR(VLOOKUP(T60,$B$75:$E$101,4,FALSE()),0)+
IFERROR(VLOOKUP(U60,$B$75:$E$101,4,FALSE()),0)+
IFERROR(VLOOKUP(V60,$B$75:$E$101,4,FALSE()),0)+
IFERROR(VLOOKUP(W60,$B$75:$E$101,4,FALSE()),0)+
IFERROR(VLOOKUP(X60,$B$75:$E$101,4,FALSE()),0)+
IFERROR(VLOOKUP(Y60,$B$75:$E$101,4,FALSE()),0)+
IFERROR(VLOOKUP(Z60,$B$75:$E$101,4,FALSE()),0)+
IFERROR(VLOOKUP(AA60,$B$75:$E$101,4,FALSE()),0)+
IFERROR(VLOOKUP(AB60,$B$75:$E$101,4,FALSE()),0)+
IFERROR(VLOOKUP(AC60,$B$75:$E$101,4,FALSE()),0)+
IFERROR(VLOOKUP(AD60,$B$75:$E$101,4,FALSE()),0)+
IFERROR(VLOOKUP(AE60,$B$75:$E$101,4,FALSE()),0)+
IFERROR(VLOOKUP(AF60,$B$75:$E$101,4,FALSE()),0)+
IFERROR(VLOOKUP(AG60,$B$75:$E$101,4,FALSE()),0)+
IFERROR(VLOOKUP(AH60,$B$75:$E$101,4,FALSE()),0)+
IFERROR(VLOOKUP(AI60,$B$75:$E$101,4,FALSE()),0)+
IFERROR(VLOOKUP(AJ60,$B$75:$E$101,4,FALSE()),0)</f>
        <v>0</v>
      </c>
      <c r="AM60" s="31"/>
      <c r="AN60" s="31"/>
    </row>
    <row r="61" customFormat="false" ht="15.75" hidden="false" customHeight="true" outlineLevel="0" collapsed="false">
      <c r="B61" s="26" t="n">
        <v>49</v>
      </c>
      <c r="C61" s="27"/>
      <c r="D61" s="27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30" t="n">
        <f aca="false">IFERROR(VLOOKUP(E61,$B$75:$E$101,4,FALSE()),0)+
IFERROR(VLOOKUP(F61,$B$75:$E$101,4,FALSE()),0)+
IFERROR(VLOOKUP(G61,$B$75:$E$101,4,FALSE()),0)+
IFERROR(VLOOKUP(H61,$B$75:$E$101,4,FALSE()),0)+
IFERROR(VLOOKUP(I61,$B$75:$E$101,4,FALSE()),0)+
IFERROR(VLOOKUP(J61,$B$75:$E$101,4,FALSE()),0)+
IFERROR(VLOOKUP(K61,$B$75:$E$101,4,FALSE()),0)+
IFERROR(VLOOKUP(L61,$B$75:$E$101,4,FALSE()),0)+
IFERROR(VLOOKUP(M61,$B$75:$E$101,4,FALSE()),0)+
IFERROR(VLOOKUP(N61,$B$75:$E$101,4,FALSE()),0)+
IFERROR(VLOOKUP(O61,$B$75:$E$101,4,FALSE()),0)+
IFERROR(VLOOKUP(P61,$B$75:$E$101,4,FALSE()),0)+
IFERROR(VLOOKUP(Q61,$B$75:$E$101,4,FALSE()),0)+
IFERROR(VLOOKUP(R61,$B$75:$E$101,4,FALSE()),0)+
IFERROR(VLOOKUP(S61,$B$75:$E$101,4,FALSE()),0)+
IFERROR(VLOOKUP(T61,$B$75:$E$101,4,FALSE()),0)+
IFERROR(VLOOKUP(U61,$B$75:$E$101,4,FALSE()),0)+
IFERROR(VLOOKUP(V61,$B$75:$E$101,4,FALSE()),0)+
IFERROR(VLOOKUP(W61,$B$75:$E$101,4,FALSE()),0)+
IFERROR(VLOOKUP(X61,$B$75:$E$101,4,FALSE()),0)+
IFERROR(VLOOKUP(Y61,$B$75:$E$101,4,FALSE()),0)+
IFERROR(VLOOKUP(Z61,$B$75:$E$101,4,FALSE()),0)+
IFERROR(VLOOKUP(AA61,$B$75:$E$101,4,FALSE()),0)+
IFERROR(VLOOKUP(AB61,$B$75:$E$101,4,FALSE()),0)+
IFERROR(VLOOKUP(AC61,$B$75:$E$101,4,FALSE()),0)+
IFERROR(VLOOKUP(AD61,$B$75:$E$101,4,FALSE()),0)+
IFERROR(VLOOKUP(AE61,$B$75:$E$101,4,FALSE()),0)+
IFERROR(VLOOKUP(AF61,$B$75:$E$101,4,FALSE()),0)+
IFERROR(VLOOKUP(AG61,$B$75:$E$101,4,FALSE()),0)+
IFERROR(VLOOKUP(AH61,$B$75:$E$101,4,FALSE()),0)+
IFERROR(VLOOKUP(AI61,$B$75:$E$101,4,FALSE()),0)+
IFERROR(VLOOKUP(AJ61,$B$75:$E$101,4,FALSE()),0)</f>
        <v>0</v>
      </c>
      <c r="AM61" s="31"/>
      <c r="AN61" s="31"/>
    </row>
    <row r="62" customFormat="false" ht="15.75" hidden="false" customHeight="true" outlineLevel="0" collapsed="false">
      <c r="B62" s="26" t="n">
        <v>50</v>
      </c>
      <c r="C62" s="27"/>
      <c r="D62" s="27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30" t="n">
        <f aca="false">IFERROR(VLOOKUP(E62,$B$75:$E$101,4,FALSE()),0)+
IFERROR(VLOOKUP(F62,$B$75:$E$101,4,FALSE()),0)+
IFERROR(VLOOKUP(G62,$B$75:$E$101,4,FALSE()),0)+
IFERROR(VLOOKUP(H62,$B$75:$E$101,4,FALSE()),0)+
IFERROR(VLOOKUP(I62,$B$75:$E$101,4,FALSE()),0)+
IFERROR(VLOOKUP(J62,$B$75:$E$101,4,FALSE()),0)+
IFERROR(VLOOKUP(K62,$B$75:$E$101,4,FALSE()),0)+
IFERROR(VLOOKUP(L62,$B$75:$E$101,4,FALSE()),0)+
IFERROR(VLOOKUP(M62,$B$75:$E$101,4,FALSE()),0)+
IFERROR(VLOOKUP(N62,$B$75:$E$101,4,FALSE()),0)+
IFERROR(VLOOKUP(O62,$B$75:$E$101,4,FALSE()),0)+
IFERROR(VLOOKUP(P62,$B$75:$E$101,4,FALSE()),0)+
IFERROR(VLOOKUP(Q62,$B$75:$E$101,4,FALSE()),0)+
IFERROR(VLOOKUP(R62,$B$75:$E$101,4,FALSE()),0)+
IFERROR(VLOOKUP(S62,$B$75:$E$101,4,FALSE()),0)+
IFERROR(VLOOKUP(T62,$B$75:$E$101,4,FALSE()),0)+
IFERROR(VLOOKUP(U62,$B$75:$E$101,4,FALSE()),0)+
IFERROR(VLOOKUP(V62,$B$75:$E$101,4,FALSE()),0)+
IFERROR(VLOOKUP(W62,$B$75:$E$101,4,FALSE()),0)+
IFERROR(VLOOKUP(X62,$B$75:$E$101,4,FALSE()),0)+
IFERROR(VLOOKUP(Y62,$B$75:$E$101,4,FALSE()),0)+
IFERROR(VLOOKUP(Z62,$B$75:$E$101,4,FALSE()),0)+
IFERROR(VLOOKUP(AA62,$B$75:$E$101,4,FALSE()),0)+
IFERROR(VLOOKUP(AB62,$B$75:$E$101,4,FALSE()),0)+
IFERROR(VLOOKUP(AC62,$B$75:$E$101,4,FALSE()),0)+
IFERROR(VLOOKUP(AD62,$B$75:$E$101,4,FALSE()),0)+
IFERROR(VLOOKUP(AE62,$B$75:$E$101,4,FALSE()),0)+
IFERROR(VLOOKUP(AF62,$B$75:$E$101,4,FALSE()),0)+
IFERROR(VLOOKUP(AG62,$B$75:$E$101,4,FALSE()),0)+
IFERROR(VLOOKUP(AH62,$B$75:$E$101,4,FALSE()),0)+
IFERROR(VLOOKUP(AI62,$B$75:$E$101,4,FALSE()),0)+
IFERROR(VLOOKUP(AJ62,$B$75:$E$101,4,FALSE()),0)</f>
        <v>0</v>
      </c>
      <c r="AM62" s="31"/>
      <c r="AN62" s="31"/>
    </row>
    <row r="63" customFormat="false" ht="15.75" hidden="false" customHeight="true" outlineLevel="0" collapsed="false">
      <c r="B63" s="26" t="n">
        <v>51</v>
      </c>
      <c r="C63" s="27"/>
      <c r="D63" s="27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30" t="n">
        <f aca="false">IFERROR(VLOOKUP(E63,$B$75:$E$101,4,FALSE()),0)+
IFERROR(VLOOKUP(F63,$B$75:$E$101,4,FALSE()),0)+
IFERROR(VLOOKUP(G63,$B$75:$E$101,4,FALSE()),0)+
IFERROR(VLOOKUP(H63,$B$75:$E$101,4,FALSE()),0)+
IFERROR(VLOOKUP(I63,$B$75:$E$101,4,FALSE()),0)+
IFERROR(VLOOKUP(J63,$B$75:$E$101,4,FALSE()),0)+
IFERROR(VLOOKUP(K63,$B$75:$E$101,4,FALSE()),0)+
IFERROR(VLOOKUP(L63,$B$75:$E$101,4,FALSE()),0)+
IFERROR(VLOOKUP(M63,$B$75:$E$101,4,FALSE()),0)+
IFERROR(VLOOKUP(N63,$B$75:$E$101,4,FALSE()),0)+
IFERROR(VLOOKUP(O63,$B$75:$E$101,4,FALSE()),0)+
IFERROR(VLOOKUP(P63,$B$75:$E$101,4,FALSE()),0)+
IFERROR(VLOOKUP(Q63,$B$75:$E$101,4,FALSE()),0)+
IFERROR(VLOOKUP(R63,$B$75:$E$101,4,FALSE()),0)+
IFERROR(VLOOKUP(S63,$B$75:$E$101,4,FALSE()),0)+
IFERROR(VLOOKUP(T63,$B$75:$E$101,4,FALSE()),0)+
IFERROR(VLOOKUP(U63,$B$75:$E$101,4,FALSE()),0)+
IFERROR(VLOOKUP(V63,$B$75:$E$101,4,FALSE()),0)+
IFERROR(VLOOKUP(W63,$B$75:$E$101,4,FALSE()),0)+
IFERROR(VLOOKUP(X63,$B$75:$E$101,4,FALSE()),0)+
IFERROR(VLOOKUP(Y63,$B$75:$E$101,4,FALSE()),0)+
IFERROR(VLOOKUP(Z63,$B$75:$E$101,4,FALSE()),0)+
IFERROR(VLOOKUP(AA63,$B$75:$E$101,4,FALSE()),0)+
IFERROR(VLOOKUP(AB63,$B$75:$E$101,4,FALSE()),0)+
IFERROR(VLOOKUP(AC63,$B$75:$E$101,4,FALSE()),0)+
IFERROR(VLOOKUP(AD63,$B$75:$E$101,4,FALSE()),0)+
IFERROR(VLOOKUP(AE63,$B$75:$E$101,4,FALSE()),0)+
IFERROR(VLOOKUP(AF63,$B$75:$E$101,4,FALSE()),0)+
IFERROR(VLOOKUP(AG63,$B$75:$E$101,4,FALSE()),0)+
IFERROR(VLOOKUP(AH63,$B$75:$E$101,4,FALSE()),0)+
IFERROR(VLOOKUP(AI63,$B$75:$E$101,4,FALSE()),0)+
IFERROR(VLOOKUP(AJ63,$B$75:$E$101,4,FALSE()),0)</f>
        <v>0</v>
      </c>
      <c r="AM63" s="31"/>
      <c r="AN63" s="31"/>
    </row>
    <row r="64" customFormat="false" ht="15.75" hidden="false" customHeight="true" outlineLevel="0" collapsed="false">
      <c r="B64" s="26" t="n">
        <v>52</v>
      </c>
      <c r="C64" s="27"/>
      <c r="D64" s="27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30" t="n">
        <f aca="false">IFERROR(VLOOKUP(E64,$B$75:$E$101,4,FALSE()),0)+
IFERROR(VLOOKUP(F64,$B$75:$E$101,4,FALSE()),0)+
IFERROR(VLOOKUP(G64,$B$75:$E$101,4,FALSE()),0)+
IFERROR(VLOOKUP(H64,$B$75:$E$101,4,FALSE()),0)+
IFERROR(VLOOKUP(I64,$B$75:$E$101,4,FALSE()),0)+
IFERROR(VLOOKUP(J64,$B$75:$E$101,4,FALSE()),0)+
IFERROR(VLOOKUP(K64,$B$75:$E$101,4,FALSE()),0)+
IFERROR(VLOOKUP(L64,$B$75:$E$101,4,FALSE()),0)+
IFERROR(VLOOKUP(M64,$B$75:$E$101,4,FALSE()),0)+
IFERROR(VLOOKUP(N64,$B$75:$E$101,4,FALSE()),0)+
IFERROR(VLOOKUP(O64,$B$75:$E$101,4,FALSE()),0)+
IFERROR(VLOOKUP(P64,$B$75:$E$101,4,FALSE()),0)+
IFERROR(VLOOKUP(Q64,$B$75:$E$101,4,FALSE()),0)+
IFERROR(VLOOKUP(R64,$B$75:$E$101,4,FALSE()),0)+
IFERROR(VLOOKUP(S64,$B$75:$E$101,4,FALSE()),0)+
IFERROR(VLOOKUP(T64,$B$75:$E$101,4,FALSE()),0)+
IFERROR(VLOOKUP(U64,$B$75:$E$101,4,FALSE()),0)+
IFERROR(VLOOKUP(V64,$B$75:$E$101,4,FALSE()),0)+
IFERROR(VLOOKUP(W64,$B$75:$E$101,4,FALSE()),0)+
IFERROR(VLOOKUP(X64,$B$75:$E$101,4,FALSE()),0)+
IFERROR(VLOOKUP(Y64,$B$75:$E$101,4,FALSE()),0)+
IFERROR(VLOOKUP(Z64,$B$75:$E$101,4,FALSE()),0)+
IFERROR(VLOOKUP(AA64,$B$75:$E$101,4,FALSE()),0)+
IFERROR(VLOOKUP(AB64,$B$75:$E$101,4,FALSE()),0)+
IFERROR(VLOOKUP(AC64,$B$75:$E$101,4,FALSE()),0)+
IFERROR(VLOOKUP(AD64,$B$75:$E$101,4,FALSE()),0)+
IFERROR(VLOOKUP(AE64,$B$75:$E$101,4,FALSE()),0)+
IFERROR(VLOOKUP(AF64,$B$75:$E$101,4,FALSE()),0)+
IFERROR(VLOOKUP(AG64,$B$75:$E$101,4,FALSE()),0)+
IFERROR(VLOOKUP(AH64,$B$75:$E$101,4,FALSE()),0)+
IFERROR(VLOOKUP(AI64,$B$75:$E$101,4,FALSE()),0)+
IFERROR(VLOOKUP(AJ64,$B$75:$E$101,4,FALSE()),0)</f>
        <v>0</v>
      </c>
      <c r="AM64" s="31"/>
      <c r="AN64" s="31"/>
    </row>
    <row r="65" customFormat="false" ht="15.75" hidden="false" customHeight="true" outlineLevel="0" collapsed="false">
      <c r="B65" s="26" t="n">
        <v>53</v>
      </c>
      <c r="C65" s="27"/>
      <c r="D65" s="27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30" t="n">
        <f aca="false">IFERROR(VLOOKUP(E65,$B$75:$E$101,4,FALSE()),0)+
IFERROR(VLOOKUP(F65,$B$75:$E$101,4,FALSE()),0)+
IFERROR(VLOOKUP(G65,$B$75:$E$101,4,FALSE()),0)+
IFERROR(VLOOKUP(H65,$B$75:$E$101,4,FALSE()),0)+
IFERROR(VLOOKUP(I65,$B$75:$E$101,4,FALSE()),0)+
IFERROR(VLOOKUP(J65,$B$75:$E$101,4,FALSE()),0)+
IFERROR(VLOOKUP(K65,$B$75:$E$101,4,FALSE()),0)+
IFERROR(VLOOKUP(L65,$B$75:$E$101,4,FALSE()),0)+
IFERROR(VLOOKUP(M65,$B$75:$E$101,4,FALSE()),0)+
IFERROR(VLOOKUP(N65,$B$75:$E$101,4,FALSE()),0)+
IFERROR(VLOOKUP(O65,$B$75:$E$101,4,FALSE()),0)+
IFERROR(VLOOKUP(P65,$B$75:$E$101,4,FALSE()),0)+
IFERROR(VLOOKUP(Q65,$B$75:$E$101,4,FALSE()),0)+
IFERROR(VLOOKUP(R65,$B$75:$E$101,4,FALSE()),0)+
IFERROR(VLOOKUP(S65,$B$75:$E$101,4,FALSE()),0)+
IFERROR(VLOOKUP(T65,$B$75:$E$101,4,FALSE()),0)+
IFERROR(VLOOKUP(U65,$B$75:$E$101,4,FALSE()),0)+
IFERROR(VLOOKUP(V65,$B$75:$E$101,4,FALSE()),0)+
IFERROR(VLOOKUP(W65,$B$75:$E$101,4,FALSE()),0)+
IFERROR(VLOOKUP(X65,$B$75:$E$101,4,FALSE()),0)+
IFERROR(VLOOKUP(Y65,$B$75:$E$101,4,FALSE()),0)+
IFERROR(VLOOKUP(Z65,$B$75:$E$101,4,FALSE()),0)+
IFERROR(VLOOKUP(AA65,$B$75:$E$101,4,FALSE()),0)+
IFERROR(VLOOKUP(AB65,$B$75:$E$101,4,FALSE()),0)+
IFERROR(VLOOKUP(AC65,$B$75:$E$101,4,FALSE()),0)+
IFERROR(VLOOKUP(AD65,$B$75:$E$101,4,FALSE()),0)+
IFERROR(VLOOKUP(AE65,$B$75:$E$101,4,FALSE()),0)+
IFERROR(VLOOKUP(AF65,$B$75:$E$101,4,FALSE()),0)+
IFERROR(VLOOKUP(AG65,$B$75:$E$101,4,FALSE()),0)+
IFERROR(VLOOKUP(AH65,$B$75:$E$101,4,FALSE()),0)+
IFERROR(VLOOKUP(AI65,$B$75:$E$101,4,FALSE()),0)+
IFERROR(VLOOKUP(AJ65,$B$75:$E$101,4,FALSE()),0)</f>
        <v>0</v>
      </c>
      <c r="AM65" s="31"/>
      <c r="AN65" s="31"/>
    </row>
    <row r="66" customFormat="false" ht="15.75" hidden="false" customHeight="true" outlineLevel="0" collapsed="false">
      <c r="B66" s="26" t="n">
        <v>54</v>
      </c>
      <c r="C66" s="27"/>
      <c r="D66" s="27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30" t="n">
        <f aca="false">IFERROR(VLOOKUP(E66,$B$75:$E$101,4,FALSE()),0)+
IFERROR(VLOOKUP(F66,$B$75:$E$101,4,FALSE()),0)+
IFERROR(VLOOKUP(G66,$B$75:$E$101,4,FALSE()),0)+
IFERROR(VLOOKUP(H66,$B$75:$E$101,4,FALSE()),0)+
IFERROR(VLOOKUP(I66,$B$75:$E$101,4,FALSE()),0)+
IFERROR(VLOOKUP(J66,$B$75:$E$101,4,FALSE()),0)+
IFERROR(VLOOKUP(K66,$B$75:$E$101,4,FALSE()),0)+
IFERROR(VLOOKUP(L66,$B$75:$E$101,4,FALSE()),0)+
IFERROR(VLOOKUP(M66,$B$75:$E$101,4,FALSE()),0)+
IFERROR(VLOOKUP(N66,$B$75:$E$101,4,FALSE()),0)+
IFERROR(VLOOKUP(O66,$B$75:$E$101,4,FALSE()),0)+
IFERROR(VLOOKUP(P66,$B$75:$E$101,4,FALSE()),0)+
IFERROR(VLOOKUP(Q66,$B$75:$E$101,4,FALSE()),0)+
IFERROR(VLOOKUP(R66,$B$75:$E$101,4,FALSE()),0)+
IFERROR(VLOOKUP(S66,$B$75:$E$101,4,FALSE()),0)+
IFERROR(VLOOKUP(T66,$B$75:$E$101,4,FALSE()),0)+
IFERROR(VLOOKUP(U66,$B$75:$E$101,4,FALSE()),0)+
IFERROR(VLOOKUP(V66,$B$75:$E$101,4,FALSE()),0)+
IFERROR(VLOOKUP(W66,$B$75:$E$101,4,FALSE()),0)+
IFERROR(VLOOKUP(X66,$B$75:$E$101,4,FALSE()),0)+
IFERROR(VLOOKUP(Y66,$B$75:$E$101,4,FALSE()),0)+
IFERROR(VLOOKUP(Z66,$B$75:$E$101,4,FALSE()),0)+
IFERROR(VLOOKUP(AA66,$B$75:$E$101,4,FALSE()),0)+
IFERROR(VLOOKUP(AB66,$B$75:$E$101,4,FALSE()),0)+
IFERROR(VLOOKUP(AC66,$B$75:$E$101,4,FALSE()),0)+
IFERROR(VLOOKUP(AD66,$B$75:$E$101,4,FALSE()),0)+
IFERROR(VLOOKUP(AE66,$B$75:$E$101,4,FALSE()),0)+
IFERROR(VLOOKUP(AF66,$B$75:$E$101,4,FALSE()),0)+
IFERROR(VLOOKUP(AG66,$B$75:$E$101,4,FALSE()),0)+
IFERROR(VLOOKUP(AH66,$B$75:$E$101,4,FALSE()),0)+
IFERROR(VLOOKUP(AI66,$B$75:$E$101,4,FALSE()),0)+
IFERROR(VLOOKUP(AJ66,$B$75:$E$101,4,FALSE()),0)</f>
        <v>0</v>
      </c>
      <c r="AM66" s="31"/>
      <c r="AN66" s="31"/>
    </row>
    <row r="67" customFormat="false" ht="15.75" hidden="false" customHeight="true" outlineLevel="0" collapsed="false">
      <c r="B67" s="26" t="n">
        <v>55</v>
      </c>
      <c r="C67" s="27"/>
      <c r="D67" s="27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30" t="n">
        <f aca="false">IFERROR(VLOOKUP(E67,$B$75:$E$101,4,FALSE()),0)+
IFERROR(VLOOKUP(F67,$B$75:$E$101,4,FALSE()),0)+
IFERROR(VLOOKUP(G67,$B$75:$E$101,4,FALSE()),0)+
IFERROR(VLOOKUP(H67,$B$75:$E$101,4,FALSE()),0)+
IFERROR(VLOOKUP(I67,$B$75:$E$101,4,FALSE()),0)+
IFERROR(VLOOKUP(J67,$B$75:$E$101,4,FALSE()),0)+
IFERROR(VLOOKUP(K67,$B$75:$E$101,4,FALSE()),0)+
IFERROR(VLOOKUP(L67,$B$75:$E$101,4,FALSE()),0)+
IFERROR(VLOOKUP(M67,$B$75:$E$101,4,FALSE()),0)+
IFERROR(VLOOKUP(N67,$B$75:$E$101,4,FALSE()),0)+
IFERROR(VLOOKUP(O67,$B$75:$E$101,4,FALSE()),0)+
IFERROR(VLOOKUP(P67,$B$75:$E$101,4,FALSE()),0)+
IFERROR(VLOOKUP(Q67,$B$75:$E$101,4,FALSE()),0)+
IFERROR(VLOOKUP(R67,$B$75:$E$101,4,FALSE()),0)+
IFERROR(VLOOKUP(S67,$B$75:$E$101,4,FALSE()),0)+
IFERROR(VLOOKUP(T67,$B$75:$E$101,4,FALSE()),0)+
IFERROR(VLOOKUP(U67,$B$75:$E$101,4,FALSE()),0)+
IFERROR(VLOOKUP(V67,$B$75:$E$101,4,FALSE()),0)+
IFERROR(VLOOKUP(W67,$B$75:$E$101,4,FALSE()),0)+
IFERROR(VLOOKUP(X67,$B$75:$E$101,4,FALSE()),0)+
IFERROR(VLOOKUP(Y67,$B$75:$E$101,4,FALSE()),0)+
IFERROR(VLOOKUP(Z67,$B$75:$E$101,4,FALSE()),0)+
IFERROR(VLOOKUP(AA67,$B$75:$E$101,4,FALSE()),0)+
IFERROR(VLOOKUP(AB67,$B$75:$E$101,4,FALSE()),0)+
IFERROR(VLOOKUP(AC67,$B$75:$E$101,4,FALSE()),0)+
IFERROR(VLOOKUP(AD67,$B$75:$E$101,4,FALSE()),0)+
IFERROR(VLOOKUP(AE67,$B$75:$E$101,4,FALSE()),0)+
IFERROR(VLOOKUP(AF67,$B$75:$E$101,4,FALSE()),0)+
IFERROR(VLOOKUP(AG67,$B$75:$E$101,4,FALSE()),0)+
IFERROR(VLOOKUP(AH67,$B$75:$E$101,4,FALSE()),0)+
IFERROR(VLOOKUP(AI67,$B$75:$E$101,4,FALSE()),0)+
IFERROR(VLOOKUP(AJ67,$B$75:$E$101,4,FALSE()),0)</f>
        <v>0</v>
      </c>
      <c r="AM67" s="31"/>
      <c r="AN67" s="31"/>
    </row>
    <row r="68" customFormat="false" ht="15.75" hidden="false" customHeight="true" outlineLevel="0" collapsed="false">
      <c r="B68" s="26" t="n">
        <v>56</v>
      </c>
      <c r="C68" s="27"/>
      <c r="D68" s="27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30" t="n">
        <f aca="false">IFERROR(VLOOKUP(E68,$B$75:$E$101,4,FALSE()),0)+
IFERROR(VLOOKUP(F68,$B$75:$E$101,4,FALSE()),0)+
IFERROR(VLOOKUP(G68,$B$75:$E$101,4,FALSE()),0)+
IFERROR(VLOOKUP(H68,$B$75:$E$101,4,FALSE()),0)+
IFERROR(VLOOKUP(I68,$B$75:$E$101,4,FALSE()),0)+
IFERROR(VLOOKUP(J68,$B$75:$E$101,4,FALSE()),0)+
IFERROR(VLOOKUP(K68,$B$75:$E$101,4,FALSE()),0)+
IFERROR(VLOOKUP(L68,$B$75:$E$101,4,FALSE()),0)+
IFERROR(VLOOKUP(M68,$B$75:$E$101,4,FALSE()),0)+
IFERROR(VLOOKUP(N68,$B$75:$E$101,4,FALSE()),0)+
IFERROR(VLOOKUP(O68,$B$75:$E$101,4,FALSE()),0)+
IFERROR(VLOOKUP(P68,$B$75:$E$101,4,FALSE()),0)+
IFERROR(VLOOKUP(Q68,$B$75:$E$101,4,FALSE()),0)+
IFERROR(VLOOKUP(R68,$B$75:$E$101,4,FALSE()),0)+
IFERROR(VLOOKUP(S68,$B$75:$E$101,4,FALSE()),0)+
IFERROR(VLOOKUP(T68,$B$75:$E$101,4,FALSE()),0)+
IFERROR(VLOOKUP(U68,$B$75:$E$101,4,FALSE()),0)+
IFERROR(VLOOKUP(V68,$B$75:$E$101,4,FALSE()),0)+
IFERROR(VLOOKUP(W68,$B$75:$E$101,4,FALSE()),0)+
IFERROR(VLOOKUP(X68,$B$75:$E$101,4,FALSE()),0)+
IFERROR(VLOOKUP(Y68,$B$75:$E$101,4,FALSE()),0)+
IFERROR(VLOOKUP(Z68,$B$75:$E$101,4,FALSE()),0)+
IFERROR(VLOOKUP(AA68,$B$75:$E$101,4,FALSE()),0)+
IFERROR(VLOOKUP(AB68,$B$75:$E$101,4,FALSE()),0)+
IFERROR(VLOOKUP(AC68,$B$75:$E$101,4,FALSE()),0)+
IFERROR(VLOOKUP(AD68,$B$75:$E$101,4,FALSE()),0)+
IFERROR(VLOOKUP(AE68,$B$75:$E$101,4,FALSE()),0)+
IFERROR(VLOOKUP(AF68,$B$75:$E$101,4,FALSE()),0)+
IFERROR(VLOOKUP(AG68,$B$75:$E$101,4,FALSE()),0)+
IFERROR(VLOOKUP(AH68,$B$75:$E$101,4,FALSE()),0)+
IFERROR(VLOOKUP(AI68,$B$75:$E$101,4,FALSE()),0)+
IFERROR(VLOOKUP(AJ68,$B$75:$E$101,4,FALSE()),0)</f>
        <v>0</v>
      </c>
      <c r="AM68" s="31"/>
      <c r="AN68" s="31"/>
    </row>
    <row r="69" customFormat="false" ht="15.75" hidden="false" customHeight="true" outlineLevel="0" collapsed="false">
      <c r="B69" s="26" t="n">
        <v>57</v>
      </c>
      <c r="C69" s="27"/>
      <c r="D69" s="27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30" t="n">
        <f aca="false">IFERROR(VLOOKUP(E69,$B$75:$E$101,4,FALSE()),0)+
IFERROR(VLOOKUP(F69,$B$75:$E$101,4,FALSE()),0)+
IFERROR(VLOOKUP(G69,$B$75:$E$101,4,FALSE()),0)+
IFERROR(VLOOKUP(H69,$B$75:$E$101,4,FALSE()),0)+
IFERROR(VLOOKUP(I69,$B$75:$E$101,4,FALSE()),0)+
IFERROR(VLOOKUP(J69,$B$75:$E$101,4,FALSE()),0)+
IFERROR(VLOOKUP(K69,$B$75:$E$101,4,FALSE()),0)+
IFERROR(VLOOKUP(L69,$B$75:$E$101,4,FALSE()),0)+
IFERROR(VLOOKUP(M69,$B$75:$E$101,4,FALSE()),0)+
IFERROR(VLOOKUP(N69,$B$75:$E$101,4,FALSE()),0)+
IFERROR(VLOOKUP(O69,$B$75:$E$101,4,FALSE()),0)+
IFERROR(VLOOKUP(P69,$B$75:$E$101,4,FALSE()),0)+
IFERROR(VLOOKUP(Q69,$B$75:$E$101,4,FALSE()),0)+
IFERROR(VLOOKUP(R69,$B$75:$E$101,4,FALSE()),0)+
IFERROR(VLOOKUP(S69,$B$75:$E$101,4,FALSE()),0)+
IFERROR(VLOOKUP(T69,$B$75:$E$101,4,FALSE()),0)+
IFERROR(VLOOKUP(U69,$B$75:$E$101,4,FALSE()),0)+
IFERROR(VLOOKUP(V69,$B$75:$E$101,4,FALSE()),0)+
IFERROR(VLOOKUP(W69,$B$75:$E$101,4,FALSE()),0)+
IFERROR(VLOOKUP(X69,$B$75:$E$101,4,FALSE()),0)+
IFERROR(VLOOKUP(Y69,$B$75:$E$101,4,FALSE()),0)+
IFERROR(VLOOKUP(Z69,$B$75:$E$101,4,FALSE()),0)+
IFERROR(VLOOKUP(AA69,$B$75:$E$101,4,FALSE()),0)+
IFERROR(VLOOKUP(AB69,$B$75:$E$101,4,FALSE()),0)+
IFERROR(VLOOKUP(AC69,$B$75:$E$101,4,FALSE()),0)+
IFERROR(VLOOKUP(AD69,$B$75:$E$101,4,FALSE()),0)+
IFERROR(VLOOKUP(AE69,$B$75:$E$101,4,FALSE()),0)+
IFERROR(VLOOKUP(AF69,$B$75:$E$101,4,FALSE()),0)+
IFERROR(VLOOKUP(AG69,$B$75:$E$101,4,FALSE()),0)+
IFERROR(VLOOKUP(AH69,$B$75:$E$101,4,FALSE()),0)+
IFERROR(VLOOKUP(AI69,$B$75:$E$101,4,FALSE()),0)+
IFERROR(VLOOKUP(AJ69,$B$75:$E$101,4,FALSE()),0)</f>
        <v>0</v>
      </c>
      <c r="AM69" s="31"/>
      <c r="AN69" s="31"/>
    </row>
    <row r="70" customFormat="false" ht="15.75" hidden="false" customHeight="true" outlineLevel="0" collapsed="false">
      <c r="B70" s="26" t="n">
        <v>58</v>
      </c>
      <c r="C70" s="27"/>
      <c r="D70" s="27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30" t="n">
        <f aca="false">IFERROR(VLOOKUP(E70,$B$75:$E$101,4,FALSE()),0)+
IFERROR(VLOOKUP(F70,$B$75:$E$101,4,FALSE()),0)+
IFERROR(VLOOKUP(G70,$B$75:$E$101,4,FALSE()),0)+
IFERROR(VLOOKUP(H70,$B$75:$E$101,4,FALSE()),0)+
IFERROR(VLOOKUP(I70,$B$75:$E$101,4,FALSE()),0)+
IFERROR(VLOOKUP(J70,$B$75:$E$101,4,FALSE()),0)+
IFERROR(VLOOKUP(K70,$B$75:$E$101,4,FALSE()),0)+
IFERROR(VLOOKUP(L70,$B$75:$E$101,4,FALSE()),0)+
IFERROR(VLOOKUP(M70,$B$75:$E$101,4,FALSE()),0)+
IFERROR(VLOOKUP(N70,$B$75:$E$101,4,FALSE()),0)+
IFERROR(VLOOKUP(O70,$B$75:$E$101,4,FALSE()),0)+
IFERROR(VLOOKUP(P70,$B$75:$E$101,4,FALSE()),0)+
IFERROR(VLOOKUP(Q70,$B$75:$E$101,4,FALSE()),0)+
IFERROR(VLOOKUP(R70,$B$75:$E$101,4,FALSE()),0)+
IFERROR(VLOOKUP(S70,$B$75:$E$101,4,FALSE()),0)+
IFERROR(VLOOKUP(T70,$B$75:$E$101,4,FALSE()),0)+
IFERROR(VLOOKUP(U70,$B$75:$E$101,4,FALSE()),0)+
IFERROR(VLOOKUP(V70,$B$75:$E$101,4,FALSE()),0)+
IFERROR(VLOOKUP(W70,$B$75:$E$101,4,FALSE()),0)+
IFERROR(VLOOKUP(X70,$B$75:$E$101,4,FALSE()),0)+
IFERROR(VLOOKUP(Y70,$B$75:$E$101,4,FALSE()),0)+
IFERROR(VLOOKUP(Z70,$B$75:$E$101,4,FALSE()),0)+
IFERROR(VLOOKUP(AA70,$B$75:$E$101,4,FALSE()),0)+
IFERROR(VLOOKUP(AB70,$B$75:$E$101,4,FALSE()),0)+
IFERROR(VLOOKUP(AC70,$B$75:$E$101,4,FALSE()),0)+
IFERROR(VLOOKUP(AD70,$B$75:$E$101,4,FALSE()),0)+
IFERROR(VLOOKUP(AE70,$B$75:$E$101,4,FALSE()),0)+
IFERROR(VLOOKUP(AF70,$B$75:$E$101,4,FALSE()),0)+
IFERROR(VLOOKUP(AG70,$B$75:$E$101,4,FALSE()),0)+
IFERROR(VLOOKUP(AH70,$B$75:$E$101,4,FALSE()),0)+
IFERROR(VLOOKUP(AI70,$B$75:$E$101,4,FALSE()),0)+
IFERROR(VLOOKUP(AJ70,$B$75:$E$101,4,FALSE()),0)</f>
        <v>0</v>
      </c>
      <c r="AM70" s="31"/>
      <c r="AN70" s="31"/>
    </row>
    <row r="71" customFormat="false" ht="15.75" hidden="false" customHeight="true" outlineLevel="0" collapsed="false">
      <c r="B71" s="32" t="n">
        <v>59</v>
      </c>
      <c r="C71" s="33"/>
      <c r="D71" s="33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30" t="n">
        <f aca="false">IFERROR(VLOOKUP(E71,$B$75:$E$101,4,FALSE()),0)+
IFERROR(VLOOKUP(F71,$B$75:$E$101,4,FALSE()),0)+
IFERROR(VLOOKUP(G71,$B$75:$E$101,4,FALSE()),0)+
IFERROR(VLOOKUP(H71,$B$75:$E$101,4,FALSE()),0)+
IFERROR(VLOOKUP(I71,$B$75:$E$101,4,FALSE()),0)+
IFERROR(VLOOKUP(J71,$B$75:$E$101,4,FALSE()),0)+
IFERROR(VLOOKUP(K71,$B$75:$E$101,4,FALSE()),0)+
IFERROR(VLOOKUP(L71,$B$75:$E$101,4,FALSE()),0)+
IFERROR(VLOOKUP(M71,$B$75:$E$101,4,FALSE()),0)+
IFERROR(VLOOKUP(N71,$B$75:$E$101,4,FALSE()),0)+
IFERROR(VLOOKUP(O71,$B$75:$E$101,4,FALSE()),0)+
IFERROR(VLOOKUP(P71,$B$75:$E$101,4,FALSE()),0)+
IFERROR(VLOOKUP(Q71,$B$75:$E$101,4,FALSE()),0)+
IFERROR(VLOOKUP(R71,$B$75:$E$101,4,FALSE()),0)+
IFERROR(VLOOKUP(S71,$B$75:$E$101,4,FALSE()),0)+
IFERROR(VLOOKUP(T71,$B$75:$E$101,4,FALSE()),0)+
IFERROR(VLOOKUP(U71,$B$75:$E$101,4,FALSE()),0)+
IFERROR(VLOOKUP(V71,$B$75:$E$101,4,FALSE()),0)+
IFERROR(VLOOKUP(W71,$B$75:$E$101,4,FALSE()),0)+
IFERROR(VLOOKUP(X71,$B$75:$E$101,4,FALSE()),0)+
IFERROR(VLOOKUP(Y71,$B$75:$E$101,4,FALSE()),0)+
IFERROR(VLOOKUP(Z71,$B$75:$E$101,4,FALSE()),0)+
IFERROR(VLOOKUP(AA71,$B$75:$E$101,4,FALSE()),0)+
IFERROR(VLOOKUP(AB71,$B$75:$E$101,4,FALSE()),0)+
IFERROR(VLOOKUP(AC71,$B$75:$E$101,4,FALSE()),0)+
IFERROR(VLOOKUP(AD71,$B$75:$E$101,4,FALSE()),0)+
IFERROR(VLOOKUP(AE71,$B$75:$E$101,4,FALSE()),0)+
IFERROR(VLOOKUP(AF71,$B$75:$E$101,4,FALSE()),0)+
IFERROR(VLOOKUP(AG71,$B$75:$E$101,4,FALSE()),0)+
IFERROR(VLOOKUP(AH71,$B$75:$E$101,4,FALSE()),0)+
IFERROR(VLOOKUP(AI71,$B$75:$E$101,4,FALSE()),0)+
IFERROR(VLOOKUP(AJ71,$B$75:$E$101,4,FALSE()),0)</f>
        <v>0</v>
      </c>
      <c r="AM71" s="31"/>
      <c r="AN71" s="31"/>
    </row>
    <row r="72" customFormat="false" ht="15.75" hidden="false" customHeight="true" outlineLevel="0" collapsed="false">
      <c r="B72" s="26" t="n">
        <v>60</v>
      </c>
      <c r="C72" s="27"/>
      <c r="D72" s="27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0" t="n">
        <f aca="false">IFERROR(VLOOKUP(E72,$B$75:$E$101,4,FALSE()),0)+
IFERROR(VLOOKUP(F72,$B$75:$E$101,4,FALSE()),0)+
IFERROR(VLOOKUP(G72,$B$75:$E$101,4,FALSE()),0)+
IFERROR(VLOOKUP(H72,$B$75:$E$101,4,FALSE()),0)+
IFERROR(VLOOKUP(I72,$B$75:$E$101,4,FALSE()),0)+
IFERROR(VLOOKUP(J72,$B$75:$E$101,4,FALSE()),0)+
IFERROR(VLOOKUP(K72,$B$75:$E$101,4,FALSE()),0)+
IFERROR(VLOOKUP(L72,$B$75:$E$101,4,FALSE()),0)+
IFERROR(VLOOKUP(M72,$B$75:$E$101,4,FALSE()),0)+
IFERROR(VLOOKUP(N72,$B$75:$E$101,4,FALSE()),0)+
IFERROR(VLOOKUP(O72,$B$75:$E$101,4,FALSE()),0)+
IFERROR(VLOOKUP(P72,$B$75:$E$101,4,FALSE()),0)+
IFERROR(VLOOKUP(Q72,$B$75:$E$101,4,FALSE()),0)+
IFERROR(VLOOKUP(R72,$B$75:$E$101,4,FALSE()),0)+
IFERROR(VLOOKUP(S72,$B$75:$E$101,4,FALSE()),0)+
IFERROR(VLOOKUP(T72,$B$75:$E$101,4,FALSE()),0)+
IFERROR(VLOOKUP(U72,$B$75:$E$101,4,FALSE()),0)+
IFERROR(VLOOKUP(V72,$B$75:$E$101,4,FALSE()),0)+
IFERROR(VLOOKUP(W72,$B$75:$E$101,4,FALSE()),0)+
IFERROR(VLOOKUP(X72,$B$75:$E$101,4,FALSE()),0)+
IFERROR(VLOOKUP(Y72,$B$75:$E$101,4,FALSE()),0)+
IFERROR(VLOOKUP(Z72,$B$75:$E$101,4,FALSE()),0)+
IFERROR(VLOOKUP(AA72,$B$75:$E$101,4,FALSE()),0)+
IFERROR(VLOOKUP(AB72,$B$75:$E$101,4,FALSE()),0)+
IFERROR(VLOOKUP(AC72,$B$75:$E$101,4,FALSE()),0)+
IFERROR(VLOOKUP(AD72,$B$75:$E$101,4,FALSE()),0)+
IFERROR(VLOOKUP(AE72,$B$75:$E$101,4,FALSE()),0)+
IFERROR(VLOOKUP(AF72,$B$75:$E$101,4,FALSE()),0)+
IFERROR(VLOOKUP(AG72,$B$75:$E$101,4,FALSE()),0)+
IFERROR(VLOOKUP(AH72,$B$75:$E$101,4,FALSE()),0)+
IFERROR(VLOOKUP(AI72,$B$75:$E$101,4,FALSE()),0)+
IFERROR(VLOOKUP(AJ72,$B$75:$E$101,4,FALSE()),0)</f>
        <v>0</v>
      </c>
      <c r="AM72" s="31"/>
      <c r="AN72" s="31"/>
    </row>
    <row r="73" customFormat="false" ht="16.5" hidden="false" customHeight="true" outlineLevel="0" collapsed="false">
      <c r="K73" s="35" t="s">
        <v>39</v>
      </c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</row>
    <row r="74" customFormat="false" ht="14.25" hidden="false" customHeight="false" outlineLevel="0" collapsed="false">
      <c r="B74" s="36" t="s">
        <v>40</v>
      </c>
      <c r="C74" s="37" t="s">
        <v>41</v>
      </c>
      <c r="D74" s="38" t="s">
        <v>41</v>
      </c>
      <c r="E74" s="37" t="s">
        <v>42</v>
      </c>
      <c r="F74" s="37"/>
      <c r="G74" s="37" t="s">
        <v>43</v>
      </c>
      <c r="H74" s="37"/>
      <c r="I74" s="37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</row>
    <row r="75" customFormat="false" ht="41.25" hidden="false" customHeight="true" outlineLevel="0" collapsed="false">
      <c r="B75" s="40" t="s">
        <v>44</v>
      </c>
      <c r="C75" s="41" t="s">
        <v>45</v>
      </c>
      <c r="D75" s="42" t="n">
        <v>9.5</v>
      </c>
      <c r="E75" s="43" t="n">
        <v>9.5</v>
      </c>
      <c r="F75" s="43"/>
      <c r="G75" s="43" t="s">
        <v>46</v>
      </c>
      <c r="H75" s="43"/>
      <c r="I75" s="43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</row>
    <row r="76" customFormat="false" ht="41.25" hidden="false" customHeight="true" outlineLevel="0" collapsed="false">
      <c r="B76" s="40" t="s">
        <v>47</v>
      </c>
      <c r="C76" s="41" t="s">
        <v>48</v>
      </c>
      <c r="D76" s="42" t="s">
        <v>49</v>
      </c>
      <c r="E76" s="43" t="n">
        <v>13</v>
      </c>
      <c r="F76" s="43"/>
      <c r="G76" s="43" t="s">
        <v>50</v>
      </c>
      <c r="H76" s="43"/>
      <c r="I76" s="43"/>
      <c r="U76" s="45"/>
      <c r="V76" s="45"/>
      <c r="W76" s="45"/>
      <c r="X76" s="45"/>
      <c r="Y76" s="46"/>
      <c r="Z76" s="46"/>
    </row>
    <row r="77" customFormat="false" ht="41.25" hidden="false" customHeight="true" outlineLevel="0" collapsed="false">
      <c r="B77" s="40" t="s">
        <v>51</v>
      </c>
      <c r="C77" s="41" t="s">
        <v>52</v>
      </c>
      <c r="D77" s="42" t="n">
        <v>8</v>
      </c>
      <c r="E77" s="43" t="n">
        <v>8</v>
      </c>
      <c r="F77" s="43"/>
      <c r="G77" s="43" t="s">
        <v>53</v>
      </c>
      <c r="H77" s="43"/>
      <c r="I77" s="43"/>
      <c r="U77" s="47" t="s">
        <v>54</v>
      </c>
      <c r="V77" s="47"/>
      <c r="W77" s="47"/>
      <c r="X77" s="47"/>
      <c r="Y77" s="47"/>
      <c r="Z77" s="47"/>
    </row>
    <row r="78" customFormat="false" ht="41.25" hidden="false" customHeight="true" outlineLevel="0" collapsed="false">
      <c r="B78" s="40" t="s">
        <v>55</v>
      </c>
      <c r="C78" s="41" t="s">
        <v>56</v>
      </c>
      <c r="D78" s="42" t="n">
        <v>6</v>
      </c>
      <c r="E78" s="43" t="n">
        <v>6</v>
      </c>
      <c r="F78" s="43"/>
      <c r="G78" s="43" t="s">
        <v>57</v>
      </c>
      <c r="H78" s="43"/>
      <c r="I78" s="43"/>
      <c r="U78" s="48"/>
      <c r="V78" s="49"/>
      <c r="W78" s="50"/>
    </row>
    <row r="79" customFormat="false" ht="41.25" hidden="false" customHeight="true" outlineLevel="0" collapsed="false">
      <c r="B79" s="40" t="s">
        <v>58</v>
      </c>
      <c r="C79" s="41" t="s">
        <v>59</v>
      </c>
      <c r="D79" s="42" t="s">
        <v>60</v>
      </c>
      <c r="E79" s="43" t="n">
        <v>13</v>
      </c>
      <c r="F79" s="43"/>
      <c r="G79" s="43" t="s">
        <v>61</v>
      </c>
      <c r="H79" s="43"/>
      <c r="I79" s="43"/>
    </row>
    <row r="80" customFormat="false" ht="41.25" hidden="false" customHeight="true" outlineLevel="0" collapsed="false">
      <c r="B80" s="40" t="s">
        <v>32</v>
      </c>
      <c r="C80" s="41" t="s">
        <v>62</v>
      </c>
      <c r="D80" s="42" t="n">
        <v>12</v>
      </c>
      <c r="E80" s="43" t="n">
        <v>12</v>
      </c>
      <c r="F80" s="43"/>
      <c r="G80" s="43" t="s">
        <v>63</v>
      </c>
      <c r="H80" s="43"/>
      <c r="I80" s="43"/>
    </row>
    <row r="81" customFormat="false" ht="41.25" hidden="false" customHeight="true" outlineLevel="0" collapsed="false">
      <c r="B81" s="40" t="s">
        <v>64</v>
      </c>
      <c r="C81" s="41" t="s">
        <v>65</v>
      </c>
      <c r="D81" s="42" t="n">
        <v>6</v>
      </c>
      <c r="E81" s="43" t="n">
        <v>6</v>
      </c>
      <c r="F81" s="43"/>
      <c r="G81" s="43" t="s">
        <v>63</v>
      </c>
      <c r="H81" s="43"/>
      <c r="I81" s="43"/>
    </row>
    <row r="82" customFormat="false" ht="41.25" hidden="false" customHeight="true" outlineLevel="0" collapsed="false">
      <c r="B82" s="40" t="s">
        <v>66</v>
      </c>
      <c r="C82" s="41" t="s">
        <v>56</v>
      </c>
      <c r="D82" s="42" t="n">
        <v>6</v>
      </c>
      <c r="E82" s="43" t="n">
        <v>6</v>
      </c>
      <c r="F82" s="43"/>
      <c r="G82" s="43" t="s">
        <v>63</v>
      </c>
      <c r="H82" s="43"/>
      <c r="I82" s="43"/>
    </row>
    <row r="83" customFormat="false" ht="41.25" hidden="false" customHeight="true" outlineLevel="0" collapsed="false">
      <c r="B83" s="40" t="s">
        <v>31</v>
      </c>
      <c r="C83" s="41" t="s">
        <v>56</v>
      </c>
      <c r="D83" s="42" t="n">
        <v>6</v>
      </c>
      <c r="E83" s="43" t="n">
        <v>6</v>
      </c>
      <c r="F83" s="43"/>
      <c r="G83" s="43" t="s">
        <v>67</v>
      </c>
      <c r="H83" s="43"/>
      <c r="I83" s="43"/>
    </row>
    <row r="84" customFormat="false" ht="41.25" hidden="false" customHeight="true" outlineLevel="0" collapsed="false">
      <c r="B84" s="40" t="s">
        <v>68</v>
      </c>
      <c r="C84" s="41" t="s">
        <v>69</v>
      </c>
      <c r="D84" s="42" t="s">
        <v>49</v>
      </c>
      <c r="E84" s="43" t="n">
        <v>13</v>
      </c>
      <c r="F84" s="43"/>
      <c r="G84" s="43" t="s">
        <v>70</v>
      </c>
      <c r="H84" s="43"/>
      <c r="I84" s="43"/>
    </row>
    <row r="85" customFormat="false" ht="41.25" hidden="false" customHeight="true" outlineLevel="0" collapsed="false">
      <c r="B85" s="40" t="s">
        <v>33</v>
      </c>
      <c r="C85" s="41" t="s">
        <v>65</v>
      </c>
      <c r="D85" s="42" t="n">
        <v>6</v>
      </c>
      <c r="E85" s="43" t="n">
        <v>6</v>
      </c>
      <c r="F85" s="43"/>
      <c r="G85" s="43" t="s">
        <v>67</v>
      </c>
      <c r="H85" s="43"/>
      <c r="I85" s="43"/>
    </row>
    <row r="86" customFormat="false" ht="41.25" hidden="false" customHeight="true" outlineLevel="0" collapsed="false">
      <c r="B86" s="40" t="s">
        <v>71</v>
      </c>
      <c r="C86" s="41" t="s">
        <v>62</v>
      </c>
      <c r="D86" s="42" t="n">
        <v>12</v>
      </c>
      <c r="E86" s="43" t="n">
        <v>12</v>
      </c>
      <c r="F86" s="43"/>
      <c r="G86" s="43" t="s">
        <v>72</v>
      </c>
      <c r="H86" s="43"/>
      <c r="I86" s="43"/>
    </row>
    <row r="87" customFormat="false" ht="41.25" hidden="false" customHeight="true" outlineLevel="0" collapsed="false">
      <c r="B87" s="40" t="s">
        <v>73</v>
      </c>
      <c r="C87" s="41" t="s">
        <v>74</v>
      </c>
      <c r="D87" s="42" t="n">
        <v>3</v>
      </c>
      <c r="E87" s="43" t="n">
        <v>3</v>
      </c>
      <c r="F87" s="43"/>
      <c r="G87" s="43" t="s">
        <v>63</v>
      </c>
      <c r="H87" s="43"/>
      <c r="I87" s="43"/>
    </row>
    <row r="88" customFormat="false" ht="41.25" hidden="false" customHeight="true" outlineLevel="0" collapsed="false">
      <c r="B88" s="40" t="s">
        <v>30</v>
      </c>
      <c r="C88" s="41" t="s">
        <v>75</v>
      </c>
      <c r="D88" s="42" t="s">
        <v>76</v>
      </c>
      <c r="E88" s="43" t="n">
        <v>24</v>
      </c>
      <c r="F88" s="43"/>
      <c r="G88" s="43" t="s">
        <v>77</v>
      </c>
      <c r="H88" s="43"/>
      <c r="I88" s="43"/>
    </row>
    <row r="89" customFormat="false" ht="41.25" hidden="false" customHeight="true" outlineLevel="0" collapsed="false">
      <c r="B89" s="40"/>
      <c r="C89" s="41"/>
      <c r="D89" s="42"/>
      <c r="E89" s="43"/>
      <c r="F89" s="43"/>
      <c r="G89" s="43"/>
      <c r="H89" s="43"/>
      <c r="I89" s="43"/>
    </row>
    <row r="90" customFormat="false" ht="41.25" hidden="false" customHeight="true" outlineLevel="0" collapsed="false">
      <c r="B90" s="40"/>
      <c r="C90" s="41"/>
      <c r="D90" s="42"/>
      <c r="E90" s="43"/>
      <c r="F90" s="43"/>
      <c r="G90" s="43"/>
      <c r="H90" s="43"/>
      <c r="I90" s="43"/>
    </row>
    <row r="91" customFormat="false" ht="41.25" hidden="false" customHeight="true" outlineLevel="0" collapsed="false">
      <c r="B91" s="40"/>
      <c r="C91" s="41"/>
      <c r="D91" s="42"/>
      <c r="E91" s="43"/>
      <c r="F91" s="43"/>
      <c r="G91" s="43"/>
      <c r="H91" s="43"/>
      <c r="I91" s="43"/>
    </row>
    <row r="92" customFormat="false" ht="41.25" hidden="false" customHeight="true" outlineLevel="0" collapsed="false">
      <c r="A92" s="51"/>
      <c r="B92" s="40"/>
      <c r="C92" s="41"/>
      <c r="D92" s="42"/>
      <c r="E92" s="43"/>
      <c r="F92" s="43"/>
      <c r="G92" s="43"/>
      <c r="H92" s="43"/>
      <c r="I92" s="43"/>
    </row>
    <row r="93" customFormat="false" ht="41.25" hidden="false" customHeight="true" outlineLevel="0" collapsed="false">
      <c r="B93" s="40"/>
      <c r="C93" s="41"/>
      <c r="D93" s="42"/>
      <c r="E93" s="43"/>
      <c r="F93" s="43"/>
      <c r="G93" s="43"/>
      <c r="H93" s="43"/>
      <c r="I93" s="43"/>
    </row>
    <row r="94" customFormat="false" ht="41.25" hidden="false" customHeight="true" outlineLevel="0" collapsed="false">
      <c r="B94" s="40"/>
      <c r="C94" s="41"/>
      <c r="D94" s="42"/>
      <c r="E94" s="43"/>
      <c r="F94" s="43"/>
      <c r="G94" s="43"/>
      <c r="H94" s="43"/>
      <c r="I94" s="43"/>
    </row>
    <row r="95" customFormat="false" ht="41.25" hidden="false" customHeight="true" outlineLevel="0" collapsed="false">
      <c r="B95" s="40"/>
      <c r="C95" s="41"/>
      <c r="D95" s="42"/>
      <c r="E95" s="43"/>
      <c r="F95" s="43"/>
      <c r="G95" s="43"/>
      <c r="H95" s="43"/>
      <c r="I95" s="43"/>
    </row>
    <row r="96" customFormat="false" ht="41.25" hidden="false" customHeight="true" outlineLevel="0" collapsed="false">
      <c r="B96" s="40"/>
      <c r="C96" s="41"/>
      <c r="D96" s="42"/>
      <c r="E96" s="43"/>
      <c r="F96" s="43"/>
      <c r="G96" s="43"/>
      <c r="H96" s="43"/>
      <c r="I96" s="43"/>
    </row>
    <row r="97" customFormat="false" ht="41.25" hidden="false" customHeight="true" outlineLevel="0" collapsed="false">
      <c r="B97" s="40"/>
      <c r="C97" s="41"/>
      <c r="D97" s="42"/>
      <c r="E97" s="43"/>
      <c r="F97" s="43"/>
      <c r="G97" s="43"/>
      <c r="H97" s="43"/>
      <c r="I97" s="43"/>
    </row>
    <row r="98" customFormat="false" ht="41.25" hidden="false" customHeight="true" outlineLevel="0" collapsed="false">
      <c r="B98" s="40"/>
      <c r="C98" s="41"/>
      <c r="D98" s="42"/>
      <c r="E98" s="43"/>
      <c r="F98" s="43"/>
      <c r="G98" s="43"/>
      <c r="H98" s="43"/>
      <c r="I98" s="43"/>
    </row>
    <row r="99" customFormat="false" ht="41.25" hidden="false" customHeight="true" outlineLevel="0" collapsed="false">
      <c r="B99" s="40"/>
      <c r="C99" s="41"/>
      <c r="D99" s="42"/>
      <c r="E99" s="43"/>
      <c r="F99" s="43"/>
      <c r="G99" s="43"/>
      <c r="H99" s="43"/>
      <c r="I99" s="43"/>
    </row>
    <row r="100" customFormat="false" ht="41.25" hidden="false" customHeight="true" outlineLevel="0" collapsed="false">
      <c r="B100" s="40"/>
      <c r="C100" s="41"/>
      <c r="D100" s="42"/>
      <c r="E100" s="43"/>
      <c r="F100" s="43"/>
      <c r="G100" s="43"/>
      <c r="H100" s="43"/>
      <c r="I100" s="43"/>
    </row>
    <row r="101" customFormat="false" ht="41.25" hidden="false" customHeight="true" outlineLevel="0" collapsed="false">
      <c r="B101" s="40"/>
      <c r="C101" s="41"/>
      <c r="D101" s="42"/>
      <c r="E101" s="43"/>
      <c r="F101" s="43"/>
      <c r="G101" s="43"/>
      <c r="H101" s="43"/>
      <c r="I101" s="43"/>
    </row>
    <row r="102" customFormat="false" ht="41.25" hidden="false" customHeight="true" outlineLevel="0" collapsed="false">
      <c r="B102" s="40"/>
      <c r="C102" s="41"/>
      <c r="D102" s="42"/>
      <c r="E102" s="43"/>
      <c r="F102" s="43"/>
      <c r="G102" s="43"/>
      <c r="H102" s="43"/>
      <c r="I102" s="43"/>
    </row>
    <row r="103" customFormat="false" ht="41.25" hidden="false" customHeight="true" outlineLevel="0" collapsed="false">
      <c r="B103" s="40"/>
      <c r="C103" s="41"/>
      <c r="D103" s="42"/>
      <c r="E103" s="43"/>
      <c r="F103" s="43"/>
      <c r="G103" s="43"/>
      <c r="H103" s="43"/>
      <c r="I103" s="43"/>
    </row>
    <row r="104" customFormat="false" ht="41.25" hidden="false" customHeight="true" outlineLevel="0" collapsed="false">
      <c r="B104" s="40"/>
      <c r="C104" s="41"/>
      <c r="D104" s="42"/>
      <c r="E104" s="43"/>
      <c r="F104" s="43"/>
      <c r="G104" s="43"/>
      <c r="H104" s="43"/>
      <c r="I104" s="43"/>
    </row>
    <row r="105" customFormat="false" ht="41.25" hidden="false" customHeight="true" outlineLevel="0" collapsed="false">
      <c r="B105" s="40"/>
      <c r="C105" s="41"/>
      <c r="D105" s="42"/>
      <c r="E105" s="43"/>
      <c r="F105" s="43"/>
      <c r="G105" s="43"/>
      <c r="H105" s="43"/>
      <c r="I105" s="43"/>
    </row>
  </sheetData>
  <sheetProtection algorithmName="SHA-512" hashValue="C4uudIV/MT4V5YeTabTRPEhecGvtHT3ze/l/mFckrmMJWsCun8NIM3+8ttcZ8mlfr/R2aYuo1TJRi6ClBloblg==" saltValue="IW03fd45iSfa0cZt9juC7A==" spinCount="100000" sheet="true" objects="true" scenarios="true" formatCells="false" insertRows="false" deleteRows="false"/>
  <mergeCells count="87">
    <mergeCell ref="D2:AB2"/>
    <mergeCell ref="AC2:AI2"/>
    <mergeCell ref="E3:AB3"/>
    <mergeCell ref="AC3:AI3"/>
    <mergeCell ref="E4:AB4"/>
    <mergeCell ref="AC4:AI5"/>
    <mergeCell ref="E5:AB5"/>
    <mergeCell ref="E6:AB6"/>
    <mergeCell ref="AC6:AI6"/>
    <mergeCell ref="E7:AB7"/>
    <mergeCell ref="AC7:AI7"/>
    <mergeCell ref="E9:G9"/>
    <mergeCell ref="H9:N9"/>
    <mergeCell ref="O9:Q9"/>
    <mergeCell ref="R9:V9"/>
    <mergeCell ref="X9:AD9"/>
    <mergeCell ref="AE9:AI9"/>
    <mergeCell ref="C11:C12"/>
    <mergeCell ref="D11:D12"/>
    <mergeCell ref="K73:AI73"/>
    <mergeCell ref="E74:F74"/>
    <mergeCell ref="G74:I74"/>
    <mergeCell ref="K74:AI74"/>
    <mergeCell ref="E75:F75"/>
    <mergeCell ref="G75:I75"/>
    <mergeCell ref="K75:AI75"/>
    <mergeCell ref="E76:F76"/>
    <mergeCell ref="G76:I76"/>
    <mergeCell ref="E77:F77"/>
    <mergeCell ref="G77:I77"/>
    <mergeCell ref="U77:Z77"/>
    <mergeCell ref="E78:F78"/>
    <mergeCell ref="G78:I78"/>
    <mergeCell ref="E79:F79"/>
    <mergeCell ref="G79:I79"/>
    <mergeCell ref="E80:F80"/>
    <mergeCell ref="G80:I80"/>
    <mergeCell ref="E81:F81"/>
    <mergeCell ref="G81:I81"/>
    <mergeCell ref="E82:F82"/>
    <mergeCell ref="G82:I82"/>
    <mergeCell ref="E83:F83"/>
    <mergeCell ref="G83:I83"/>
    <mergeCell ref="E84:F84"/>
    <mergeCell ref="G84:I84"/>
    <mergeCell ref="E85:F85"/>
    <mergeCell ref="G85:I85"/>
    <mergeCell ref="E86:F86"/>
    <mergeCell ref="G86:I86"/>
    <mergeCell ref="E87:F87"/>
    <mergeCell ref="G87:I87"/>
    <mergeCell ref="E88:F88"/>
    <mergeCell ref="G88:I88"/>
    <mergeCell ref="E89:F89"/>
    <mergeCell ref="G89:I89"/>
    <mergeCell ref="E90:F90"/>
    <mergeCell ref="G90:I90"/>
    <mergeCell ref="E91:F91"/>
    <mergeCell ref="G91:I91"/>
    <mergeCell ref="E92:F92"/>
    <mergeCell ref="G92:I92"/>
    <mergeCell ref="E93:F93"/>
    <mergeCell ref="G93:I93"/>
    <mergeCell ref="E94:F94"/>
    <mergeCell ref="G94:I94"/>
    <mergeCell ref="E95:F95"/>
    <mergeCell ref="G95:I95"/>
    <mergeCell ref="E96:F96"/>
    <mergeCell ref="G96:I96"/>
    <mergeCell ref="E97:F97"/>
    <mergeCell ref="G97:I97"/>
    <mergeCell ref="E98:F98"/>
    <mergeCell ref="G98:I98"/>
    <mergeCell ref="E99:F99"/>
    <mergeCell ref="G99:I99"/>
    <mergeCell ref="E100:F100"/>
    <mergeCell ref="G100:I100"/>
    <mergeCell ref="E101:F101"/>
    <mergeCell ref="G101:I101"/>
    <mergeCell ref="E102:F102"/>
    <mergeCell ref="G102:I102"/>
    <mergeCell ref="E103:F103"/>
    <mergeCell ref="G103:I103"/>
    <mergeCell ref="E104:F104"/>
    <mergeCell ref="G104:I104"/>
    <mergeCell ref="E105:F105"/>
    <mergeCell ref="G105:I105"/>
  </mergeCells>
  <conditionalFormatting sqref="E11:AK72">
    <cfRule type="expression" priority="2" aboveAverage="0" equalAverage="0" bottom="0" percent="0" rank="0" text="" dxfId="0">
      <formula>IF(OR(E$12="D", E$12="S"), 1, AND(E$11&lt;&gt;"", COUNTIF(FESTIVOS!$A$2:$A$200, DATE(($R$9),MONTH(TEXT($H$9&amp;" 1","MMM D")), E$11))&gt;0))</formula>
    </cfRule>
  </conditionalFormatting>
  <conditionalFormatting sqref="E13:AK72">
    <cfRule type="expression" priority="3" aboveAverage="0" equalAverage="0" bottom="0" percent="0" rank="0" text="" dxfId="1">
      <formula>AND(E13&lt;&gt;"", ISERROR(MATCH(E13,$B$75:$B$105,0)))</formula>
    </cfRule>
  </conditionalFormatting>
  <conditionalFormatting sqref="M11">
    <cfRule type="expression" priority="4" aboveAverage="0" equalAverage="0" bottom="0" percent="0" rank="0" text="" dxfId="2">
      <formula>E$12="S"</formula>
    </cfRule>
  </conditionalFormatting>
  <dataValidations count="1">
    <dataValidation allowBlank="true" errorStyle="stop" operator="between" showDropDown="false" showErrorMessage="true" showInputMessage="true" sqref="E13:AK72" type="list">
      <formula1>ListaSinBlancos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6171875" defaultRowHeight="14.25" zeroHeight="false" outlineLevelRow="0" outlineLevelCol="0"/>
  <sheetData>
    <row r="1" customFormat="false" ht="25.5" hidden="false" customHeight="true" outlineLevel="0" collapsed="false">
      <c r="A1" s="52" t="s">
        <v>78</v>
      </c>
      <c r="B1" s="0" t="n">
        <v>1</v>
      </c>
      <c r="C1" s="0" t="n">
        <v>2</v>
      </c>
      <c r="D1" s="0" t="n">
        <v>3</v>
      </c>
      <c r="E1" s="0" t="n">
        <v>4</v>
      </c>
    </row>
    <row r="2" customFormat="false" ht="14.25" hidden="false" customHeight="false" outlineLevel="0" collapsed="false">
      <c r="A2" s="53" t="n">
        <v>45658</v>
      </c>
    </row>
    <row r="3" customFormat="false" ht="14.25" hidden="false" customHeight="false" outlineLevel="0" collapsed="false">
      <c r="A3" s="53" t="n">
        <v>45663</v>
      </c>
    </row>
    <row r="4" customFormat="false" ht="14.25" hidden="false" customHeight="false" outlineLevel="0" collapsed="false">
      <c r="A4" s="53" t="n">
        <v>45740</v>
      </c>
    </row>
    <row r="5" customFormat="false" ht="14.25" hidden="false" customHeight="false" outlineLevel="0" collapsed="false">
      <c r="A5" s="53" t="n">
        <v>45764</v>
      </c>
    </row>
    <row r="6" customFormat="false" ht="14.25" hidden="false" customHeight="false" outlineLevel="0" collapsed="false">
      <c r="A6" s="53" t="n">
        <v>45765</v>
      </c>
    </row>
    <row r="7" customFormat="false" ht="14.25" hidden="false" customHeight="false" outlineLevel="0" collapsed="false">
      <c r="A7" s="53" t="n">
        <v>45778</v>
      </c>
    </row>
    <row r="8" customFormat="false" ht="14.25" hidden="false" customHeight="false" outlineLevel="0" collapsed="false">
      <c r="A8" s="53" t="n">
        <v>45810</v>
      </c>
    </row>
    <row r="9" customFormat="false" ht="14.25" hidden="false" customHeight="false" outlineLevel="0" collapsed="false">
      <c r="A9" s="53" t="n">
        <v>45831</v>
      </c>
    </row>
    <row r="10" customFormat="false" ht="14.25" hidden="false" customHeight="false" outlineLevel="0" collapsed="false">
      <c r="A10" s="53" t="n">
        <v>45838</v>
      </c>
    </row>
    <row r="11" customFormat="false" ht="14.25" hidden="false" customHeight="false" outlineLevel="0" collapsed="false">
      <c r="A11" s="53" t="n">
        <v>45876</v>
      </c>
    </row>
    <row r="12" customFormat="false" ht="14.25" hidden="false" customHeight="false" outlineLevel="0" collapsed="false">
      <c r="A12" s="53" t="n">
        <v>45887</v>
      </c>
    </row>
    <row r="13" customFormat="false" ht="14.25" hidden="false" customHeight="false" outlineLevel="0" collapsed="false">
      <c r="A13" s="53" t="n">
        <v>45943</v>
      </c>
    </row>
    <row r="14" customFormat="false" ht="14.25" hidden="false" customHeight="false" outlineLevel="0" collapsed="false">
      <c r="A14" s="53" t="n">
        <v>45964</v>
      </c>
    </row>
    <row r="15" customFormat="false" ht="14.25" hidden="false" customHeight="false" outlineLevel="0" collapsed="false">
      <c r="A15" s="53" t="n">
        <v>45978</v>
      </c>
    </row>
    <row r="16" customFormat="false" ht="14.25" hidden="false" customHeight="false" outlineLevel="0" collapsed="false">
      <c r="A16" s="53" t="n">
        <v>45999</v>
      </c>
    </row>
    <row r="17" customFormat="false" ht="14.25" hidden="false" customHeight="false" outlineLevel="0" collapsed="false">
      <c r="A17" s="53" t="n">
        <v>46016</v>
      </c>
    </row>
    <row r="18" customFormat="false" ht="14.25" hidden="false" customHeight="false" outlineLevel="0" collapsed="false">
      <c r="A18" s="54" t="n">
        <v>46023</v>
      </c>
    </row>
    <row r="19" customFormat="false" ht="14.25" hidden="false" customHeight="false" outlineLevel="0" collapsed="false">
      <c r="A19" s="54" t="n">
        <v>46034</v>
      </c>
    </row>
    <row r="20" customFormat="false" ht="14.25" hidden="false" customHeight="false" outlineLevel="0" collapsed="false">
      <c r="A20" s="53" t="n">
        <v>46104</v>
      </c>
    </row>
    <row r="21" customFormat="false" ht="14.25" hidden="false" customHeight="false" outlineLevel="0" collapsed="false">
      <c r="A21" s="53" t="n">
        <v>46114</v>
      </c>
    </row>
    <row r="22" customFormat="false" ht="14.25" hidden="false" customHeight="false" outlineLevel="0" collapsed="false">
      <c r="A22" s="53" t="n">
        <v>46115</v>
      </c>
    </row>
    <row r="23" customFormat="false" ht="14.25" hidden="false" customHeight="false" outlineLevel="0" collapsed="false">
      <c r="A23" s="53" t="n">
        <v>46143</v>
      </c>
    </row>
    <row r="24" customFormat="false" ht="14.25" hidden="false" customHeight="false" outlineLevel="0" collapsed="false">
      <c r="A24" s="53" t="n">
        <v>46160</v>
      </c>
    </row>
    <row r="25" customFormat="false" ht="14.25" hidden="false" customHeight="false" outlineLevel="0" collapsed="false">
      <c r="A25" s="53" t="n">
        <v>46181</v>
      </c>
    </row>
    <row r="26" customFormat="false" ht="14.25" hidden="false" customHeight="false" outlineLevel="0" collapsed="false">
      <c r="A26" s="53" t="n">
        <v>46188</v>
      </c>
    </row>
    <row r="27" customFormat="false" ht="14.25" hidden="false" customHeight="false" outlineLevel="0" collapsed="false">
      <c r="A27" s="53" t="n">
        <v>46202</v>
      </c>
    </row>
    <row r="28" customFormat="false" ht="14.25" hidden="false" customHeight="false" outlineLevel="0" collapsed="false">
      <c r="A28" s="53" t="n">
        <v>46223</v>
      </c>
    </row>
    <row r="29" customFormat="false" ht="14.25" hidden="false" customHeight="false" outlineLevel="0" collapsed="false">
      <c r="A29" s="53" t="n">
        <v>46241</v>
      </c>
    </row>
    <row r="30" customFormat="false" ht="14.25" hidden="false" customHeight="false" outlineLevel="0" collapsed="false">
      <c r="A30" s="53" t="n">
        <v>46251</v>
      </c>
    </row>
    <row r="31" customFormat="false" ht="14.25" hidden="false" customHeight="false" outlineLevel="0" collapsed="false">
      <c r="A31" s="53" t="n">
        <v>46307</v>
      </c>
    </row>
    <row r="32" customFormat="false" ht="14.25" hidden="false" customHeight="false" outlineLevel="0" collapsed="false">
      <c r="A32" s="53" t="n">
        <v>46328</v>
      </c>
    </row>
    <row r="33" customFormat="false" ht="14.25" hidden="false" customHeight="false" outlineLevel="0" collapsed="false">
      <c r="A33" s="53" t="n">
        <v>46342</v>
      </c>
    </row>
    <row r="34" customFormat="false" ht="14.25" hidden="false" customHeight="false" outlineLevel="0" collapsed="false">
      <c r="A34" s="53" t="n">
        <v>46388</v>
      </c>
    </row>
    <row r="35" customFormat="false" ht="14.25" hidden="false" customHeight="false" outlineLevel="0" collapsed="false">
      <c r="A35" s="53" t="n">
        <v>46398</v>
      </c>
    </row>
    <row r="36" customFormat="false" ht="14.25" hidden="false" customHeight="false" outlineLevel="0" collapsed="false">
      <c r="A36" s="53" t="n">
        <v>46468</v>
      </c>
    </row>
    <row r="37" customFormat="false" ht="14.25" hidden="false" customHeight="false" outlineLevel="0" collapsed="false">
      <c r="A37" s="53" t="n">
        <v>46471</v>
      </c>
    </row>
    <row r="38" customFormat="false" ht="14.25" hidden="false" customHeight="false" outlineLevel="0" collapsed="false">
      <c r="A38" s="53" t="n">
        <v>46472</v>
      </c>
    </row>
    <row r="39" customFormat="false" ht="14.25" hidden="false" customHeight="false" outlineLevel="0" collapsed="false">
      <c r="A39" s="53" t="n">
        <v>46508</v>
      </c>
    </row>
    <row r="40" customFormat="false" ht="14.25" hidden="false" customHeight="false" outlineLevel="0" collapsed="false">
      <c r="A40" s="53" t="n">
        <v>46517</v>
      </c>
    </row>
    <row r="41" customFormat="false" ht="14.25" hidden="false" customHeight="false" outlineLevel="0" collapsed="false">
      <c r="A41" s="53" t="n">
        <v>46538</v>
      </c>
    </row>
    <row r="42" customFormat="false" ht="14.25" hidden="false" customHeight="false" outlineLevel="0" collapsed="false">
      <c r="A42" s="53" t="n">
        <v>46545</v>
      </c>
    </row>
    <row r="43" customFormat="false" ht="14.25" hidden="false" customHeight="false" outlineLevel="0" collapsed="false">
      <c r="A43" s="53" t="n">
        <v>46573</v>
      </c>
    </row>
    <row r="44" customFormat="false" ht="14.25" hidden="false" customHeight="false" outlineLevel="0" collapsed="false">
      <c r="A44" s="53" t="n">
        <v>46588</v>
      </c>
    </row>
    <row r="45" customFormat="false" ht="14.25" hidden="false" customHeight="false" outlineLevel="0" collapsed="false">
      <c r="A45" s="53" t="n">
        <v>46606</v>
      </c>
    </row>
    <row r="46" customFormat="false" ht="14.25" hidden="false" customHeight="false" outlineLevel="0" collapsed="false">
      <c r="A46" s="53" t="n">
        <v>46615</v>
      </c>
    </row>
    <row r="47" customFormat="false" ht="14.25" hidden="false" customHeight="false" outlineLevel="0" collapsed="false">
      <c r="A47" s="53" t="n">
        <v>46678</v>
      </c>
    </row>
    <row r="48" customFormat="false" ht="14.25" hidden="false" customHeight="false" outlineLevel="0" collapsed="false">
      <c r="A48" s="53" t="n">
        <v>46692</v>
      </c>
    </row>
    <row r="49" customFormat="false" ht="14.25" hidden="false" customHeight="false" outlineLevel="0" collapsed="false">
      <c r="A49" s="53" t="n">
        <v>46706</v>
      </c>
    </row>
    <row r="50" customFormat="false" ht="14.25" hidden="false" customHeight="false" outlineLevel="0" collapsed="false">
      <c r="A50" s="53" t="n">
        <v>46729</v>
      </c>
    </row>
    <row r="51" customFormat="false" ht="14.25" hidden="false" customHeight="false" outlineLevel="0" collapsed="false">
      <c r="A51" s="53" t="n">
        <v>46746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2024-12-18T21:33:15Z</dcterms:created>
  <dc:creator>LIDER SUBGERENCIA CIENTIFICA</dc:creator>
  <dc:description/>
  <dc:language>es-CO</dc:language>
  <cp:lastModifiedBy/>
  <dcterms:modified xsi:type="dcterms:W3CDTF">2026-01-21T17:34:08Z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