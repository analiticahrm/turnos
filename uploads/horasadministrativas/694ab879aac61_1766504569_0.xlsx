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haronkatherineacunarubiano/Desktop/2025 LIDER GINECOLOGIA /DICIEMBRE/"/>
    </mc:Choice>
  </mc:AlternateContent>
  <xr:revisionPtr revIDLastSave="0" documentId="8_{DFAC2960-9983-5A41-896B-5D3C260CDC36}" xr6:coauthVersionLast="47" xr6:coauthVersionMax="47" xr10:uidLastSave="{00000000-0000-0000-0000-000000000000}"/>
  <bookViews>
    <workbookView xWindow="-120" yWindow="500" windowWidth="20740" windowHeight="11160" tabRatio="500" xr2:uid="{00000000-000D-0000-FFFF-FFFF00000000}"/>
  </bookViews>
  <sheets>
    <sheet name="TURNOS" sheetId="1" r:id="rId1"/>
    <sheet name="FESTIVOS" sheetId="2" state="hidden" r:id="rId2"/>
  </sheets>
  <definedNames>
    <definedName name="ListaSinBlancos">OFFSET(TURNOS!$B$26, 0, 0, COUNTIF(TURNOS!$B$26:$B$951, "&lt;&gt;"))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L22" i="1" l="1"/>
  <c r="AL21" i="1"/>
  <c r="AL20" i="1"/>
  <c r="AL19" i="1"/>
  <c r="AL18" i="1"/>
  <c r="AL17" i="1"/>
  <c r="AL16" i="1"/>
  <c r="AL15" i="1"/>
  <c r="AL14" i="1"/>
  <c r="AL13" i="1"/>
</calcChain>
</file>

<file path=xl/sharedStrings.xml><?xml version="1.0" encoding="utf-8"?>
<sst xmlns="http://schemas.openxmlformats.org/spreadsheetml/2006/main" count="175" uniqueCount="65">
  <si>
    <t xml:space="preserve">                                                    E.S.E. HOSPITAL REGIONAL DE MONIQUIRA</t>
  </si>
  <si>
    <t>CÓDIGO</t>
  </si>
  <si>
    <t>MACROPROCESO</t>
  </si>
  <si>
    <t>DIRECCIONAMIENTO ESTRATEGICO</t>
  </si>
  <si>
    <t>D.E.</t>
  </si>
  <si>
    <t>Hrm2025*</t>
  </si>
  <si>
    <t>SUBPROCESO</t>
  </si>
  <si>
    <t>SUBGERENCIA CIENTIFICA</t>
  </si>
  <si>
    <t>VERSIÓN</t>
  </si>
  <si>
    <t>TIPO DE DOCUMENTO</t>
  </si>
  <si>
    <t>FORMATO</t>
  </si>
  <si>
    <t>NOMBRE</t>
  </si>
  <si>
    <t>PROGRAMACION DE TURNOS 2</t>
  </si>
  <si>
    <t>Pág. 1 de 1</t>
  </si>
  <si>
    <t>MES:</t>
  </si>
  <si>
    <t>AÑO:</t>
  </si>
  <si>
    <t>ÁREA:</t>
  </si>
  <si>
    <t>CONTROL PRENATAL</t>
  </si>
  <si>
    <t>Todas</t>
  </si>
  <si>
    <t>NOMBRE DEL PROFESIONAL</t>
  </si>
  <si>
    <t>DOCUMENTO</t>
  </si>
  <si>
    <t>31</t>
  </si>
  <si>
    <t>Total Horas</t>
  </si>
  <si>
    <t>M</t>
  </si>
  <si>
    <t>J</t>
  </si>
  <si>
    <t>V</t>
  </si>
  <si>
    <t>S</t>
  </si>
  <si>
    <t>D</t>
  </si>
  <si>
    <t>L</t>
  </si>
  <si>
    <t>ALVAREZ LIZARAZO JEFFERSON</t>
  </si>
  <si>
    <t>GD</t>
  </si>
  <si>
    <t>GN</t>
  </si>
  <si>
    <t>BOHORQUEZ DUARTE CAREN NATALIA</t>
  </si>
  <si>
    <t>CPN/AM</t>
  </si>
  <si>
    <t>RAMIREZ CONDE SANDRA MILENA</t>
  </si>
  <si>
    <t>VELA VARGAS XIMENA PAOLA</t>
  </si>
  <si>
    <t>OBSERVACIONES</t>
  </si>
  <si>
    <t>HORAS</t>
  </si>
  <si>
    <t>TOTAL HORAS</t>
  </si>
  <si>
    <t>ACTIVIDAD</t>
  </si>
  <si>
    <t>COD</t>
  </si>
  <si>
    <t>07:00:00 a 13:00:00</t>
  </si>
  <si>
    <t>CPN/PM</t>
  </si>
  <si>
    <t>13:00:00 a 19:00:00</t>
  </si>
  <si>
    <t>APROBÓ
KARIN MILENA GAMBA</t>
  </si>
  <si>
    <t>07:00:00 a 19:00:00</t>
  </si>
  <si>
    <t>DIA</t>
  </si>
  <si>
    <t>D/N</t>
  </si>
  <si>
    <t>07:00:00 a 19:00:00
19:00:00 a 07:00:00</t>
  </si>
  <si>
    <t>12
12</t>
  </si>
  <si>
    <t>TURNO  DIA
URGENCIAS GINECOLOGIA</t>
  </si>
  <si>
    <t>GINECOLOGIA DIA</t>
  </si>
  <si>
    <t>19:00:00 a 07:00:00</t>
  </si>
  <si>
    <t>GINECOLOGIA NOCHE</t>
  </si>
  <si>
    <t>HD</t>
  </si>
  <si>
    <t>HOSPITALIZACION  DIA</t>
  </si>
  <si>
    <t>N</t>
  </si>
  <si>
    <t>NOCHE</t>
  </si>
  <si>
    <t>R/C</t>
  </si>
  <si>
    <t>07:00:00 a 09:00:00
09:00:00 a 13:00:00</t>
  </si>
  <si>
    <t>2
4</t>
  </si>
  <si>
    <t>REUNION DE SERVICIO Y CONTROLES
REUNION DE SERVICIO Y CONTROLES</t>
  </si>
  <si>
    <t>FESTIVOS DEL AÑO 2025</t>
  </si>
  <si>
    <t>DICIEMBRE</t>
  </si>
  <si>
    <t>DAYANA  GALLO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</si>
</sst>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rgb="FF000000"/>
      <name val="Calibri"/>
      <charset val="1"/>
    </font>
    <font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</font>
    <font>
      <b/>
      <sz val="16"/>
      <color rgb="FF000000"/>
      <name val="Calibri"/>
      <family val="2"/>
    </font>
    <font>
      <sz val="8"/>
      <color rgb="FFFFFFFF"/>
      <name val="Arial Narrow"/>
      <family val="2"/>
    </font>
    <font>
      <sz val="8"/>
      <color rgb="FF000000"/>
      <name val="Arial Narrow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4" tint="0.59987182226020086"/>
        <bgColor rgb="FFB5C6E8"/>
      </patternFill>
    </fill>
    <fill>
      <patternFill patternType="solid">
        <fgColor theme="5" tint="0.59987182226020086"/>
        <bgColor rgb="FFFF99CC"/>
      </patternFill>
    </fill>
    <fill>
      <patternFill patternType="solid">
        <fgColor rgb="FFB5C6E8"/>
        <bgColor rgb="FFB4C7E7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B5C6E8"/>
      </patternFill>
    </fill>
    <fill>
      <patternFill patternType="solid">
        <fgColor theme="0"/>
        <bgColor rgb="FFFF99CC"/>
      </patternFill>
    </fill>
    <fill>
      <patternFill patternType="solid">
        <fgColor theme="5"/>
        <bgColor rgb="FFFFFFCC"/>
      </patternFill>
    </fill>
    <fill>
      <patternFill patternType="solid">
        <fgColor theme="5"/>
        <bgColor rgb="FFB5C6E8"/>
      </patternFill>
    </fill>
    <fill>
      <patternFill patternType="solid">
        <fgColor theme="5"/>
        <bgColor rgb="FFFF99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CC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Protection="1">
      <protection hidden="1"/>
    </xf>
    <xf numFmtId="0" fontId="1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horizontal="left" vertical="center" wrapText="1"/>
      <protection hidden="1"/>
    </xf>
    <xf numFmtId="0" fontId="3" fillId="0" borderId="6" xfId="0" applyFont="1" applyBorder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vertical="center"/>
      <protection hidden="1"/>
    </xf>
    <xf numFmtId="0" fontId="3" fillId="0" borderId="9" xfId="0" applyFont="1" applyBorder="1" applyAlignment="1" applyProtection="1">
      <alignment horizontal="center" vertical="center"/>
      <protection hidden="1"/>
    </xf>
    <xf numFmtId="0" fontId="3" fillId="0" borderId="9" xfId="0" applyFont="1" applyBorder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 wrapText="1"/>
      <protection hidden="1"/>
    </xf>
    <xf numFmtId="49" fontId="3" fillId="2" borderId="13" xfId="0" applyNumberFormat="1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6" fillId="0" borderId="4" xfId="0" applyFont="1" applyBorder="1" applyAlignment="1" applyProtection="1">
      <alignment horizontal="center"/>
      <protection hidden="1"/>
    </xf>
    <xf numFmtId="0" fontId="1" fillId="3" borderId="4" xfId="0" applyFont="1" applyFill="1" applyBorder="1" applyAlignment="1" applyProtection="1">
      <alignment vertical="center"/>
      <protection hidden="1"/>
    </xf>
    <xf numFmtId="0" fontId="1" fillId="3" borderId="4" xfId="0" applyFont="1" applyFill="1" applyBorder="1" applyAlignment="1" applyProtection="1">
      <alignment vertical="center" wrapText="1"/>
      <protection hidden="1"/>
    </xf>
    <xf numFmtId="0" fontId="1" fillId="3" borderId="13" xfId="0" applyFont="1" applyFill="1" applyBorder="1" applyAlignment="1" applyProtection="1">
      <alignment horizontal="center" vertical="center"/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4" xfId="0" applyBorder="1" applyProtection="1"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 wrapText="1"/>
      <protection hidden="1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0" fillId="2" borderId="0" xfId="0" applyFill="1" applyProtection="1">
      <protection hidden="1"/>
    </xf>
    <xf numFmtId="0" fontId="0" fillId="4" borderId="4" xfId="0" applyFill="1" applyBorder="1" applyProtection="1">
      <protection hidden="1"/>
    </xf>
    <xf numFmtId="0" fontId="1" fillId="4" borderId="4" xfId="0" applyFont="1" applyFill="1" applyBorder="1" applyAlignment="1" applyProtection="1">
      <alignment vertical="center"/>
      <protection hidden="1"/>
    </xf>
    <xf numFmtId="0" fontId="1" fillId="4" borderId="4" xfId="0" applyFont="1" applyFill="1" applyBorder="1" applyAlignment="1" applyProtection="1">
      <alignment vertical="center" wrapText="1"/>
      <protection hidden="1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7" fillId="4" borderId="13" xfId="0" applyFont="1" applyFill="1" applyBorder="1" applyAlignment="1" applyProtection="1">
      <alignment horizontal="center" vertical="center" wrapText="1"/>
      <protection locked="0"/>
    </xf>
    <xf numFmtId="0" fontId="6" fillId="4" borderId="4" xfId="0" applyFont="1" applyFill="1" applyBorder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0" fillId="4" borderId="0" xfId="0" applyFill="1"/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0" fontId="7" fillId="2" borderId="13" xfId="0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hidden="1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hidden="1"/>
    </xf>
    <xf numFmtId="0" fontId="6" fillId="2" borderId="15" xfId="0" applyFont="1" applyFill="1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left" vertical="top"/>
      <protection hidden="1"/>
    </xf>
    <xf numFmtId="0" fontId="6" fillId="5" borderId="4" xfId="0" applyFont="1" applyFill="1" applyBorder="1" applyAlignment="1" applyProtection="1">
      <alignment horizontal="left" vertical="top" wrapText="1"/>
      <protection hidden="1"/>
    </xf>
    <xf numFmtId="0" fontId="6" fillId="5" borderId="15" xfId="0" applyFont="1" applyFill="1" applyBorder="1" applyAlignment="1" applyProtection="1">
      <alignment horizontal="left" vertical="top" wrapText="1"/>
      <protection hidden="1"/>
    </xf>
    <xf numFmtId="0" fontId="0" fillId="0" borderId="18" xfId="0" applyBorder="1" applyAlignment="1" applyProtection="1">
      <alignment wrapText="1"/>
      <protection hidden="1"/>
    </xf>
    <xf numFmtId="0" fontId="0" fillId="0" borderId="18" xfId="0" applyBorder="1" applyProtection="1">
      <protection hidden="1"/>
    </xf>
    <xf numFmtId="0" fontId="10" fillId="5" borderId="19" xfId="0" applyFont="1" applyFill="1" applyBorder="1" applyAlignment="1" applyProtection="1">
      <alignment vertical="top" wrapText="1"/>
      <protection hidden="1"/>
    </xf>
    <xf numFmtId="0" fontId="10" fillId="5" borderId="15" xfId="0" applyFont="1" applyFill="1" applyBorder="1" applyAlignment="1" applyProtection="1">
      <alignment vertical="top" wrapText="1"/>
      <protection hidden="1"/>
    </xf>
    <xf numFmtId="0" fontId="10" fillId="5" borderId="20" xfId="0" applyFont="1" applyFill="1" applyBorder="1" applyAlignment="1" applyProtection="1">
      <alignment vertical="top" wrapText="1"/>
      <protection hidden="1"/>
    </xf>
    <xf numFmtId="0" fontId="9" fillId="0" borderId="0" xfId="0" applyFont="1" applyProtection="1">
      <protection hidden="1"/>
    </xf>
    <xf numFmtId="0" fontId="0" fillId="0" borderId="0" xfId="0" applyAlignment="1" applyProtection="1">
      <alignment wrapText="1"/>
      <protection hidden="1"/>
    </xf>
    <xf numFmtId="0" fontId="11" fillId="0" borderId="0" xfId="0" applyFont="1" applyProtection="1">
      <protection hidden="1"/>
    </xf>
    <xf numFmtId="0" fontId="11" fillId="0" borderId="0" xfId="0" applyFont="1" applyAlignment="1" applyProtection="1">
      <alignment wrapText="1"/>
      <protection hidden="1"/>
    </xf>
    <xf numFmtId="49" fontId="12" fillId="0" borderId="18" xfId="0" applyNumberFormat="1" applyFont="1" applyBorder="1" applyAlignment="1" applyProtection="1">
      <alignment horizontal="center" vertical="center" wrapText="1"/>
      <protection hidden="1"/>
    </xf>
    <xf numFmtId="14" fontId="13" fillId="0" borderId="20" xfId="0" applyNumberFormat="1" applyFont="1" applyBorder="1" applyAlignment="1" applyProtection="1">
      <alignment horizontal="center" vertical="center" wrapText="1"/>
      <protection hidden="1"/>
    </xf>
    <xf numFmtId="14" fontId="13" fillId="0" borderId="21" xfId="0" applyNumberFormat="1" applyFont="1" applyBorder="1" applyAlignment="1" applyProtection="1">
      <alignment horizontal="center" vertical="center" wrapText="1"/>
      <protection hidden="1"/>
    </xf>
    <xf numFmtId="0" fontId="1" fillId="3" borderId="13" xfId="0" applyFont="1" applyFill="1" applyBorder="1" applyAlignment="1" applyProtection="1">
      <alignment horizontal="center" vertical="center" wrapText="1"/>
      <protection locked="0"/>
    </xf>
    <xf numFmtId="0" fontId="6" fillId="4" borderId="13" xfId="0" applyFont="1" applyFill="1" applyBorder="1" applyAlignment="1" applyProtection="1">
      <alignment horizontal="center" vertical="center" wrapText="1"/>
      <protection locked="0"/>
    </xf>
    <xf numFmtId="0" fontId="6" fillId="4" borderId="13" xfId="0" applyFont="1" applyFill="1" applyBorder="1" applyAlignment="1" applyProtection="1">
      <alignment horizontal="center" vertical="center"/>
      <protection locked="0"/>
    </xf>
    <xf numFmtId="0" fontId="7" fillId="4" borderId="13" xfId="0" applyFont="1" applyFill="1" applyBorder="1" applyAlignment="1" applyProtection="1">
      <alignment horizontal="center" vertical="center"/>
      <protection locked="0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49" fontId="14" fillId="2" borderId="13" xfId="0" applyNumberFormat="1" applyFont="1" applyFill="1" applyBorder="1" applyAlignment="1" applyProtection="1">
      <alignment horizontal="center" vertical="center"/>
      <protection hidden="1"/>
    </xf>
    <xf numFmtId="0" fontId="15" fillId="3" borderId="13" xfId="0" applyFont="1" applyFill="1" applyBorder="1" applyAlignment="1" applyProtection="1">
      <alignment horizontal="center" vertical="center"/>
      <protection locked="0"/>
    </xf>
    <xf numFmtId="0" fontId="15" fillId="2" borderId="13" xfId="0" applyFont="1" applyFill="1" applyBorder="1" applyAlignment="1" applyProtection="1">
      <alignment horizontal="center" vertical="center"/>
      <protection locked="0"/>
    </xf>
    <xf numFmtId="0" fontId="15" fillId="4" borderId="13" xfId="0" applyFont="1" applyFill="1" applyBorder="1" applyAlignment="1" applyProtection="1">
      <alignment horizontal="center" vertical="center"/>
      <protection locked="0"/>
    </xf>
    <xf numFmtId="0" fontId="16" fillId="4" borderId="13" xfId="0" applyFont="1" applyFill="1" applyBorder="1" applyAlignment="1" applyProtection="1">
      <alignment horizontal="center" vertical="center" wrapText="1"/>
      <protection locked="0"/>
    </xf>
    <xf numFmtId="49" fontId="3" fillId="6" borderId="13" xfId="0" applyNumberFormat="1" applyFont="1" applyFill="1" applyBorder="1" applyAlignment="1" applyProtection="1">
      <alignment horizontal="center" vertical="center"/>
      <protection hidden="1"/>
    </xf>
    <xf numFmtId="0" fontId="1" fillId="7" borderId="13" xfId="0" applyFont="1" applyFill="1" applyBorder="1" applyAlignment="1" applyProtection="1">
      <alignment horizontal="center" vertical="center"/>
      <protection locked="0"/>
    </xf>
    <xf numFmtId="0" fontId="1" fillId="6" borderId="13" xfId="0" applyFont="1" applyFill="1" applyBorder="1" applyAlignment="1" applyProtection="1">
      <alignment horizontal="center" vertical="center"/>
      <protection locked="0"/>
    </xf>
    <xf numFmtId="0" fontId="7" fillId="8" borderId="13" xfId="0" applyFont="1" applyFill="1" applyBorder="1" applyAlignment="1" applyProtection="1">
      <alignment horizontal="center" vertical="center" wrapText="1"/>
      <protection locked="0"/>
    </xf>
    <xf numFmtId="0" fontId="7" fillId="8" borderId="13" xfId="0" applyFont="1" applyFill="1" applyBorder="1" applyAlignment="1" applyProtection="1">
      <alignment horizontal="center" vertical="center"/>
      <protection locked="0"/>
    </xf>
    <xf numFmtId="0" fontId="1" fillId="8" borderId="13" xfId="0" applyFont="1" applyFill="1" applyBorder="1" applyAlignment="1" applyProtection="1">
      <alignment horizontal="center" vertical="center"/>
      <protection locked="0"/>
    </xf>
    <xf numFmtId="0" fontId="1" fillId="10" borderId="13" xfId="0" applyFont="1" applyFill="1" applyBorder="1" applyAlignment="1" applyProtection="1">
      <alignment horizontal="center" vertical="center"/>
      <protection locked="0"/>
    </xf>
    <xf numFmtId="0" fontId="1" fillId="9" borderId="13" xfId="0" applyFont="1" applyFill="1" applyBorder="1" applyAlignment="1" applyProtection="1">
      <alignment horizontal="center" vertical="center"/>
      <protection locked="0"/>
    </xf>
    <xf numFmtId="0" fontId="7" fillId="11" borderId="13" xfId="0" applyFont="1" applyFill="1" applyBorder="1" applyAlignment="1" applyProtection="1">
      <alignment horizontal="center" vertical="center" wrapText="1"/>
      <protection locked="0"/>
    </xf>
    <xf numFmtId="0" fontId="1" fillId="11" borderId="13" xfId="0" applyFont="1" applyFill="1" applyBorder="1" applyAlignment="1" applyProtection="1">
      <alignment horizontal="center" vertical="center"/>
      <protection locked="0"/>
    </xf>
    <xf numFmtId="0" fontId="1" fillId="9" borderId="13" xfId="0" applyFont="1" applyFill="1" applyBorder="1" applyAlignment="1" applyProtection="1">
      <alignment horizontal="center" vertical="center" wrapText="1"/>
      <protection locked="0"/>
    </xf>
    <xf numFmtId="0" fontId="1" fillId="9" borderId="4" xfId="0" applyFont="1" applyFill="1" applyBorder="1" applyAlignment="1" applyProtection="1">
      <alignment horizontal="center" vertical="center"/>
      <protection locked="0"/>
    </xf>
    <xf numFmtId="0" fontId="17" fillId="12" borderId="19" xfId="0" applyFont="1" applyFill="1" applyBorder="1"/>
    <xf numFmtId="3" fontId="17" fillId="12" borderId="4" xfId="0" applyNumberFormat="1" applyFont="1" applyFill="1" applyBorder="1"/>
    <xf numFmtId="0" fontId="1" fillId="13" borderId="13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3" fillId="0" borderId="7" xfId="0" applyFont="1" applyBorder="1" applyAlignment="1" applyProtection="1">
      <alignment horizontal="center" vertical="center"/>
      <protection hidden="1"/>
    </xf>
    <xf numFmtId="0" fontId="3" fillId="0" borderId="9" xfId="0" applyFont="1" applyBorder="1" applyAlignment="1" applyProtection="1">
      <alignment horizontal="center" vertical="center"/>
      <protection hidden="1"/>
    </xf>
    <xf numFmtId="0" fontId="3" fillId="0" borderId="9" xfId="0" applyFont="1" applyBorder="1" applyAlignment="1" applyProtection="1">
      <alignment horizontal="center" vertical="center" wrapText="1"/>
      <protection hidden="1"/>
    </xf>
    <xf numFmtId="0" fontId="3" fillId="0" borderId="10" xfId="0" applyFont="1" applyBorder="1" applyAlignment="1" applyProtection="1">
      <alignment horizontal="center" vertical="center" wrapText="1"/>
      <protection hidden="1"/>
    </xf>
    <xf numFmtId="0" fontId="9" fillId="0" borderId="17" xfId="0" applyFont="1" applyBorder="1" applyAlignment="1" applyProtection="1">
      <alignment horizontal="center"/>
      <protection hidden="1"/>
    </xf>
    <xf numFmtId="0" fontId="10" fillId="5" borderId="4" xfId="0" applyFont="1" applyFill="1" applyBorder="1" applyAlignment="1" applyProtection="1">
      <alignment vertical="top" wrapText="1"/>
      <protection hidden="1"/>
    </xf>
    <xf numFmtId="0" fontId="11" fillId="0" borderId="21" xfId="0" applyFont="1" applyBorder="1" applyAlignment="1" applyProtection="1">
      <alignment horizontal="center" wrapText="1"/>
      <protection hidden="1"/>
    </xf>
    <xf numFmtId="0" fontId="3" fillId="0" borderId="11" xfId="0" applyFont="1" applyBorder="1" applyAlignment="1" applyProtection="1">
      <alignment horizontal="center" vertical="center"/>
      <protection hidden="1"/>
    </xf>
    <xf numFmtId="0" fontId="3" fillId="0" borderId="12" xfId="0" applyFont="1" applyBorder="1" applyAlignment="1" applyProtection="1">
      <alignment horizontal="center" vertical="center" wrapText="1"/>
      <protection hidden="1"/>
    </xf>
    <xf numFmtId="0" fontId="8" fillId="0" borderId="14" xfId="0" applyFont="1" applyBorder="1" applyAlignment="1" applyProtection="1">
      <alignment horizontal="center"/>
      <protection hidden="1"/>
    </xf>
    <xf numFmtId="0" fontId="6" fillId="2" borderId="4" xfId="0" applyFont="1" applyFill="1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alignment horizontal="center"/>
      <protection hidden="1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5C6E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466560</xdr:colOff>
      <xdr:row>0</xdr:row>
      <xdr:rowOff>200160</xdr:rowOff>
    </xdr:from>
    <xdr:to>
      <xdr:col>2</xdr:col>
      <xdr:colOff>1989720</xdr:colOff>
      <xdr:row>7</xdr:row>
      <xdr:rowOff>113760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19520" y="200160"/>
          <a:ext cx="1523160" cy="13615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FESTIVOS" displayName="tFESTIVOS" ref="A1:A19" totalsRowShown="0">
  <autoFilter ref="A1:A19" xr:uid="{00000000-0009-0000-0100-000001000000}"/>
  <tableColumns count="1">
    <tableColumn id="1" xr3:uid="{00000000-0010-0000-0000-000001000000}" name="FESTIVOS DEL AÑO 202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I52"/>
  <sheetViews>
    <sheetView tabSelected="1" topLeftCell="A5" zoomScale="80" zoomScaleNormal="80" workbookViewId="0">
      <selection activeCell="A17" sqref="A17"/>
    </sheetView>
  </sheetViews>
  <sheetFormatPr baseColWidth="10" defaultColWidth="9.33203125" defaultRowHeight="16" x14ac:dyDescent="0.2"/>
  <cols>
    <col min="1" max="2" width="9.33203125" style="1"/>
    <col min="3" max="3" width="30.6640625" style="1" customWidth="1"/>
    <col min="4" max="4" width="21.1640625" style="1" customWidth="1"/>
    <col min="5" max="35" width="8.1640625" style="1" customWidth="1"/>
    <col min="36" max="36" width="1.6640625" style="1" customWidth="1"/>
    <col min="37" max="37" width="1.33203125" style="1" customWidth="1"/>
    <col min="38" max="38" width="11.1640625" style="1" customWidth="1"/>
    <col min="39" max="39" width="9.33203125" style="1"/>
  </cols>
  <sheetData>
    <row r="1" spans="1:217" ht="16.5" customHeight="1" x14ac:dyDescent="0.2"/>
    <row r="2" spans="1:217" ht="18" customHeight="1" x14ac:dyDescent="0.2">
      <c r="C2" s="2"/>
      <c r="D2" s="85" t="s">
        <v>0</v>
      </c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6" t="s">
        <v>1</v>
      </c>
      <c r="AD2" s="86"/>
      <c r="AE2" s="86"/>
      <c r="AF2" s="86"/>
      <c r="AG2" s="86"/>
      <c r="AH2" s="86"/>
      <c r="AI2" s="86"/>
    </row>
    <row r="3" spans="1:217" x14ac:dyDescent="0.2">
      <c r="C3" s="2"/>
      <c r="D3" s="3" t="s">
        <v>2</v>
      </c>
      <c r="E3" s="87" t="s">
        <v>3</v>
      </c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8" t="s">
        <v>4</v>
      </c>
      <c r="AD3" s="88"/>
      <c r="AE3" s="88"/>
      <c r="AF3" s="88"/>
      <c r="AG3" s="88"/>
      <c r="AH3" s="88"/>
      <c r="AI3" s="88"/>
    </row>
    <row r="4" spans="1:217" ht="17" x14ac:dyDescent="0.2">
      <c r="C4" s="4" t="s">
        <v>5</v>
      </c>
      <c r="D4" s="5" t="s">
        <v>6</v>
      </c>
      <c r="E4" s="87" t="s">
        <v>7</v>
      </c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8" t="s">
        <v>8</v>
      </c>
      <c r="AD4" s="88"/>
      <c r="AE4" s="88"/>
      <c r="AF4" s="88"/>
      <c r="AG4" s="88"/>
      <c r="AH4" s="88"/>
      <c r="AI4" s="88"/>
    </row>
    <row r="5" spans="1:217" x14ac:dyDescent="0.2">
      <c r="C5" s="4">
        <v>41</v>
      </c>
      <c r="D5" s="5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8"/>
      <c r="AD5" s="88"/>
      <c r="AE5" s="88"/>
      <c r="AF5" s="88"/>
      <c r="AG5" s="88"/>
      <c r="AH5" s="88"/>
      <c r="AI5" s="88"/>
    </row>
    <row r="6" spans="1:217" x14ac:dyDescent="0.2">
      <c r="C6" s="4"/>
      <c r="D6" s="3" t="s">
        <v>9</v>
      </c>
      <c r="E6" s="87" t="s">
        <v>10</v>
      </c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8">
        <v>1</v>
      </c>
      <c r="AD6" s="88"/>
      <c r="AE6" s="88"/>
      <c r="AF6" s="88"/>
      <c r="AG6" s="88"/>
      <c r="AH6" s="88"/>
      <c r="AI6" s="88"/>
    </row>
    <row r="7" spans="1:217" ht="16.5" customHeight="1" x14ac:dyDescent="0.2">
      <c r="C7" s="2"/>
      <c r="D7" s="6" t="s">
        <v>11</v>
      </c>
      <c r="E7" s="87" t="s">
        <v>12</v>
      </c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9" t="s">
        <v>13</v>
      </c>
      <c r="AD7" s="89"/>
      <c r="AE7" s="89"/>
      <c r="AF7" s="89"/>
      <c r="AG7" s="89"/>
      <c r="AH7" s="89"/>
      <c r="AI7" s="89"/>
    </row>
    <row r="8" spans="1:217" ht="16.5" customHeight="1" x14ac:dyDescent="0.2">
      <c r="C8" s="7"/>
      <c r="D8" s="8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8"/>
      <c r="AD8" s="8"/>
      <c r="AE8" s="8"/>
      <c r="AF8" s="8"/>
      <c r="AG8" s="8"/>
      <c r="AH8" s="8"/>
      <c r="AI8" s="8"/>
    </row>
    <row r="9" spans="1:217" ht="16.5" customHeight="1" x14ac:dyDescent="0.2">
      <c r="C9" s="10"/>
      <c r="D9" s="11"/>
      <c r="E9" s="90" t="s">
        <v>14</v>
      </c>
      <c r="F9" s="90"/>
      <c r="G9" s="90"/>
      <c r="H9" s="90" t="s">
        <v>63</v>
      </c>
      <c r="I9" s="90"/>
      <c r="J9" s="90"/>
      <c r="K9" s="90"/>
      <c r="L9" s="90"/>
      <c r="M9" s="90"/>
      <c r="N9" s="90"/>
      <c r="O9" s="90" t="s">
        <v>15</v>
      </c>
      <c r="P9" s="90"/>
      <c r="Q9" s="90"/>
      <c r="R9" s="90">
        <v>2025</v>
      </c>
      <c r="S9" s="90"/>
      <c r="T9" s="90"/>
      <c r="U9" s="90"/>
      <c r="V9" s="90"/>
      <c r="W9" s="12" t="s">
        <v>16</v>
      </c>
      <c r="X9" s="91" t="s">
        <v>17</v>
      </c>
      <c r="Y9" s="91"/>
      <c r="Z9" s="91"/>
      <c r="AA9" s="91"/>
      <c r="AB9" s="91"/>
      <c r="AC9" s="91"/>
      <c r="AD9" s="91"/>
      <c r="AE9" s="92" t="s">
        <v>18</v>
      </c>
      <c r="AF9" s="92"/>
      <c r="AG9" s="92"/>
      <c r="AH9" s="92"/>
      <c r="AI9" s="92"/>
    </row>
    <row r="10" spans="1:217" ht="16.5" customHeight="1" x14ac:dyDescent="0.2">
      <c r="C10" s="2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13"/>
      <c r="Q10" s="13"/>
      <c r="R10" s="9"/>
      <c r="S10" s="9"/>
      <c r="T10" s="13"/>
      <c r="U10" s="13"/>
      <c r="V10" s="13"/>
      <c r="W10" s="13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</row>
    <row r="11" spans="1:217" ht="14.25" customHeight="1" x14ac:dyDescent="0.2">
      <c r="C11" s="96" t="s">
        <v>19</v>
      </c>
      <c r="D11" s="97" t="s">
        <v>20</v>
      </c>
      <c r="E11" s="14">
        <v>1</v>
      </c>
      <c r="F11" s="14">
        <v>2</v>
      </c>
      <c r="G11" s="14">
        <v>3</v>
      </c>
      <c r="H11" s="14">
        <v>4</v>
      </c>
      <c r="I11" s="14">
        <v>5</v>
      </c>
      <c r="J11" s="65">
        <v>6</v>
      </c>
      <c r="K11" s="14">
        <v>7</v>
      </c>
      <c r="L11" s="14">
        <v>8</v>
      </c>
      <c r="M11" s="70">
        <v>9</v>
      </c>
      <c r="N11" s="14">
        <v>10</v>
      </c>
      <c r="O11" s="14">
        <v>11</v>
      </c>
      <c r="P11" s="70">
        <v>12</v>
      </c>
      <c r="Q11" s="14">
        <v>13</v>
      </c>
      <c r="R11" s="14">
        <v>14</v>
      </c>
      <c r="S11" s="14">
        <v>15</v>
      </c>
      <c r="T11" s="14">
        <v>16</v>
      </c>
      <c r="U11" s="14">
        <v>17</v>
      </c>
      <c r="V11" s="14">
        <v>18</v>
      </c>
      <c r="W11" s="14">
        <v>19</v>
      </c>
      <c r="X11" s="14">
        <v>20</v>
      </c>
      <c r="Y11" s="14">
        <v>21</v>
      </c>
      <c r="Z11" s="14">
        <v>22</v>
      </c>
      <c r="AA11" s="14">
        <v>23</v>
      </c>
      <c r="AB11" s="14">
        <v>24</v>
      </c>
      <c r="AC11" s="14">
        <v>25</v>
      </c>
      <c r="AD11" s="14">
        <v>26</v>
      </c>
      <c r="AE11" s="14">
        <v>27</v>
      </c>
      <c r="AF11" s="14">
        <v>28</v>
      </c>
      <c r="AG11" s="14">
        <v>29</v>
      </c>
      <c r="AH11" s="14">
        <v>30</v>
      </c>
      <c r="AI11" s="14" t="s">
        <v>21</v>
      </c>
      <c r="AJ11" s="14"/>
      <c r="AK11" s="14"/>
      <c r="AL11" s="15" t="s">
        <v>22</v>
      </c>
    </row>
    <row r="12" spans="1:217" ht="14.25" customHeight="1" x14ac:dyDescent="0.2">
      <c r="C12" s="96"/>
      <c r="D12" s="97"/>
      <c r="E12" s="14" t="s">
        <v>28</v>
      </c>
      <c r="F12" s="14" t="s">
        <v>23</v>
      </c>
      <c r="G12" s="14" t="s">
        <v>23</v>
      </c>
      <c r="H12" s="14" t="s">
        <v>24</v>
      </c>
      <c r="I12" s="14" t="s">
        <v>25</v>
      </c>
      <c r="J12" s="65" t="s">
        <v>26</v>
      </c>
      <c r="K12" s="14" t="s">
        <v>27</v>
      </c>
      <c r="L12" s="14" t="s">
        <v>28</v>
      </c>
      <c r="M12" s="14" t="s">
        <v>23</v>
      </c>
      <c r="N12" s="14" t="s">
        <v>23</v>
      </c>
      <c r="O12" s="14" t="s">
        <v>24</v>
      </c>
      <c r="P12" s="70" t="s">
        <v>25</v>
      </c>
      <c r="Q12" s="14" t="s">
        <v>26</v>
      </c>
      <c r="R12" s="14" t="s">
        <v>27</v>
      </c>
      <c r="S12" s="14" t="s">
        <v>28</v>
      </c>
      <c r="T12" s="14" t="s">
        <v>23</v>
      </c>
      <c r="U12" s="14" t="s">
        <v>23</v>
      </c>
      <c r="V12" s="14" t="s">
        <v>24</v>
      </c>
      <c r="W12" s="14" t="s">
        <v>25</v>
      </c>
      <c r="X12" s="14" t="s">
        <v>26</v>
      </c>
      <c r="Y12" s="14" t="s">
        <v>27</v>
      </c>
      <c r="Z12" s="14" t="s">
        <v>28</v>
      </c>
      <c r="AA12" s="14" t="s">
        <v>23</v>
      </c>
      <c r="AB12" s="14" t="s">
        <v>23</v>
      </c>
      <c r="AC12" s="14" t="s">
        <v>24</v>
      </c>
      <c r="AD12" s="14" t="s">
        <v>25</v>
      </c>
      <c r="AE12" s="14" t="s">
        <v>26</v>
      </c>
      <c r="AF12" s="14" t="s">
        <v>27</v>
      </c>
      <c r="AG12" s="14" t="s">
        <v>28</v>
      </c>
      <c r="AH12" s="14" t="s">
        <v>23</v>
      </c>
      <c r="AI12" s="14" t="s">
        <v>23</v>
      </c>
      <c r="AJ12" s="14"/>
      <c r="AK12" s="14"/>
      <c r="AL12" s="16"/>
    </row>
    <row r="13" spans="1:217" ht="17" x14ac:dyDescent="0.2">
      <c r="B13" s="1">
        <v>1</v>
      </c>
      <c r="C13" s="17" t="s">
        <v>29</v>
      </c>
      <c r="D13" s="18">
        <v>74244078</v>
      </c>
      <c r="E13" s="19"/>
      <c r="F13" s="19" t="s">
        <v>30</v>
      </c>
      <c r="G13" s="59"/>
      <c r="H13" s="19"/>
      <c r="I13" s="59" t="s">
        <v>31</v>
      </c>
      <c r="J13" s="66" t="s">
        <v>31</v>
      </c>
      <c r="K13" s="19"/>
      <c r="L13" s="19" t="s">
        <v>30</v>
      </c>
      <c r="M13" s="76" t="s">
        <v>31</v>
      </c>
      <c r="N13" s="19" t="s">
        <v>31</v>
      </c>
      <c r="O13" s="19"/>
      <c r="P13" s="71" t="s">
        <v>31</v>
      </c>
      <c r="Q13" s="19"/>
      <c r="R13" s="19" t="s">
        <v>30</v>
      </c>
      <c r="S13" s="19"/>
      <c r="T13" s="19"/>
      <c r="U13" s="19" t="s">
        <v>31</v>
      </c>
      <c r="V13" s="19"/>
      <c r="W13" s="19" t="s">
        <v>30</v>
      </c>
      <c r="X13" s="19"/>
      <c r="Y13" s="19"/>
      <c r="Z13" s="19" t="s">
        <v>31</v>
      </c>
      <c r="AA13" s="19" t="s">
        <v>31</v>
      </c>
      <c r="AB13" s="19"/>
      <c r="AC13" s="19"/>
      <c r="AD13" s="19" t="s">
        <v>31</v>
      </c>
      <c r="AE13" s="19" t="s">
        <v>31</v>
      </c>
      <c r="AF13" s="19"/>
      <c r="AG13" s="19" t="s">
        <v>30</v>
      </c>
      <c r="AH13" s="19"/>
      <c r="AI13" s="19"/>
      <c r="AJ13" s="19"/>
      <c r="AK13" s="19"/>
      <c r="AL13" s="20">
        <f t="shared" ref="AL13:AL22" si="0">IFERROR(VLOOKUP(E13,$B$25:$E$35,4,FALSE()),0)+
IFERROR(VLOOKUP(F13,$B$25:$E$35,4,FALSE()),0)+
IFERROR(VLOOKUP(G13,$B$25:$E$35,4,FALSE()),0)+
IFERROR(VLOOKUP(H13,$B$25:$E$35,4,FALSE()),0)+
IFERROR(VLOOKUP(I13,$B$25:$E$35,4,FALSE()),0)+
IFERROR(VLOOKUP(J13,$B$25:$E$35,4,FALSE()),0)+
IFERROR(VLOOKUP(K13,$B$25:$E$35,4,FALSE()),0)+
IFERROR(VLOOKUP(L13,$B$25:$E$35,4,FALSE()),0)+
IFERROR(VLOOKUP(M13,$B$25:$E$35,4,FALSE()),0)+
IFERROR(VLOOKUP(N13,$B$25:$E$35,4,FALSE()),0)+
IFERROR(VLOOKUP(O13,$B$25:$E$35,4,FALSE()),0)+
IFERROR(VLOOKUP(P13,$B$25:$E$35,4,FALSE()),0)+
IFERROR(VLOOKUP(Q13,$B$25:$E$35,4,FALSE()),0)+
IFERROR(VLOOKUP(R13,$B$25:$E$35,4,FALSE()),0)+
IFERROR(VLOOKUP(S13,$B$25:$E$35,4,FALSE()),0)+
IFERROR(VLOOKUP(T13,$B$25:$E$35,4,FALSE()),0)+
IFERROR(VLOOKUP(U13,$B$25:$E$35,4,FALSE()),0)+
IFERROR(VLOOKUP(V13,$B$25:$E$35,4,FALSE()),0)+
IFERROR(VLOOKUP(W13,$B$25:$E$35,4,FALSE()),0)+
IFERROR(VLOOKUP(X13,$B$25:$E$35,4,FALSE()),0)+
IFERROR(VLOOKUP(Y13,$B$25:$E$35,4,FALSE()),0)+
IFERROR(VLOOKUP(Z13,$B$25:$E$35,4,FALSE()),0)+
IFERROR(VLOOKUP(AA13,$B$25:$E$35,4,FALSE()),0)+
IFERROR(VLOOKUP(AB13,$B$25:$E$35,4,FALSE()),0)+
IFERROR(VLOOKUP(AC13,$B$25:$E$35,4,FALSE()),0)+
IFERROR(VLOOKUP(AD13,$B$25:$E$35,4,FALSE()),0)+
IFERROR(VLOOKUP(AE13,$B$25:$E$35,4,FALSE()),0)+
IFERROR(VLOOKUP(AF13,$B$25:$E$35,4,FALSE()),0)+
IFERROR(VLOOKUP(AG13,$B$25:$E$35,4,FALSE()),0)+
IFERROR(VLOOKUP(AH13,$B$25:$E$35,4,FALSE()),0)+
IFERROR(VLOOKUP(AI13,$B$25:$E$35,4,FALSE()),0)+
IFERROR(VLOOKUP(AJ13,$B$25:$E$35,4,FALSE()),0)</f>
        <v>180</v>
      </c>
      <c r="AM13" s="21"/>
      <c r="AN13" s="21"/>
    </row>
    <row r="14" spans="1:217" x14ac:dyDescent="0.2">
      <c r="B14" s="22">
        <v>2</v>
      </c>
      <c r="C14" s="23" t="s">
        <v>32</v>
      </c>
      <c r="D14" s="24">
        <v>1002725879</v>
      </c>
      <c r="E14" s="25" t="s">
        <v>30</v>
      </c>
      <c r="F14" s="25"/>
      <c r="G14" s="25" t="s">
        <v>31</v>
      </c>
      <c r="H14" s="25"/>
      <c r="I14" s="25" t="s">
        <v>30</v>
      </c>
      <c r="J14" s="67"/>
      <c r="K14" s="25"/>
      <c r="L14" s="25"/>
      <c r="M14" s="77"/>
      <c r="N14" s="25" t="s">
        <v>30</v>
      </c>
      <c r="O14" s="25" t="s">
        <v>30</v>
      </c>
      <c r="P14" s="72"/>
      <c r="Q14" s="25" t="s">
        <v>30</v>
      </c>
      <c r="R14" s="25"/>
      <c r="S14" s="25" t="s">
        <v>30</v>
      </c>
      <c r="T14" s="25" t="s">
        <v>31</v>
      </c>
      <c r="U14" s="25"/>
      <c r="V14" s="25" t="s">
        <v>31</v>
      </c>
      <c r="W14" s="25"/>
      <c r="X14" s="25" t="s">
        <v>31</v>
      </c>
      <c r="Y14" s="25" t="s">
        <v>31</v>
      </c>
      <c r="Z14" s="25"/>
      <c r="AA14" s="25"/>
      <c r="AB14" s="25"/>
      <c r="AC14" s="25"/>
      <c r="AD14" s="25" t="s">
        <v>30</v>
      </c>
      <c r="AE14" s="25"/>
      <c r="AF14" s="25"/>
      <c r="AG14" s="25"/>
      <c r="AH14" s="25"/>
      <c r="AI14" s="25" t="s">
        <v>31</v>
      </c>
      <c r="AJ14" s="25"/>
      <c r="AK14" s="25"/>
      <c r="AL14" s="26">
        <f t="shared" si="0"/>
        <v>156</v>
      </c>
      <c r="AM14" s="21"/>
      <c r="AN14" s="21"/>
    </row>
    <row r="15" spans="1:217" s="36" customFormat="1" x14ac:dyDescent="0.2">
      <c r="A15" s="27"/>
      <c r="B15" s="28">
        <v>2</v>
      </c>
      <c r="C15" s="29" t="s">
        <v>32</v>
      </c>
      <c r="D15" s="30">
        <v>1002725879</v>
      </c>
      <c r="E15" s="61"/>
      <c r="F15" s="31"/>
      <c r="G15" s="31" t="s">
        <v>33</v>
      </c>
      <c r="H15" s="32"/>
      <c r="I15" s="32"/>
      <c r="J15" s="68"/>
      <c r="K15" s="32"/>
      <c r="L15" s="31"/>
      <c r="M15" s="78"/>
      <c r="N15" s="32"/>
      <c r="O15" s="31"/>
      <c r="P15" s="73" t="s">
        <v>33</v>
      </c>
      <c r="Q15" s="31"/>
      <c r="R15" s="31"/>
      <c r="S15" s="31"/>
      <c r="T15" s="31" t="s">
        <v>33</v>
      </c>
      <c r="U15" s="32"/>
      <c r="V15" s="32" t="s">
        <v>33</v>
      </c>
      <c r="W15" s="32"/>
      <c r="X15" s="32"/>
      <c r="Y15" s="60"/>
      <c r="Z15" s="62"/>
      <c r="AA15" s="61"/>
      <c r="AB15" s="60"/>
      <c r="AC15" s="60"/>
      <c r="AD15" s="60"/>
      <c r="AE15" s="62"/>
      <c r="AF15" s="61"/>
      <c r="AG15" s="61"/>
      <c r="AH15" s="60"/>
      <c r="AI15" s="31"/>
      <c r="AJ15" s="31"/>
      <c r="AK15" s="31"/>
      <c r="AL15" s="33">
        <f t="shared" si="0"/>
        <v>24</v>
      </c>
      <c r="AM15" s="34">
        <v>180</v>
      </c>
      <c r="AN15" s="34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</row>
    <row r="16" spans="1:217" ht="15.75" customHeight="1" x14ac:dyDescent="0.2">
      <c r="B16" s="22">
        <v>3</v>
      </c>
      <c r="C16" s="23" t="s">
        <v>34</v>
      </c>
      <c r="D16" s="24">
        <v>1013644734</v>
      </c>
      <c r="E16" s="25"/>
      <c r="F16" s="25" t="s">
        <v>31</v>
      </c>
      <c r="G16" s="64"/>
      <c r="H16" s="25" t="s">
        <v>31</v>
      </c>
      <c r="I16" s="25"/>
      <c r="J16" s="67" t="s">
        <v>30</v>
      </c>
      <c r="K16" s="25" t="s">
        <v>30</v>
      </c>
      <c r="L16" s="25" t="s">
        <v>31</v>
      </c>
      <c r="M16" s="77"/>
      <c r="N16" s="25"/>
      <c r="O16" s="38"/>
      <c r="P16" s="72" t="s">
        <v>30</v>
      </c>
      <c r="Q16" s="25" t="s">
        <v>31</v>
      </c>
      <c r="R16" s="25"/>
      <c r="S16" s="25" t="s">
        <v>31</v>
      </c>
      <c r="T16" s="25"/>
      <c r="U16" s="25" t="s">
        <v>30</v>
      </c>
      <c r="V16" s="25" t="s">
        <v>30</v>
      </c>
      <c r="W16" s="25" t="s">
        <v>31</v>
      </c>
      <c r="X16" s="25"/>
      <c r="Y16" s="25"/>
      <c r="Z16" s="25"/>
      <c r="AA16" s="25"/>
      <c r="AB16" s="25" t="s">
        <v>30</v>
      </c>
      <c r="AC16" s="25" t="s">
        <v>30</v>
      </c>
      <c r="AD16" s="25"/>
      <c r="AE16" s="25"/>
      <c r="AF16" s="25"/>
      <c r="AG16" s="25" t="s">
        <v>31</v>
      </c>
      <c r="AH16" s="25"/>
      <c r="AI16" s="25"/>
      <c r="AJ16" s="25"/>
      <c r="AK16" s="25"/>
      <c r="AL16" s="26">
        <f t="shared" si="0"/>
        <v>168</v>
      </c>
      <c r="AM16" s="34"/>
      <c r="AN16" s="34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</row>
    <row r="17" spans="1:217" ht="15.75" customHeight="1" x14ac:dyDescent="0.2">
      <c r="B17" s="22">
        <v>3</v>
      </c>
      <c r="C17" s="29" t="s">
        <v>34</v>
      </c>
      <c r="D17" s="30">
        <v>1013644734</v>
      </c>
      <c r="E17" s="31"/>
      <c r="F17" s="61" t="s">
        <v>33</v>
      </c>
      <c r="G17" s="32"/>
      <c r="H17" s="32" t="s">
        <v>33</v>
      </c>
      <c r="I17" s="32"/>
      <c r="J17" s="69"/>
      <c r="K17" s="31"/>
      <c r="L17" s="62"/>
      <c r="M17" s="79"/>
      <c r="N17" s="31"/>
      <c r="O17" s="32"/>
      <c r="P17" s="74"/>
      <c r="Q17" s="32"/>
      <c r="R17" s="31"/>
      <c r="S17" s="32" t="s">
        <v>33</v>
      </c>
      <c r="T17" s="32"/>
      <c r="U17" s="31"/>
      <c r="V17" s="32"/>
      <c r="W17" s="61" t="s">
        <v>33</v>
      </c>
      <c r="X17" s="31"/>
      <c r="Y17" s="31"/>
      <c r="Z17" s="32"/>
      <c r="AA17" s="31"/>
      <c r="AB17" s="32"/>
      <c r="AC17" s="32"/>
      <c r="AD17" s="62"/>
      <c r="AE17" s="32"/>
      <c r="AF17" s="31"/>
      <c r="AG17" s="32"/>
      <c r="AH17" s="31"/>
      <c r="AI17" s="31"/>
      <c r="AJ17" s="31"/>
      <c r="AK17" s="31"/>
      <c r="AL17" s="33">
        <f t="shared" si="0"/>
        <v>24</v>
      </c>
      <c r="AM17" s="34">
        <v>190</v>
      </c>
      <c r="AN17" s="34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</row>
    <row r="18" spans="1:217" ht="15.75" customHeight="1" x14ac:dyDescent="0.2">
      <c r="B18" s="22">
        <v>4</v>
      </c>
      <c r="C18" s="23" t="s">
        <v>35</v>
      </c>
      <c r="D18" s="24">
        <v>1054679214</v>
      </c>
      <c r="E18" s="25" t="s">
        <v>31</v>
      </c>
      <c r="F18" s="25"/>
      <c r="G18" s="25" t="s">
        <v>30</v>
      </c>
      <c r="H18" s="37" t="s">
        <v>30</v>
      </c>
      <c r="I18" s="25"/>
      <c r="J18" s="67"/>
      <c r="K18" s="25" t="s">
        <v>31</v>
      </c>
      <c r="L18" s="25"/>
      <c r="M18" s="80" t="s">
        <v>30</v>
      </c>
      <c r="N18" s="25"/>
      <c r="O18" s="63" t="s">
        <v>31</v>
      </c>
      <c r="P18" s="72"/>
      <c r="Q18" s="25"/>
      <c r="R18" s="25" t="s">
        <v>31</v>
      </c>
      <c r="S18" s="25"/>
      <c r="T18" s="25" t="s">
        <v>30</v>
      </c>
      <c r="U18" s="25"/>
      <c r="V18" s="25"/>
      <c r="W18" s="25"/>
      <c r="X18" s="37"/>
      <c r="Y18" s="25"/>
      <c r="Z18" s="25"/>
      <c r="AA18" s="25" t="s">
        <v>30</v>
      </c>
      <c r="AB18" s="25" t="s">
        <v>31</v>
      </c>
      <c r="AC18" s="25" t="s">
        <v>31</v>
      </c>
      <c r="AD18" s="25"/>
      <c r="AE18" s="25"/>
      <c r="AF18" s="25" t="s">
        <v>31</v>
      </c>
      <c r="AG18" s="25"/>
      <c r="AH18" s="25" t="s">
        <v>31</v>
      </c>
      <c r="AI18" s="25"/>
      <c r="AJ18" s="25"/>
      <c r="AK18" s="25"/>
      <c r="AL18" s="26">
        <f t="shared" si="0"/>
        <v>156</v>
      </c>
      <c r="AM18" s="34"/>
      <c r="AN18" s="34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</row>
    <row r="19" spans="1:217" s="36" customFormat="1" ht="15.75" customHeight="1" x14ac:dyDescent="0.2">
      <c r="A19" s="27"/>
      <c r="B19" s="28">
        <v>4</v>
      </c>
      <c r="C19" s="29" t="s">
        <v>35</v>
      </c>
      <c r="D19" s="30">
        <v>1054679214</v>
      </c>
      <c r="E19" s="32"/>
      <c r="F19" s="31"/>
      <c r="G19" s="31"/>
      <c r="H19" s="32"/>
      <c r="I19" s="32"/>
      <c r="J19" s="68"/>
      <c r="K19" s="31"/>
      <c r="L19" s="32"/>
      <c r="M19" s="78"/>
      <c r="N19" s="32" t="s">
        <v>33</v>
      </c>
      <c r="O19" s="61" t="s">
        <v>33</v>
      </c>
      <c r="P19" s="75"/>
      <c r="Q19" s="62"/>
      <c r="R19" s="32"/>
      <c r="S19" s="62"/>
      <c r="T19" s="31"/>
      <c r="U19" s="32" t="s">
        <v>33</v>
      </c>
      <c r="V19" s="31"/>
      <c r="W19" s="32"/>
      <c r="X19" s="32"/>
      <c r="Y19" s="31"/>
      <c r="Z19" s="61" t="s">
        <v>33</v>
      </c>
      <c r="AA19" s="31"/>
      <c r="AB19" s="31"/>
      <c r="AC19" s="32"/>
      <c r="AD19" s="32"/>
      <c r="AE19" s="32"/>
      <c r="AF19" s="31"/>
      <c r="AG19" s="31"/>
      <c r="AH19" s="61" t="s">
        <v>33</v>
      </c>
      <c r="AI19" s="31"/>
      <c r="AJ19" s="31"/>
      <c r="AK19" s="31"/>
      <c r="AL19" s="33">
        <f t="shared" si="0"/>
        <v>30</v>
      </c>
      <c r="AM19" s="34">
        <v>186</v>
      </c>
      <c r="AN19" s="34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</row>
    <row r="20" spans="1:217" ht="15.75" customHeight="1" x14ac:dyDescent="0.2">
      <c r="B20" s="22">
        <v>5</v>
      </c>
      <c r="C20" s="82" t="s">
        <v>64</v>
      </c>
      <c r="D20" s="83">
        <v>1020838357</v>
      </c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 t="s">
        <v>30</v>
      </c>
      <c r="Y20" s="84" t="s">
        <v>30</v>
      </c>
      <c r="Z20" s="84" t="s">
        <v>30</v>
      </c>
      <c r="AA20" s="84"/>
      <c r="AB20" s="84"/>
      <c r="AC20" s="84"/>
      <c r="AD20" s="84"/>
      <c r="AE20" s="84" t="s">
        <v>30</v>
      </c>
      <c r="AF20" s="84" t="s">
        <v>30</v>
      </c>
      <c r="AG20" s="84"/>
      <c r="AH20" s="84" t="s">
        <v>30</v>
      </c>
      <c r="AI20" s="84" t="s">
        <v>30</v>
      </c>
      <c r="AJ20" s="25"/>
      <c r="AK20" s="25"/>
      <c r="AL20" s="26">
        <f t="shared" si="0"/>
        <v>84</v>
      </c>
      <c r="AM20" s="34">
        <v>84</v>
      </c>
      <c r="AN20" s="34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</row>
    <row r="21" spans="1:217" ht="15.75" customHeight="1" x14ac:dyDescent="0.2">
      <c r="B21" s="22"/>
      <c r="C21" s="23"/>
      <c r="D21" s="23"/>
      <c r="E21" s="25"/>
      <c r="F21" s="25"/>
      <c r="G21" s="25"/>
      <c r="H21" s="25"/>
      <c r="I21" s="25"/>
      <c r="J21" s="25"/>
      <c r="K21" s="25"/>
      <c r="L21" s="25"/>
      <c r="M21" s="77"/>
      <c r="N21" s="25"/>
      <c r="O21" s="25"/>
      <c r="P21" s="72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6">
        <f t="shared" si="0"/>
        <v>0</v>
      </c>
      <c r="AM21" s="34"/>
      <c r="AN21" s="34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</row>
    <row r="22" spans="1:217" ht="15.75" customHeight="1" x14ac:dyDescent="0.2">
      <c r="B22" s="39"/>
      <c r="C22" s="23"/>
      <c r="D22" s="23"/>
      <c r="E22" s="40"/>
      <c r="F22" s="40"/>
      <c r="G22" s="40"/>
      <c r="H22" s="40"/>
      <c r="I22" s="40"/>
      <c r="J22" s="40"/>
      <c r="K22" s="40"/>
      <c r="L22" s="40"/>
      <c r="M22" s="81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26">
        <f t="shared" si="0"/>
        <v>0</v>
      </c>
      <c r="AM22" s="34"/>
      <c r="AN22" s="34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</row>
    <row r="23" spans="1:217" ht="16.5" customHeight="1" x14ac:dyDescent="0.2">
      <c r="B23" s="22"/>
      <c r="K23" s="98" t="s">
        <v>36</v>
      </c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</row>
    <row r="24" spans="1:217" x14ac:dyDescent="0.2">
      <c r="C24" s="41" t="s">
        <v>37</v>
      </c>
      <c r="D24" s="42" t="s">
        <v>37</v>
      </c>
      <c r="E24" s="99" t="s">
        <v>38</v>
      </c>
      <c r="F24" s="99"/>
      <c r="G24" s="99" t="s">
        <v>39</v>
      </c>
      <c r="H24" s="99"/>
      <c r="I24" s="99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</row>
    <row r="25" spans="1:217" ht="41.25" customHeight="1" x14ac:dyDescent="0.2">
      <c r="B25" s="43" t="s">
        <v>40</v>
      </c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</row>
    <row r="26" spans="1:217" ht="41.25" customHeight="1" x14ac:dyDescent="0.2">
      <c r="B26" s="44" t="s">
        <v>33</v>
      </c>
      <c r="C26" s="45" t="s">
        <v>41</v>
      </c>
      <c r="D26" s="46">
        <v>6</v>
      </c>
      <c r="E26" s="94">
        <v>6</v>
      </c>
      <c r="F26" s="94"/>
      <c r="G26" s="94" t="s">
        <v>17</v>
      </c>
      <c r="H26" s="94"/>
      <c r="I26" s="94"/>
      <c r="U26" s="47"/>
      <c r="V26" s="47"/>
      <c r="W26" s="47"/>
      <c r="X26" s="47"/>
      <c r="Y26" s="48"/>
      <c r="Z26" s="48"/>
    </row>
    <row r="27" spans="1:217" ht="41.25" customHeight="1" x14ac:dyDescent="0.25">
      <c r="B27" s="44" t="s">
        <v>42</v>
      </c>
      <c r="C27" s="45" t="s">
        <v>43</v>
      </c>
      <c r="D27" s="46">
        <v>6</v>
      </c>
      <c r="E27" s="49"/>
      <c r="F27" s="50">
        <v>6</v>
      </c>
      <c r="G27" s="49" t="s">
        <v>17</v>
      </c>
      <c r="H27" s="51"/>
      <c r="I27" s="50"/>
      <c r="N27" s="52"/>
      <c r="U27" s="95" t="s">
        <v>44</v>
      </c>
      <c r="V27" s="95"/>
      <c r="W27" s="95"/>
      <c r="X27" s="95"/>
      <c r="Y27" s="95"/>
      <c r="Z27" s="95"/>
      <c r="AA27" s="52"/>
    </row>
    <row r="28" spans="1:217" ht="41.25" customHeight="1" x14ac:dyDescent="0.25">
      <c r="B28" s="44" t="s">
        <v>27</v>
      </c>
      <c r="C28" s="45" t="s">
        <v>45</v>
      </c>
      <c r="D28" s="46">
        <v>12</v>
      </c>
      <c r="E28" s="49">
        <v>12</v>
      </c>
      <c r="F28" s="50"/>
      <c r="G28" s="49" t="s">
        <v>46</v>
      </c>
      <c r="H28" s="51"/>
      <c r="I28" s="50"/>
      <c r="O28" s="52"/>
      <c r="U28" s="53"/>
      <c r="V28" s="54"/>
      <c r="W28" s="55"/>
    </row>
    <row r="29" spans="1:217" ht="41.25" customHeight="1" x14ac:dyDescent="0.2">
      <c r="B29" s="44" t="s">
        <v>47</v>
      </c>
      <c r="C29" s="45" t="s">
        <v>48</v>
      </c>
      <c r="D29" s="46" t="s">
        <v>49</v>
      </c>
      <c r="E29" s="49">
        <v>24</v>
      </c>
      <c r="F29" s="50"/>
      <c r="G29" s="49" t="s">
        <v>50</v>
      </c>
      <c r="H29" s="51"/>
      <c r="I29" s="50"/>
    </row>
    <row r="30" spans="1:217" ht="41.25" customHeight="1" x14ac:dyDescent="0.2">
      <c r="B30" s="44" t="s">
        <v>30</v>
      </c>
      <c r="C30" s="45" t="s">
        <v>45</v>
      </c>
      <c r="D30" s="46">
        <v>12</v>
      </c>
      <c r="E30" s="49">
        <v>12</v>
      </c>
      <c r="F30" s="50"/>
      <c r="G30" s="49" t="s">
        <v>51</v>
      </c>
      <c r="H30" s="51"/>
      <c r="I30" s="50"/>
    </row>
    <row r="31" spans="1:217" ht="41.25" customHeight="1" x14ac:dyDescent="0.2">
      <c r="B31" s="44" t="s">
        <v>31</v>
      </c>
      <c r="C31" s="45" t="s">
        <v>52</v>
      </c>
      <c r="D31" s="46">
        <v>12</v>
      </c>
      <c r="E31" s="49">
        <v>12</v>
      </c>
      <c r="F31" s="50"/>
      <c r="G31" s="49" t="s">
        <v>53</v>
      </c>
      <c r="H31" s="51"/>
      <c r="I31" s="50"/>
      <c r="Q31" s="52"/>
    </row>
    <row r="32" spans="1:217" ht="41.25" customHeight="1" x14ac:dyDescent="0.2">
      <c r="B32" s="44" t="s">
        <v>54</v>
      </c>
      <c r="C32" s="45" t="s">
        <v>45</v>
      </c>
      <c r="D32" s="46">
        <v>12</v>
      </c>
      <c r="E32" s="49">
        <v>12</v>
      </c>
      <c r="F32" s="50"/>
      <c r="G32" s="49" t="s">
        <v>55</v>
      </c>
      <c r="H32" s="51"/>
      <c r="I32" s="50"/>
    </row>
    <row r="33" spans="2:31" ht="41.25" customHeight="1" x14ac:dyDescent="0.2">
      <c r="B33" s="44" t="s">
        <v>56</v>
      </c>
      <c r="C33" s="45" t="s">
        <v>52</v>
      </c>
      <c r="D33" s="46">
        <v>12</v>
      </c>
      <c r="E33" s="49">
        <v>12</v>
      </c>
      <c r="F33" s="50"/>
      <c r="G33" s="49" t="s">
        <v>57</v>
      </c>
      <c r="H33" s="51"/>
      <c r="I33" s="50"/>
    </row>
    <row r="34" spans="2:31" ht="41.25" customHeight="1" x14ac:dyDescent="0.2">
      <c r="B34" s="44" t="s">
        <v>58</v>
      </c>
      <c r="C34" s="45" t="s">
        <v>59</v>
      </c>
      <c r="D34" s="46" t="s">
        <v>60</v>
      </c>
      <c r="E34" s="49">
        <v>6</v>
      </c>
      <c r="F34" s="50"/>
      <c r="G34" s="49" t="s">
        <v>61</v>
      </c>
      <c r="H34" s="51"/>
      <c r="I34" s="50"/>
      <c r="AE34" s="52"/>
    </row>
    <row r="35" spans="2:31" ht="41.25" customHeight="1" x14ac:dyDescent="0.2">
      <c r="B35" s="44"/>
      <c r="C35" s="45"/>
      <c r="D35" s="46"/>
      <c r="E35" s="49"/>
      <c r="F35" s="50"/>
      <c r="G35" s="49"/>
      <c r="H35" s="51"/>
      <c r="I35" s="50"/>
    </row>
    <row r="36" spans="2:31" ht="41.25" customHeight="1" x14ac:dyDescent="0.2">
      <c r="C36" s="45"/>
      <c r="D36" s="46"/>
      <c r="E36" s="49"/>
      <c r="F36" s="50"/>
      <c r="G36" s="49"/>
      <c r="H36" s="51"/>
      <c r="I36" s="50"/>
    </row>
    <row r="37" spans="2:31" ht="41.25" customHeight="1" x14ac:dyDescent="0.2"/>
    <row r="38" spans="2:31" ht="41.25" customHeight="1" x14ac:dyDescent="0.2"/>
    <row r="39" spans="2:31" ht="41.25" customHeight="1" x14ac:dyDescent="0.2"/>
    <row r="40" spans="2:31" ht="41.25" customHeight="1" x14ac:dyDescent="0.2"/>
    <row r="41" spans="2:31" ht="41.25" customHeight="1" x14ac:dyDescent="0.2"/>
    <row r="42" spans="2:31" ht="41.25" customHeight="1" x14ac:dyDescent="0.2"/>
    <row r="43" spans="2:31" ht="41.25" customHeight="1" x14ac:dyDescent="0.2"/>
    <row r="44" spans="2:31" ht="41.25" customHeight="1" x14ac:dyDescent="0.2"/>
    <row r="45" spans="2:31" ht="41.25" customHeight="1" x14ac:dyDescent="0.2"/>
    <row r="46" spans="2:31" ht="41.25" customHeight="1" x14ac:dyDescent="0.2"/>
    <row r="47" spans="2:31" ht="41.25" customHeight="1" x14ac:dyDescent="0.2"/>
    <row r="48" spans="2:31" ht="41.25" customHeight="1" x14ac:dyDescent="0.2"/>
    <row r="49" spans="2:2" ht="41.25" customHeight="1" x14ac:dyDescent="0.2"/>
    <row r="50" spans="2:2" ht="41.25" customHeight="1" x14ac:dyDescent="0.2"/>
    <row r="51" spans="2:2" ht="41.25" customHeight="1" x14ac:dyDescent="0.2"/>
    <row r="52" spans="2:2" ht="15.75" customHeight="1" x14ac:dyDescent="0.2">
      <c r="B52" s="44"/>
    </row>
  </sheetData>
  <mergeCells count="27">
    <mergeCell ref="K25:AI25"/>
    <mergeCell ref="E26:F26"/>
    <mergeCell ref="G26:I26"/>
    <mergeCell ref="U27:Z27"/>
    <mergeCell ref="C11:C12"/>
    <mergeCell ref="D11:D12"/>
    <mergeCell ref="K23:AI23"/>
    <mergeCell ref="E24:F24"/>
    <mergeCell ref="G24:I24"/>
    <mergeCell ref="K24:AI24"/>
    <mergeCell ref="E6:AB6"/>
    <mergeCell ref="AC6:AI6"/>
    <mergeCell ref="E7:AB7"/>
    <mergeCell ref="AC7:AI7"/>
    <mergeCell ref="E9:G9"/>
    <mergeCell ref="H9:N9"/>
    <mergeCell ref="O9:Q9"/>
    <mergeCell ref="R9:V9"/>
    <mergeCell ref="X9:AD9"/>
    <mergeCell ref="AE9:AI9"/>
    <mergeCell ref="D2:AB2"/>
    <mergeCell ref="AC2:AI2"/>
    <mergeCell ref="E3:AB3"/>
    <mergeCell ref="AC3:AI3"/>
    <mergeCell ref="E4:AB4"/>
    <mergeCell ref="AC4:AI5"/>
    <mergeCell ref="E5:AB5"/>
  </mergeCells>
  <conditionalFormatting sqref="M11">
    <cfRule type="expression" dxfId="0" priority="2">
      <formula>E$12="S"</formula>
    </cfRule>
  </conditionalFormatting>
  <dataValidations count="1">
    <dataValidation type="list" allowBlank="1" showInputMessage="1" showErrorMessage="1" sqref="E13:AK22" xr:uid="{00000000-0002-0000-0000-000000000000}">
      <formula1>ListaSinBlancos</formula1>
      <formula2>0</formula2>
    </dataValidation>
  </dataValidations>
  <pageMargins left="0.7" right="0.7" top="0.75" bottom="0.75" header="0.511811023622047" footer="0.511811023622047"/>
  <pageSetup orientation="portrait" horizontalDpi="300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18456670-1B7D-48F9-89D0-ADC4802A56DE}">
            <xm:f>IF(OR(E$12="D", E$12="S"), TRUE(), AND(E$11&lt;&gt;"", COUNTIF(FESTIVOS!$A$2:$A$17, DATE(2025, MONTH(TEXT($H$9&amp;" 1", "MMM D")), E$11))&gt;0))</xm:f>
            <x14:dxf>
              <fill>
                <patternFill>
                  <bgColor rgb="FF92D050"/>
                </patternFill>
              </fill>
            </x14:dxf>
          </x14:cfRule>
          <x14:cfRule type="expression" priority="4" id="{BB8CF1B0-86D8-4876-9C3F-EE9D498813EF}">
            <xm:f>AND(E$11&lt;&gt;"", COUNTIF(FESTIVOS!$A$2:$A$17, DATE(2025, MONTH(TEXT($H$9&amp;" 1", "MMM D")), E$11))&gt;0)</xm:f>
            <x14:dxf>
              <fill>
                <patternFill>
                  <bgColor rgb="FF00B050"/>
                </patternFill>
              </fill>
            </x14:dxf>
          </x14:cfRule>
          <xm:sqref>E11:AK22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zoomScale="65" zoomScaleNormal="65" workbookViewId="0">
      <selection activeCell="I9" sqref="I9"/>
    </sheetView>
  </sheetViews>
  <sheetFormatPr baseColWidth="10" defaultColWidth="8.6640625" defaultRowHeight="16" x14ac:dyDescent="0.2"/>
  <sheetData>
    <row r="1" spans="1:5" ht="25.5" customHeight="1" x14ac:dyDescent="0.2">
      <c r="A1" s="56" t="s">
        <v>62</v>
      </c>
      <c r="B1">
        <v>1</v>
      </c>
      <c r="C1">
        <v>2</v>
      </c>
      <c r="D1">
        <v>3</v>
      </c>
      <c r="E1">
        <v>4</v>
      </c>
    </row>
    <row r="2" spans="1:5" x14ac:dyDescent="0.2">
      <c r="A2" s="57">
        <v>45658</v>
      </c>
    </row>
    <row r="3" spans="1:5" x14ac:dyDescent="0.2">
      <c r="A3" s="57">
        <v>45663</v>
      </c>
    </row>
    <row r="4" spans="1:5" x14ac:dyDescent="0.2">
      <c r="A4" s="57">
        <v>45740</v>
      </c>
    </row>
    <row r="5" spans="1:5" x14ac:dyDescent="0.2">
      <c r="A5" s="57">
        <v>45764</v>
      </c>
    </row>
    <row r="6" spans="1:5" x14ac:dyDescent="0.2">
      <c r="A6" s="57">
        <v>45765</v>
      </c>
    </row>
    <row r="7" spans="1:5" x14ac:dyDescent="0.2">
      <c r="A7" s="57">
        <v>45778</v>
      </c>
    </row>
    <row r="8" spans="1:5" x14ac:dyDescent="0.2">
      <c r="A8" s="57">
        <v>45810</v>
      </c>
    </row>
    <row r="9" spans="1:5" x14ac:dyDescent="0.2">
      <c r="A9" s="57">
        <v>45831</v>
      </c>
    </row>
    <row r="10" spans="1:5" x14ac:dyDescent="0.2">
      <c r="A10" s="57">
        <v>45838</v>
      </c>
    </row>
    <row r="11" spans="1:5" x14ac:dyDescent="0.2">
      <c r="A11" s="57">
        <v>45876</v>
      </c>
    </row>
    <row r="12" spans="1:5" x14ac:dyDescent="0.2">
      <c r="A12" s="57">
        <v>45887</v>
      </c>
    </row>
    <row r="13" spans="1:5" x14ac:dyDescent="0.2">
      <c r="A13" s="57">
        <v>45943</v>
      </c>
    </row>
    <row r="14" spans="1:5" x14ac:dyDescent="0.2">
      <c r="A14" s="57">
        <v>45964</v>
      </c>
    </row>
    <row r="15" spans="1:5" x14ac:dyDescent="0.2">
      <c r="A15" s="57">
        <v>45978</v>
      </c>
    </row>
    <row r="16" spans="1:5" x14ac:dyDescent="0.2">
      <c r="A16" s="57">
        <v>45999</v>
      </c>
    </row>
    <row r="17" spans="1:1" x14ac:dyDescent="0.2">
      <c r="A17" s="57">
        <v>46016</v>
      </c>
    </row>
    <row r="18" spans="1:1" x14ac:dyDescent="0.2">
      <c r="A18" s="58"/>
    </row>
    <row r="19" spans="1:1" x14ac:dyDescent="0.2">
      <c r="A19" s="58"/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TURNOS</vt:lpstr>
      <vt:lpstr>FESTIVOS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LIDER SUBGERENCIA CIENTIFICA</dc:creator>
  <cp:keywords/>
  <dc:description/>
  <cp:lastModifiedBy>Sharon Katherine Acuña</cp:lastModifiedBy>
  <cp:revision>2</cp:revision>
  <dcterms:created xsi:type="dcterms:W3CDTF">2024-12-18T21:33:15Z</dcterms:created>
  <dcterms:modified xsi:type="dcterms:W3CDTF">2025-11-24T03:33:12Z</dcterms:modified>
  <cp:category/>
  <cp:contentStatus/>
</cp:coreProperties>
</file>