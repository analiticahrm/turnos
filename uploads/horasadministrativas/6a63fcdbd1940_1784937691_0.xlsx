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haronkatherineacunarubiano/Desktop/"/>
    </mc:Choice>
  </mc:AlternateContent>
  <xr:revisionPtr revIDLastSave="0" documentId="13_ncr:1_{EB2A9D36-D286-844A-A756-E47A7E288B6B}" xr6:coauthVersionLast="47" xr6:coauthVersionMax="47" xr10:uidLastSave="{00000000-0000-0000-0000-000000000000}"/>
  <bookViews>
    <workbookView xWindow="0" yWindow="0" windowWidth="25600" windowHeight="16000" xr2:uid="{481DF33C-799D-4FEA-A3CC-A4340025CB13}"/>
  </bookViews>
  <sheets>
    <sheet name="FORMATO EV" sheetId="1" r:id="rId1"/>
    <sheet name="INSTRUCCIONES QL" sheetId="2" r:id="rId2"/>
  </sheets>
  <definedNames>
    <definedName name="_xlnm.Print_Area" localSheetId="0">'FORMATO EV'!$A$1:$M$37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 l="1"/>
  <c r="H12" i="1"/>
  <c r="H13" i="1"/>
  <c r="H14" i="1"/>
  <c r="H15" i="1"/>
  <c r="H16" i="1"/>
  <c r="H17" i="1"/>
  <c r="H18" i="1"/>
  <c r="H19" i="1"/>
  <c r="H20" i="1"/>
  <c r="H21" i="1"/>
  <c r="H22" i="1"/>
  <c r="H23" i="1"/>
  <c r="H24" i="1"/>
  <c r="H25" i="1"/>
  <c r="H26" i="1"/>
  <c r="H27" i="1"/>
  <c r="H28" i="1"/>
  <c r="H29" i="1"/>
  <c r="H30" i="1"/>
  <c r="H31" i="1"/>
  <c r="H32" i="1"/>
  <c r="H33" i="1"/>
  <c r="H34" i="1"/>
  <c r="H35" i="1"/>
  <c r="H36" i="1"/>
  <c r="H37" i="1"/>
  <c r="H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tc={5FEC90D3-B791-413F-8EC5-E3C148958A96}</author>
    <author>tc={4ED1127E-2210-4C5B-8D67-7B94C5DBC58D}</author>
    <author>tc={C8FBE8E1-703D-49D9-9E7F-90897C45F266}</author>
  </authors>
  <commentList>
    <comment ref="J9" authorId="0" shapeId="0" xr:uid="{5FEC90D3-B791-413F-8EC5-E3C148958A9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Busca medir la magnitud del efecto que la acción de mejora ha tenido en el proceso o resultado deseado. </t>
      </text>
    </comment>
    <comment ref="K9" authorId="1" shapeId="0" xr:uid="{4ED1127E-2210-4C5B-8D67-7B94C5DBC58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Busca evalúar la relación entre los recursos invertidos (tiempo, dinero, esfuerzo) y los resultados obtenidos. </t>
      </text>
    </comment>
    <comment ref="L9" authorId="2" shapeId="0" xr:uid="{C8FBE8E1-703D-49D9-9E7F-90897C45F26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Busca medir la capacidad de la acción de mejora para mantener sus efectos positivos a largo plazo. </t>
      </text>
    </comment>
  </commentList>
</comments>
</file>

<file path=xl/sharedStrings.xml><?xml version="1.0" encoding="utf-8"?>
<sst xmlns="http://schemas.openxmlformats.org/spreadsheetml/2006/main" count="152" uniqueCount="99">
  <si>
    <t>ITEM</t>
  </si>
  <si>
    <t>ACCIÓN DE MEJORA</t>
  </si>
  <si>
    <t>RESPONSABLE DE LA EJECUCIÓN</t>
  </si>
  <si>
    <t>PRODUCTO O SOPORTE DE LA MEJORA</t>
  </si>
  <si>
    <t>IMPACTO</t>
  </si>
  <si>
    <t>EFICIENCIA</t>
  </si>
  <si>
    <t>SOSTENIBILIDAD</t>
  </si>
  <si>
    <t>FECHA PROGRAMADA PARA LA REALIZACIÓN DE LA ACCIÓN</t>
  </si>
  <si>
    <t>FECHA DE REAL DE LA FINALIZACIÓN DE LA ACCIÓN</t>
  </si>
  <si>
    <t>HOSPITAL REGIONAL DE MONIQUIRÁ E.S.E</t>
  </si>
  <si>
    <t>PROCESO: CALIDAD</t>
  </si>
  <si>
    <t>SUBPROCESO: AUDITORÍA PARA EL MEJORAMIENTO</t>
  </si>
  <si>
    <t>CÓDIGO:</t>
  </si>
  <si>
    <t>VERSIÓN:</t>
  </si>
  <si>
    <t>FECHA EN LA QUE SE ESTABLECE LA ACCIÓN</t>
  </si>
  <si>
    <t>CUMPLIMIENTO (DIAS)</t>
  </si>
  <si>
    <t>Impacto</t>
  </si>
  <si>
    <t>Este adjetivo mide la magnitud del efecto que la acción de mejora ha tenido en el proceso o resultado deseado</t>
  </si>
  <si>
    <t>Un puntaje alto (8-10) indicaría que la acción ha generado un cambio significativo y positivo</t>
  </si>
  <si>
    <t>Un puntaje bajo (1-3) señalaría que el impacto ha sido mínimo o nulo.</t>
  </si>
  <si>
    <t>Por ejemplo: ¿Cuánto ha mejorado la satisfacción del cliente? ¿Cuánto se han reducido los tiempos de espera?</t>
  </si>
  <si>
    <t>Eficiencia</t>
  </si>
  <si>
    <t>Este adjetivo evalúa la relación entre los recursos invertidos (tiempo, dinero, esfuerzo) y los resultados obtenidos.</t>
  </si>
  <si>
    <t>Un puntaje alto (8-10) indicaría que la acción ha sido muy eficiente, logrando un gran impacto con pocos recursos.</t>
  </si>
  <si>
    <t>Un puntaje bajo (1-3) señalaría que la acción ha sido ineficiente, requiriendo muchos recursos para un impacto limitado.</t>
  </si>
  <si>
    <t>Por ejemplo: ¿Cuánto tiempo se invirtió en relación a la mejora obtenida? ¿Se cumplió el presupuesto establecido?</t>
  </si>
  <si>
    <t>Este adjetivo mide la capacidad de la acción de mejora para mantener sus efectos positivos a largo plazo.</t>
  </si>
  <si>
    <t>Un puntaje alto (8-10) indicaría que la acción ha generado cambios duraderos y que se han establecido mecanismos para asegurar su continuidad</t>
  </si>
  <si>
    <t>Un puntaje bajo (1-3) señalaría que los efectos de la acción son temporales o que no se han implementado medidas para garantizar su sostenibilidad.</t>
  </si>
  <si>
    <t>Por ejemplo: ¿Se han establecido nuevos procedimientos o capacitaciones para mantener la mejora? ¿Se han definido responsables de seguimiento?</t>
  </si>
  <si>
    <t>Sostenibilidad</t>
  </si>
  <si>
    <t>Caracteristicas de los lineamientos de calificación para evaluar acciones de mejora</t>
  </si>
  <si>
    <t>PUNTAJE DE LAS ACCIONES</t>
  </si>
  <si>
    <t>INSTRUCCIONES</t>
  </si>
  <si>
    <t>ÁREA / DEPENDENCIA:</t>
  </si>
  <si>
    <t>FECHA:</t>
  </si>
  <si>
    <t>GC-A-F-001</t>
  </si>
  <si>
    <t>HALLAZGO</t>
  </si>
  <si>
    <t>FORMATO PLAN DE MEJORA CORRECTIVO</t>
  </si>
  <si>
    <t>V02-2025</t>
  </si>
  <si>
    <t>SERVICIO DE ATENCIÓN DEL PARTO</t>
  </si>
  <si>
    <t>Talento Humano 6. El talento humano en salud de los servicios de atención del parto, cuidado intensivo y cuidado intermedio neonatal, pediátrico y adultos, cuentan con constancia de asistencia en las acciones de formación continua para la gestión del duelo, Se evidencia  formación continua para la gestión del duelo vencido correspondiente a la Jefe Luisa Fernanda Pardo</t>
  </si>
  <si>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sexual.Se evidencia constancia de asistencia en las acciones de formación continua en la atención integral en salud de las personas victimas de violencia sexual vencido correspondiente a la Jefe Luisa Fernanda Pardo</t>
  </si>
  <si>
    <t xml:space="preserve">Infraestructra:21.En los servicios del grupo quirurgico, los ambientes y áreas clasificados como no restringidos, semirestringidos, deben señalizarse mediante la demarcación permanente en piso con material lavable y resistente al tráfico pesado, utilizando los siguientes colores,Se deben cambiar las cintas, se encuentran deterioradas </t>
  </si>
  <si>
    <t xml:space="preserve">21.1. Verde: Ambientes o áreas no restringidas,Se deben cambiar las cintas, se encuentran deterioradas </t>
  </si>
  <si>
    <t xml:space="preserve">21.2. Amarillo: Ambientes o áreas semi-restringidas,Se deben cambiar las cintas, se encuentran deterioradas </t>
  </si>
  <si>
    <t xml:space="preserve">21.3. Roja: Ambientes o áreas restringidas,Se deben cambiar las cintas, se encuentran deterioradas </t>
  </si>
  <si>
    <t>28.1.4. Las áreas están separadas entre si por barrera física fija o móvil, con excepción de los consultorios del servicio de urgencias, optometría y oftalmologia, donde no se requiere.No están separadas entre sí, el consultorio del servicio</t>
  </si>
  <si>
    <t xml:space="preserve">Infraestructura:41. Las condiciones de orde, aseo, limpieza y desinfección son evidentes y responde a un proceso dinámico de acuerdo con los servicios prestados,El servicio no responde a un porceso dinámico de orden, aseo, limpieza y desinfección </t>
  </si>
  <si>
    <t>Medicamentos:4.5. Almacenamiento,Se evidencian  tabletas de misoprostol almacenadas sin condiciones de almacenamiento y sin pertenercer a ninguna paciente.</t>
  </si>
  <si>
    <t xml:space="preserve">Medicamentos:4.7. Control de fechas de vencimiento,No se evidencia adherencia al protocolo de control de fechas de vencimiento, inadecuado proceso de semaforización </t>
  </si>
  <si>
    <t>Porcesos prioritarios:4.3. Detectar, prevenir y reducir infecciones asociadas con la atención en salud (que incluya protocolo de higiene de manos o higienización con soluciones a base de alcohol), se evidencia desorden en la mayoria de las áreas del servicio, presencia de residuos de comida como tamal, pan, tinto, recipientes de comida sin lavar, presencia de hormigas. En el área de parto se observan zapatos con sangre, polainas de multiples reusos</t>
  </si>
  <si>
    <t>Procesos prioritarios:4.5. Garantizar la funcionalidad de los procedimientos de consentimiento  informado,se evidencian consentmientos informados diligenciados de manera incompleta</t>
  </si>
  <si>
    <t>Procesos prioritarios:4.6. Mejorar la seguridad en la utilización de medicamentos, en los servicios donde aplique, Se evidencian  tabletas de misoprostol almacenadas sin condiciones de almacenamiento y sin pertenercer a ninguna paciente.</t>
  </si>
  <si>
    <t xml:space="preserve">Porcesos prioritarios:12.2. Aseo, limpieza y desinfección de áreas y superficies,No se evidencia adherencia al protocolo de limpieza y desinfección de áreas, superficies y equipos, se evidencia innadecuada limpieza y desinfección de equipos, mesas, superficies y en general el servicio en los ambientes inadecuadas condiciones de presentación y mantenimiento </t>
  </si>
  <si>
    <t>Procesos prioritarios:12.5. Aspectos de bioseguridad acordes con las condiciones y características del servicio, No se da cumplimiento al manual de bioseguridad, utilización innadecuadas de polainas, no uso de tapabocas por parte de los profesionales en el servicio</t>
  </si>
  <si>
    <t xml:space="preserve">Procesos prioritarios:12.7. Manejo de gases medicinales que incluya como mínimo la atención de emergencias y sistema de alarma, cuando se utilicen, No se da cumplimiento a lo definido en el documento para manejo de gases medicinales, el panel de control de gases medicinales al ingreso de la sala partos está añadido con cinta transparente y no se puede evidenciar su fucnionamiento </t>
  </si>
  <si>
    <t xml:space="preserve">Procesos prioritarios:15. Los prestadores de servicios de salud tienen definidos procedimientos que garanticen el cumplimiento del no reúso de dispositivos médicos cuando el fabricante así lo haya establecido,Se debe actualizar el documento de reuso por parte de la líder de la central de esterilización </t>
  </si>
  <si>
    <t xml:space="preserve">16.1. Los procedimientos, siguiendo las recomendaciones del fabricante, para el reprocesamiento y control de calidad que demuestren la eficacia, desempeño y esterilidad del producto.Se debe actualizar el documento de reuso por parte de la líder de la central de esterilización </t>
  </si>
  <si>
    <t>Historias clínicas:9. El prestador de servicios de salud cuenta con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asistencial,se evidencian consentmientos informados diligenciados de manera incompleta</t>
  </si>
  <si>
    <t>Infrestructura por el servicio: No cuenta con 9.1. Sala de visitas</t>
  </si>
  <si>
    <t>Infrestructura por el servicio: No ceunta con Vestidor para el talento humano que funciona como filtro y área para casilleros.</t>
  </si>
  <si>
    <t>Infrestructura por el servicio:No cuenta con Barrera física móvil o fija entre camillas, que permite fácil limpieza y desinfección y la privacidad del paciente, cuando exista más de una camilla.</t>
  </si>
  <si>
    <t>Dotación por el servicio: No dispones de 21.3.1. Máquina de anestesia,21.3.3. Electrobisturí.</t>
  </si>
  <si>
    <t>Dotación por el servicio: 21.3.2. Monitor de signos vitales, presenta deterioro en la carcaza</t>
  </si>
  <si>
    <t xml:space="preserve">Procesos prioritarios por el servicio.27.1. Atención del parto.Aunque en almera está documentado el PROTOCOLO ATENCIÓN HUMANIZADA Y SEGURA DEL TRABAJO DE PARTO, PARTO Y PUERPERIO, se debe revisar las actividades descritas y realizar los ajustes correspondientes y en el formato actualizado en almera </t>
  </si>
  <si>
    <t>Procesos prioritarios del servicio 27.2. Indicaciones y técnica de la episiotomía y episiorrafia,Está descrito dentro de este mismoPROTOCOLO ATENCIÓN HUMANIZADA Y SEGURA DEL TRABAJO DE PARTO, PARTO Y PUERPERIO, se debe revisar las actividades descritas y adicionalmente no describe la técnica de realización de la episiotomía y la episiorrafía</t>
  </si>
  <si>
    <t>Procesos prioritarios del servicio 27.3. Manejo de complicaciones intraparto e instrumentación.No cuenta con infromación documentada</t>
  </si>
  <si>
    <t xml:space="preserve">revisar certiificados medicos y de enfermeria gestion del duelo del personal   asistencial del servicio de ginecologia   y relaizar una capacitacion virtual de gestion del duelo junto con el servicio de psicologia institucional </t>
  </si>
  <si>
    <t xml:space="preserve">lider ginecologia / lider enfermeria / lider psicologia </t>
  </si>
  <si>
    <t xml:space="preserve">revisar certiificados medicos de atencion a victimas de violencia al personal    asistencial del servicio de ginecologia   y relaizar una capacitacion virtual de atencion a victimas de violencia </t>
  </si>
  <si>
    <t>agosto</t>
  </si>
  <si>
    <t xml:space="preserve">lider ginecologia / lider enfermeria </t>
  </si>
  <si>
    <t xml:space="preserve">realizar el cambio de las cintas de marcacion permanente según las areas asignadas para el transito en el servicio de ginecologia dadas las nuevas adecuaciones del servicio </t>
  </si>
  <si>
    <t xml:space="preserve">lider mantenimiento </t>
  </si>
  <si>
    <t xml:space="preserve">realizar separacion del area de urgencias ginecologia con los pasillos de transito del servio de ginecologia </t>
  </si>
  <si>
    <t xml:space="preserve">realizar capacitacion de correcta administracion de medicamentos en el servicio de ginecologia y realizar rondas medicas con listas de chequeo de los medicamentos  y la manera correcta de almacenamiento en el servicio </t>
  </si>
  <si>
    <t xml:space="preserve">agosto </t>
  </si>
  <si>
    <t xml:space="preserve">lider enfermeria/ lider ginecologia </t>
  </si>
  <si>
    <t>31/06/2026</t>
  </si>
  <si>
    <t xml:space="preserve">socializar y evaluar desde farmacia el protocolo de semaforizacion de medicamentos </t>
  </si>
  <si>
    <t xml:space="preserve">lider farmacia </t>
  </si>
  <si>
    <t xml:space="preserve">realizar actividades de concientizacion sobre  el orden en el servicio y el correcto manejo de alimentos e insumos que tengan contacton con fluidos de pacientes </t>
  </si>
  <si>
    <t xml:space="preserve">repetida </t>
  </si>
  <si>
    <t xml:space="preserve">realizar rondas de seguridad  aleatorias para evaluar el correcto diligenciamiento de  consentimientos informados , asi como realizar los planes de mejora con el personal especifico </t>
  </si>
  <si>
    <t xml:space="preserve">socializar  protocolo de limpieza y desinfeccion de equipos y superficies para el personal de enfermeria del servicio de ginecologia </t>
  </si>
  <si>
    <t xml:space="preserve">lider enfermeria </t>
  </si>
  <si>
    <t xml:space="preserve">socializar y medir adherencia aleatoria del protocolo de bioseguridad  en el servicio de ginecologia y en el servicio de sala de partos </t>
  </si>
  <si>
    <t xml:space="preserve">Actualizar protocolo de atencion humanizada  y segura del trabajo de  parto con los cambios del servicio y en formato actualizado </t>
  </si>
  <si>
    <t>lider ginecologia</t>
  </si>
  <si>
    <t xml:space="preserve">socializar y medir adherencia a documento de manejo de gases medicinales </t>
  </si>
  <si>
    <t xml:space="preserve">ingeniero alejandro </t>
  </si>
  <si>
    <t xml:space="preserve"> actualizar el documento de reuso por parte de la líder de la central de esterilización</t>
  </si>
  <si>
    <t xml:space="preserve">central esterilizacion </t>
  </si>
  <si>
    <t>no se cuenta con la infraestructura  para el servicio de ginecologia</t>
  </si>
  <si>
    <t xml:space="preserve">ingeniero Cristian </t>
  </si>
  <si>
    <t>realizar dotacion  para el servicio de ginecologia</t>
  </si>
  <si>
    <t xml:space="preserve">lider ginecologia </t>
  </si>
  <si>
    <t xml:space="preserve">realizar una guia de atencion del parto  con  indicacion de mnejo de complicaciones intraparto , parto instrumentado y  recomendaciones para  para realizar episotomia y episiorrafia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</si>
</sst>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9"/>
      <color theme="1"/>
      <name val="Aptos Narrow"/>
      <family val="2"/>
      <scheme val="minor"/>
    </font>
    <font>
      <b/>
      <sz val="10"/>
      <color theme="1"/>
      <name val="Aptos Narrow"/>
      <family val="2"/>
      <scheme val="minor"/>
    </font>
    <font>
      <b/>
      <sz val="14"/>
      <color theme="1"/>
      <name val="Aptos Narrow"/>
      <family val="2"/>
      <scheme val="minor"/>
    </font>
    <font>
      <u/>
      <sz val="11"/>
      <color theme="1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rgb="FFC00000"/>
        <bgColor indexed="64"/>
      </patternFill>
    </fill>
    <fill>
      <patternFill patternType="solid">
        <fgColor rgb="FFFF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45">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vertical="center" wrapText="1"/>
    </xf>
    <xf numFmtId="14" fontId="0" fillId="0" borderId="0" xfId="0" applyNumberFormat="1"/>
    <xf numFmtId="2" fontId="0" fillId="0" borderId="0" xfId="0" applyNumberFormat="1" applyAlignment="1">
      <alignment horizontal="center"/>
    </xf>
    <xf numFmtId="0" fontId="1" fillId="0" borderId="1" xfId="0" applyFont="1" applyBorder="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textRotation="90" wrapText="1"/>
    </xf>
    <xf numFmtId="0" fontId="2" fillId="3" borderId="1" xfId="0" applyFont="1" applyFill="1" applyBorder="1" applyAlignment="1">
      <alignment horizontal="center" vertical="center" textRotation="90" wrapText="1"/>
    </xf>
    <xf numFmtId="0" fontId="0" fillId="2" borderId="11" xfId="0" applyFill="1" applyBorder="1" applyAlignment="1">
      <alignment wrapText="1"/>
    </xf>
    <xf numFmtId="0" fontId="0" fillId="0" borderId="13" xfId="0" applyBorder="1" applyAlignment="1">
      <alignment wrapText="1"/>
    </xf>
    <xf numFmtId="0" fontId="0" fillId="0" borderId="17" xfId="0" applyBorder="1" applyAlignment="1">
      <alignment wrapText="1"/>
    </xf>
    <xf numFmtId="0" fontId="0" fillId="0" borderId="9" xfId="0" applyBorder="1" applyAlignment="1">
      <alignment wrapText="1"/>
    </xf>
    <xf numFmtId="0" fontId="0" fillId="0" borderId="7" xfId="0" applyBorder="1"/>
    <xf numFmtId="0" fontId="1" fillId="0" borderId="0" xfId="0" applyFont="1" applyAlignment="1">
      <alignment horizontal="right"/>
    </xf>
    <xf numFmtId="0" fontId="0" fillId="0" borderId="21" xfId="0" applyBorder="1" applyAlignment="1">
      <alignment horizontal="center"/>
    </xf>
    <xf numFmtId="0" fontId="0" fillId="0" borderId="1" xfId="0" applyBorder="1" applyAlignment="1">
      <alignment vertical="center" wrapText="1"/>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7" xfId="0" applyBorder="1" applyAlignment="1">
      <alignment horizontal="center"/>
    </xf>
    <xf numFmtId="14" fontId="0" fillId="0" borderId="7" xfId="0" applyNumberFormat="1" applyBorder="1" applyAlignment="1">
      <alignment horizontal="center"/>
    </xf>
    <xf numFmtId="0" fontId="0" fillId="0" borderId="1" xfId="0"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5" fillId="4" borderId="7" xfId="1" applyFill="1" applyBorder="1" applyAlignment="1">
      <alignment horizontal="center" vertical="center"/>
    </xf>
    <xf numFmtId="0" fontId="5" fillId="4" borderId="22" xfId="1" applyFill="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4" fillId="3" borderId="14" xfId="0" applyFont="1" applyFill="1" applyBorder="1" applyAlignment="1">
      <alignment horizontal="center"/>
    </xf>
    <xf numFmtId="0" fontId="4" fillId="3" borderId="15" xfId="0" applyFont="1" applyFill="1" applyBorder="1" applyAlignment="1">
      <alignment horizontal="center"/>
    </xf>
    <xf numFmtId="0" fontId="1" fillId="3" borderId="8"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6" xfId="0" applyFont="1" applyFill="1" applyBorder="1" applyAlignment="1">
      <alignment horizontal="center" vertical="center"/>
    </xf>
    <xf numFmtId="0" fontId="0" fillId="5" borderId="1" xfId="0" applyFill="1" applyBorder="1" applyAlignment="1">
      <alignment vertical="center"/>
    </xf>
  </cellXfs>
  <cellStyles count="2">
    <cellStyle name="Hipervínculo" xfId="1" builtinId="8"/>
    <cellStyle name="Normal" xfId="0" builtinId="0"/>
  </cellStyles>
  <dxfs count="6">
    <dxf>
      <font>
        <color theme="1"/>
      </font>
      <fill>
        <patternFill>
          <bgColor rgb="FFFF0000"/>
        </patternFill>
      </fill>
    </dxf>
    <dxf>
      <fill>
        <patternFill>
          <bgColor rgb="FFFFFF00"/>
        </patternFill>
      </fill>
    </dxf>
    <dxf>
      <fill>
        <patternFill>
          <bgColor rgb="FF00B050"/>
        </patternFill>
      </fill>
    </dxf>
    <dxf>
      <font>
        <color theme="0"/>
      </font>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358296</xdr:colOff>
      <xdr:row>0</xdr:row>
      <xdr:rowOff>33649</xdr:rowOff>
    </xdr:from>
    <xdr:to>
      <xdr:col>1</xdr:col>
      <xdr:colOff>1455576</xdr:colOff>
      <xdr:row>3</xdr:row>
      <xdr:rowOff>213671</xdr:rowOff>
    </xdr:to>
    <xdr:pic>
      <xdr:nvPicPr>
        <xdr:cNvPr id="2" name="Imagen 1">
          <a:extLst>
            <a:ext uri="{FF2B5EF4-FFF2-40B4-BE49-F238E27FC236}">
              <a16:creationId xmlns:a16="http://schemas.microsoft.com/office/drawing/2014/main" id="{F2AEF705-64F4-9DFB-0D1A-64E380F21A2E}"/>
            </a:ext>
          </a:extLst>
        </xdr:cNvPr>
        <xdr:cNvPicPr>
          <a:picLocks noChangeAspect="1"/>
        </xdr:cNvPicPr>
      </xdr:nvPicPr>
      <xdr:blipFill>
        <a:blip xmlns:r="http://schemas.openxmlformats.org/officeDocument/2006/relationships" r:embed="rId1"/>
        <a:stretch>
          <a:fillRect/>
        </a:stretch>
      </xdr:blipFill>
      <xdr:spPr>
        <a:xfrm>
          <a:off x="358296" y="33649"/>
          <a:ext cx="1664892" cy="9264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los Mario Gonzalez Ulloa" id="{072BAD64-AD76-4681-A3BF-67B387F2B5DE}" userId="00158973d9b22b97"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9" dT="2025-03-26T21:29:03.93" personId="{072BAD64-AD76-4681-A3BF-67B387F2B5DE}" id="{5FEC90D3-B791-413F-8EC5-E3C148958A96}">
    <text xml:space="preserve">Busca medir la magnitud del efecto que la acción de mejora ha tenido en el proceso o resultado deseado. </text>
  </threadedComment>
  <threadedComment ref="K9" dT="2025-03-26T21:29:27.39" personId="{072BAD64-AD76-4681-A3BF-67B387F2B5DE}" id="{4ED1127E-2210-4C5B-8D67-7B94C5DBC58D}">
    <text xml:space="preserve">Busca evalúar la relación entre los recursos invertidos (tiempo, dinero, esfuerzo) y los resultados obtenidos. </text>
  </threadedComment>
  <threadedComment ref="L9" dT="2025-03-26T21:29:57.63" personId="{072BAD64-AD76-4681-A3BF-67B387F2B5DE}" id="{C8FBE8E1-703D-49D9-9E7F-90897C45F266}">
    <text xml:space="preserve">Busca medir la capacidad de la acción de mejora para mantener sus efectos positivos a largo plazo.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5D6B-ABC6-4545-A001-E001150BEF87}">
  <sheetPr>
    <pageSetUpPr fitToPage="1"/>
  </sheetPr>
  <dimension ref="A1:M37"/>
  <sheetViews>
    <sheetView showGridLines="0" tabSelected="1" topLeftCell="A34" zoomScaleNormal="100" workbookViewId="0">
      <selection activeCell="C36" sqref="C36:F36"/>
    </sheetView>
  </sheetViews>
  <sheetFormatPr baseColWidth="10" defaultRowHeight="15" x14ac:dyDescent="0.2"/>
  <cols>
    <col min="1" max="1" width="8.1640625" style="2" customWidth="1"/>
    <col min="2" max="2" width="27.5" customWidth="1"/>
    <col min="3" max="3" width="27.6640625" customWidth="1"/>
    <col min="4" max="4" width="20.1640625" style="4" customWidth="1"/>
    <col min="5" max="5" width="28.5" customWidth="1"/>
    <col min="6" max="7" width="19.83203125" style="4" customWidth="1"/>
    <col min="8" max="8" width="7.33203125" style="5" customWidth="1"/>
    <col min="9" max="9" width="24.6640625" customWidth="1"/>
    <col min="10" max="11" width="4.83203125" customWidth="1"/>
    <col min="12" max="12" width="5" customWidth="1"/>
    <col min="13" max="13" width="13.5" style="2" customWidth="1"/>
    <col min="16" max="16" width="17.83203125" customWidth="1"/>
  </cols>
  <sheetData>
    <row r="1" spans="1:13" ht="19.75" customHeight="1" x14ac:dyDescent="0.2">
      <c r="A1" s="27"/>
      <c r="B1" s="27"/>
      <c r="C1" s="28" t="s">
        <v>9</v>
      </c>
      <c r="D1" s="29"/>
      <c r="E1" s="29"/>
      <c r="F1" s="29"/>
      <c r="G1" s="29"/>
      <c r="H1" s="29"/>
      <c r="I1" s="30"/>
      <c r="J1" s="28" t="s">
        <v>12</v>
      </c>
      <c r="K1" s="29"/>
      <c r="L1" s="29"/>
      <c r="M1" s="30"/>
    </row>
    <row r="2" spans="1:13" ht="19.75" customHeight="1" x14ac:dyDescent="0.2">
      <c r="A2" s="27"/>
      <c r="B2" s="27"/>
      <c r="C2" s="28" t="s">
        <v>38</v>
      </c>
      <c r="D2" s="29"/>
      <c r="E2" s="29"/>
      <c r="F2" s="29"/>
      <c r="G2" s="29"/>
      <c r="H2" s="29"/>
      <c r="I2" s="30"/>
      <c r="J2" s="31" t="s">
        <v>36</v>
      </c>
      <c r="K2" s="32"/>
      <c r="L2" s="32"/>
      <c r="M2" s="33"/>
    </row>
    <row r="3" spans="1:13" ht="19.75" customHeight="1" x14ac:dyDescent="0.2">
      <c r="A3" s="27"/>
      <c r="B3" s="27"/>
      <c r="C3" s="28" t="s">
        <v>10</v>
      </c>
      <c r="D3" s="29"/>
      <c r="E3" s="29"/>
      <c r="F3" s="29"/>
      <c r="G3" s="29"/>
      <c r="H3" s="29"/>
      <c r="I3" s="30"/>
      <c r="J3" s="28" t="s">
        <v>13</v>
      </c>
      <c r="K3" s="29"/>
      <c r="L3" s="29"/>
      <c r="M3" s="30"/>
    </row>
    <row r="4" spans="1:13" ht="19.75" customHeight="1" x14ac:dyDescent="0.2">
      <c r="A4" s="27"/>
      <c r="B4" s="27"/>
      <c r="C4" s="28" t="s">
        <v>11</v>
      </c>
      <c r="D4" s="29"/>
      <c r="E4" s="29"/>
      <c r="F4" s="29"/>
      <c r="G4" s="29"/>
      <c r="H4" s="29"/>
      <c r="I4" s="30"/>
      <c r="J4" s="31" t="s">
        <v>39</v>
      </c>
      <c r="K4" s="32"/>
      <c r="L4" s="32"/>
      <c r="M4" s="33"/>
    </row>
    <row r="5" spans="1:13" ht="9" customHeight="1" x14ac:dyDescent="0.2">
      <c r="A5" s="22"/>
      <c r="B5" s="36"/>
      <c r="C5" s="36"/>
      <c r="D5" s="36"/>
      <c r="E5" s="36"/>
      <c r="F5" s="36"/>
      <c r="G5" s="36"/>
      <c r="H5" s="36"/>
      <c r="I5" s="36"/>
      <c r="J5" s="36"/>
      <c r="K5" s="36"/>
      <c r="L5" s="36"/>
      <c r="M5" s="37"/>
    </row>
    <row r="6" spans="1:13" ht="16.75" customHeight="1" x14ac:dyDescent="0.2">
      <c r="A6" s="23"/>
      <c r="B6" s="19" t="s">
        <v>34</v>
      </c>
      <c r="C6" s="25" t="s">
        <v>40</v>
      </c>
      <c r="D6" s="25"/>
      <c r="E6" s="25"/>
      <c r="F6"/>
      <c r="G6" s="19" t="s">
        <v>35</v>
      </c>
      <c r="H6" s="26">
        <v>46175</v>
      </c>
      <c r="I6" s="25"/>
      <c r="J6" s="2"/>
      <c r="K6" s="2"/>
      <c r="L6" s="2"/>
      <c r="M6" s="20"/>
    </row>
    <row r="7" spans="1:13" ht="9" customHeight="1" x14ac:dyDescent="0.2">
      <c r="A7" s="23"/>
      <c r="B7" s="2"/>
      <c r="D7"/>
      <c r="F7"/>
      <c r="G7"/>
      <c r="H7"/>
      <c r="J7" s="2"/>
      <c r="K7" s="2"/>
      <c r="L7" s="2"/>
      <c r="M7" s="20"/>
    </row>
    <row r="8" spans="1:13" ht="19.75" customHeight="1" x14ac:dyDescent="0.2">
      <c r="A8" s="24"/>
      <c r="B8" s="18"/>
      <c r="C8" s="18"/>
      <c r="D8" s="18"/>
      <c r="E8" s="18"/>
      <c r="F8" s="18"/>
      <c r="G8" s="18"/>
      <c r="H8" s="18"/>
      <c r="I8" s="18"/>
      <c r="J8" s="34" t="s">
        <v>33</v>
      </c>
      <c r="K8" s="34"/>
      <c r="L8" s="34"/>
      <c r="M8" s="35"/>
    </row>
    <row r="9" spans="1:13" s="3" customFormat="1" ht="72.75" customHeight="1" x14ac:dyDescent="0.2">
      <c r="A9" s="11" t="s">
        <v>0</v>
      </c>
      <c r="B9" s="11" t="s">
        <v>37</v>
      </c>
      <c r="C9" s="11" t="s">
        <v>1</v>
      </c>
      <c r="D9" s="11" t="s">
        <v>14</v>
      </c>
      <c r="E9" s="11" t="s">
        <v>2</v>
      </c>
      <c r="F9" s="11" t="s">
        <v>7</v>
      </c>
      <c r="G9" s="11" t="s">
        <v>8</v>
      </c>
      <c r="H9" s="12" t="s">
        <v>15</v>
      </c>
      <c r="I9" s="11" t="s">
        <v>3</v>
      </c>
      <c r="J9" s="13" t="s">
        <v>4</v>
      </c>
      <c r="K9" s="13" t="s">
        <v>5</v>
      </c>
      <c r="L9" s="13" t="s">
        <v>6</v>
      </c>
      <c r="M9" s="11" t="s">
        <v>32</v>
      </c>
    </row>
    <row r="10" spans="1:13" ht="203" customHeight="1" x14ac:dyDescent="0.2">
      <c r="A10" s="6">
        <v>1</v>
      </c>
      <c r="B10" s="21" t="s">
        <v>41</v>
      </c>
      <c r="C10" s="21" t="s">
        <v>68</v>
      </c>
      <c r="D10" s="8">
        <v>46235</v>
      </c>
      <c r="E10" s="21" t="s">
        <v>69</v>
      </c>
      <c r="F10" s="8">
        <v>46265</v>
      </c>
      <c r="G10" s="8"/>
      <c r="H10" s="9">
        <f>+_xlfn.DAYS(F10,G10)</f>
        <v>46265</v>
      </c>
      <c r="I10" s="7"/>
      <c r="J10" s="7"/>
      <c r="K10" s="7"/>
      <c r="L10" s="7"/>
      <c r="M10" s="10">
        <f>+J10*K10*L10</f>
        <v>0</v>
      </c>
    </row>
    <row r="11" spans="1:13" ht="240.5" customHeight="1" x14ac:dyDescent="0.2">
      <c r="A11" s="6">
        <v>2</v>
      </c>
      <c r="B11" s="21" t="s">
        <v>42</v>
      </c>
      <c r="C11" s="21" t="s">
        <v>70</v>
      </c>
      <c r="D11" s="8" t="s">
        <v>71</v>
      </c>
      <c r="E11" s="21" t="s">
        <v>72</v>
      </c>
      <c r="F11" s="8">
        <v>46265</v>
      </c>
      <c r="G11" s="8"/>
      <c r="H11" s="9">
        <f t="shared" ref="H11:H37" si="0">+_xlfn.DAYS(F11,G11)</f>
        <v>46265</v>
      </c>
      <c r="I11" s="7"/>
      <c r="J11" s="7"/>
      <c r="K11" s="7"/>
      <c r="L11" s="7"/>
      <c r="M11" s="10">
        <f t="shared" ref="M11:M37" si="1">+J11*K11*L11</f>
        <v>0</v>
      </c>
    </row>
    <row r="12" spans="1:13" ht="180.5" customHeight="1" x14ac:dyDescent="0.2">
      <c r="A12" s="6">
        <v>3</v>
      </c>
      <c r="B12" s="21" t="s">
        <v>43</v>
      </c>
      <c r="C12" s="21" t="s">
        <v>73</v>
      </c>
      <c r="D12" s="8" t="s">
        <v>71</v>
      </c>
      <c r="E12" s="7" t="s">
        <v>74</v>
      </c>
      <c r="F12" s="8">
        <v>46265</v>
      </c>
      <c r="G12" s="8"/>
      <c r="H12" s="9">
        <f t="shared" si="0"/>
        <v>46265</v>
      </c>
      <c r="I12" s="7"/>
      <c r="J12" s="7"/>
      <c r="K12" s="7"/>
      <c r="L12" s="7"/>
      <c r="M12" s="10">
        <f t="shared" si="1"/>
        <v>0</v>
      </c>
    </row>
    <row r="13" spans="1:13" ht="62" customHeight="1" x14ac:dyDescent="0.2">
      <c r="A13" s="6">
        <v>4</v>
      </c>
      <c r="B13" s="21" t="s">
        <v>44</v>
      </c>
      <c r="C13" s="7"/>
      <c r="D13" s="8"/>
      <c r="E13" s="7"/>
      <c r="F13" s="8"/>
      <c r="G13" s="8"/>
      <c r="H13" s="9">
        <f t="shared" si="0"/>
        <v>0</v>
      </c>
      <c r="I13" s="7"/>
      <c r="J13" s="7"/>
      <c r="K13" s="7"/>
      <c r="L13" s="7"/>
      <c r="M13" s="10">
        <f t="shared" si="1"/>
        <v>0</v>
      </c>
    </row>
    <row r="14" spans="1:13" ht="66.5" customHeight="1" x14ac:dyDescent="0.2">
      <c r="A14" s="6">
        <v>5</v>
      </c>
      <c r="B14" s="21" t="s">
        <v>45</v>
      </c>
      <c r="C14" s="7"/>
      <c r="D14" s="8"/>
      <c r="E14" s="7"/>
      <c r="F14" s="8"/>
      <c r="G14" s="8"/>
      <c r="H14" s="9">
        <f t="shared" si="0"/>
        <v>0</v>
      </c>
      <c r="I14" s="7"/>
      <c r="J14" s="7"/>
      <c r="K14" s="7"/>
      <c r="L14" s="7"/>
      <c r="M14" s="10">
        <f t="shared" si="1"/>
        <v>0</v>
      </c>
    </row>
    <row r="15" spans="1:13" ht="68" customHeight="1" x14ac:dyDescent="0.2">
      <c r="A15" s="6">
        <v>6</v>
      </c>
      <c r="B15" s="21" t="s">
        <v>46</v>
      </c>
      <c r="C15" s="7"/>
      <c r="D15" s="8"/>
      <c r="E15" s="7"/>
      <c r="F15" s="8"/>
      <c r="G15" s="8"/>
      <c r="H15" s="9">
        <f t="shared" si="0"/>
        <v>0</v>
      </c>
      <c r="I15" s="7"/>
      <c r="J15" s="7"/>
      <c r="K15" s="7"/>
      <c r="L15" s="7"/>
      <c r="M15" s="10">
        <f t="shared" si="1"/>
        <v>0</v>
      </c>
    </row>
    <row r="16" spans="1:13" ht="128" customHeight="1" x14ac:dyDescent="0.2">
      <c r="A16" s="6">
        <v>7</v>
      </c>
      <c r="B16" s="21" t="s">
        <v>47</v>
      </c>
      <c r="C16" s="21" t="s">
        <v>75</v>
      </c>
      <c r="D16" s="8" t="s">
        <v>71</v>
      </c>
      <c r="E16" s="7" t="s">
        <v>74</v>
      </c>
      <c r="F16" s="8">
        <v>46249</v>
      </c>
      <c r="G16" s="8"/>
      <c r="H16" s="9">
        <f t="shared" si="0"/>
        <v>46249</v>
      </c>
      <c r="I16" s="7"/>
      <c r="J16" s="7"/>
      <c r="K16" s="7"/>
      <c r="L16" s="7"/>
      <c r="M16" s="10">
        <f t="shared" si="1"/>
        <v>0</v>
      </c>
    </row>
    <row r="17" spans="1:13" ht="136.5" customHeight="1" x14ac:dyDescent="0.2">
      <c r="A17" s="6">
        <v>8</v>
      </c>
      <c r="B17" s="21" t="s">
        <v>48</v>
      </c>
      <c r="C17" s="7"/>
      <c r="D17" s="8"/>
      <c r="E17" s="7"/>
      <c r="F17" s="8"/>
      <c r="G17" s="8"/>
      <c r="H17" s="9">
        <f t="shared" si="0"/>
        <v>0</v>
      </c>
      <c r="I17" s="7"/>
      <c r="J17" s="7"/>
      <c r="K17" s="7"/>
      <c r="L17" s="7"/>
      <c r="M17" s="10">
        <f t="shared" si="1"/>
        <v>0</v>
      </c>
    </row>
    <row r="18" spans="1:13" ht="103" customHeight="1" x14ac:dyDescent="0.2">
      <c r="A18" s="6">
        <v>9</v>
      </c>
      <c r="B18" s="21" t="s">
        <v>49</v>
      </c>
      <c r="C18" s="21" t="s">
        <v>76</v>
      </c>
      <c r="D18" s="8" t="s">
        <v>77</v>
      </c>
      <c r="E18" s="7" t="s">
        <v>78</v>
      </c>
      <c r="F18" s="8" t="s">
        <v>79</v>
      </c>
      <c r="G18" s="8"/>
      <c r="H18" s="9" t="e">
        <f t="shared" si="0"/>
        <v>#VALUE!</v>
      </c>
      <c r="I18" s="7"/>
      <c r="J18" s="7"/>
      <c r="K18" s="7"/>
      <c r="L18" s="7"/>
      <c r="M18" s="10">
        <f t="shared" si="1"/>
        <v>0</v>
      </c>
    </row>
    <row r="19" spans="1:13" ht="104" customHeight="1" x14ac:dyDescent="0.2">
      <c r="A19" s="6">
        <v>10</v>
      </c>
      <c r="B19" s="21" t="s">
        <v>50</v>
      </c>
      <c r="C19" s="21" t="s">
        <v>80</v>
      </c>
      <c r="D19" s="8" t="s">
        <v>71</v>
      </c>
      <c r="E19" s="7" t="s">
        <v>81</v>
      </c>
      <c r="F19" s="8" t="s">
        <v>79</v>
      </c>
      <c r="G19" s="8"/>
      <c r="H19" s="9" t="e">
        <f t="shared" si="0"/>
        <v>#VALUE!</v>
      </c>
      <c r="I19" s="7"/>
      <c r="J19" s="7"/>
      <c r="K19" s="7"/>
      <c r="L19" s="7"/>
      <c r="M19" s="10">
        <f t="shared" si="1"/>
        <v>0</v>
      </c>
    </row>
    <row r="20" spans="1:13" ht="237" customHeight="1" x14ac:dyDescent="0.2">
      <c r="A20" s="6">
        <v>11</v>
      </c>
      <c r="B20" s="21" t="s">
        <v>51</v>
      </c>
      <c r="C20" s="21" t="s">
        <v>82</v>
      </c>
      <c r="D20" s="8" t="s">
        <v>71</v>
      </c>
      <c r="E20" s="7" t="s">
        <v>78</v>
      </c>
      <c r="F20" s="8" t="s">
        <v>79</v>
      </c>
      <c r="G20" s="8"/>
      <c r="H20" s="9" t="e">
        <f t="shared" si="0"/>
        <v>#VALUE!</v>
      </c>
      <c r="I20" s="7"/>
      <c r="J20" s="7"/>
      <c r="K20" s="7"/>
      <c r="L20" s="7"/>
      <c r="M20" s="10">
        <f t="shared" si="1"/>
        <v>0</v>
      </c>
    </row>
    <row r="21" spans="1:13" ht="120" customHeight="1" x14ac:dyDescent="0.2">
      <c r="A21" s="6">
        <v>12</v>
      </c>
      <c r="B21" s="21" t="s">
        <v>52</v>
      </c>
      <c r="C21" s="21" t="s">
        <v>84</v>
      </c>
      <c r="D21" s="8" t="s">
        <v>71</v>
      </c>
      <c r="E21" s="7" t="s">
        <v>78</v>
      </c>
      <c r="F21" s="8" t="s">
        <v>79</v>
      </c>
      <c r="G21" s="8"/>
      <c r="H21" s="9" t="e">
        <f t="shared" si="0"/>
        <v>#VALUE!</v>
      </c>
      <c r="I21" s="7"/>
      <c r="J21" s="7"/>
      <c r="K21" s="7"/>
      <c r="L21" s="7"/>
      <c r="M21" s="10">
        <f t="shared" si="1"/>
        <v>0</v>
      </c>
    </row>
    <row r="22" spans="1:13" ht="153.5" customHeight="1" x14ac:dyDescent="0.2">
      <c r="A22" s="6">
        <v>13</v>
      </c>
      <c r="B22" s="21" t="s">
        <v>53</v>
      </c>
      <c r="C22" s="44" t="s">
        <v>83</v>
      </c>
      <c r="D22" s="8"/>
      <c r="E22" s="7"/>
      <c r="F22" s="8"/>
      <c r="G22" s="8"/>
      <c r="H22" s="9">
        <f t="shared" si="0"/>
        <v>0</v>
      </c>
      <c r="I22" s="7"/>
      <c r="J22" s="7"/>
      <c r="K22" s="7"/>
      <c r="L22" s="7"/>
      <c r="M22" s="10">
        <f t="shared" si="1"/>
        <v>0</v>
      </c>
    </row>
    <row r="23" spans="1:13" ht="218" customHeight="1" x14ac:dyDescent="0.2">
      <c r="A23" s="6">
        <v>14</v>
      </c>
      <c r="B23" s="21" t="s">
        <v>54</v>
      </c>
      <c r="C23" s="21" t="s">
        <v>85</v>
      </c>
      <c r="D23" s="8" t="s">
        <v>71</v>
      </c>
      <c r="E23" s="7" t="s">
        <v>86</v>
      </c>
      <c r="F23" s="8" t="s">
        <v>79</v>
      </c>
      <c r="G23" s="8"/>
      <c r="H23" s="9" t="e">
        <f t="shared" si="0"/>
        <v>#VALUE!</v>
      </c>
      <c r="I23" s="7"/>
      <c r="J23" s="7"/>
      <c r="K23" s="7"/>
      <c r="L23" s="7"/>
      <c r="M23" s="10">
        <f t="shared" si="1"/>
        <v>0</v>
      </c>
    </row>
    <row r="24" spans="1:13" ht="158" customHeight="1" x14ac:dyDescent="0.2">
      <c r="A24" s="6">
        <v>15</v>
      </c>
      <c r="B24" s="21" t="s">
        <v>55</v>
      </c>
      <c r="C24" s="21" t="s">
        <v>87</v>
      </c>
      <c r="D24" s="8" t="s">
        <v>71</v>
      </c>
      <c r="E24" s="7" t="s">
        <v>78</v>
      </c>
      <c r="F24" s="8" t="s">
        <v>79</v>
      </c>
      <c r="G24" s="8"/>
      <c r="H24" s="9" t="e">
        <f t="shared" si="0"/>
        <v>#VALUE!</v>
      </c>
      <c r="I24" s="7"/>
      <c r="J24" s="7"/>
      <c r="K24" s="7"/>
      <c r="L24" s="7"/>
      <c r="M24" s="10">
        <f t="shared" si="1"/>
        <v>0</v>
      </c>
    </row>
    <row r="25" spans="1:13" ht="222" customHeight="1" x14ac:dyDescent="0.2">
      <c r="A25" s="6">
        <v>16</v>
      </c>
      <c r="B25" s="21" t="s">
        <v>56</v>
      </c>
      <c r="C25" s="21" t="s">
        <v>90</v>
      </c>
      <c r="D25" s="8" t="s">
        <v>71</v>
      </c>
      <c r="E25" s="7" t="s">
        <v>91</v>
      </c>
      <c r="F25" s="8" t="s">
        <v>79</v>
      </c>
      <c r="G25" s="8"/>
      <c r="H25" s="9" t="e">
        <f t="shared" si="0"/>
        <v>#VALUE!</v>
      </c>
      <c r="I25" s="7"/>
      <c r="J25" s="7"/>
      <c r="K25" s="7"/>
      <c r="L25" s="7"/>
      <c r="M25" s="10">
        <f t="shared" si="1"/>
        <v>0</v>
      </c>
    </row>
    <row r="26" spans="1:13" ht="170" customHeight="1" x14ac:dyDescent="0.2">
      <c r="A26" s="6">
        <v>17</v>
      </c>
      <c r="B26" s="21" t="s">
        <v>57</v>
      </c>
      <c r="C26" s="21" t="s">
        <v>92</v>
      </c>
      <c r="D26" s="8" t="s">
        <v>71</v>
      </c>
      <c r="E26" s="7" t="s">
        <v>93</v>
      </c>
      <c r="F26" s="8" t="s">
        <v>79</v>
      </c>
      <c r="G26" s="8"/>
      <c r="H26" s="9" t="e">
        <f t="shared" si="0"/>
        <v>#VALUE!</v>
      </c>
      <c r="I26" s="7"/>
      <c r="J26" s="7"/>
      <c r="K26" s="7"/>
      <c r="L26" s="7"/>
      <c r="M26" s="10">
        <f t="shared" si="1"/>
        <v>0</v>
      </c>
    </row>
    <row r="27" spans="1:13" ht="195" customHeight="1" x14ac:dyDescent="0.2">
      <c r="A27" s="6">
        <v>18</v>
      </c>
      <c r="B27" s="21" t="s">
        <v>58</v>
      </c>
      <c r="C27" s="21" t="s">
        <v>92</v>
      </c>
      <c r="D27" s="8" t="s">
        <v>71</v>
      </c>
      <c r="E27" s="7" t="s">
        <v>93</v>
      </c>
      <c r="F27" s="8" t="s">
        <v>79</v>
      </c>
      <c r="G27" s="8"/>
      <c r="H27" s="9" t="e">
        <f t="shared" si="0"/>
        <v>#VALUE!</v>
      </c>
      <c r="I27" s="7"/>
      <c r="J27" s="7"/>
      <c r="K27" s="7"/>
      <c r="L27" s="7"/>
      <c r="M27" s="10">
        <f t="shared" si="1"/>
        <v>0</v>
      </c>
    </row>
    <row r="28" spans="1:13" ht="296" customHeight="1" x14ac:dyDescent="0.2">
      <c r="A28" s="6">
        <v>19</v>
      </c>
      <c r="B28" s="21" t="s">
        <v>59</v>
      </c>
      <c r="C28" s="21" t="s">
        <v>84</v>
      </c>
      <c r="D28" s="8" t="s">
        <v>71</v>
      </c>
      <c r="E28" s="7" t="s">
        <v>78</v>
      </c>
      <c r="F28" s="8" t="s">
        <v>79</v>
      </c>
      <c r="G28" s="8"/>
      <c r="H28" s="9" t="e">
        <f t="shared" si="0"/>
        <v>#VALUE!</v>
      </c>
      <c r="I28" s="7"/>
      <c r="J28" s="7"/>
      <c r="K28" s="7"/>
      <c r="L28" s="7"/>
      <c r="M28" s="10">
        <f t="shared" si="1"/>
        <v>0</v>
      </c>
    </row>
    <row r="29" spans="1:13" ht="55" customHeight="1" x14ac:dyDescent="0.2">
      <c r="A29" s="6">
        <v>20</v>
      </c>
      <c r="B29" s="21" t="s">
        <v>60</v>
      </c>
      <c r="C29" s="21" t="s">
        <v>94</v>
      </c>
      <c r="D29" s="8" t="s">
        <v>71</v>
      </c>
      <c r="E29" s="7" t="s">
        <v>95</v>
      </c>
      <c r="F29" s="8" t="s">
        <v>79</v>
      </c>
      <c r="G29" s="8"/>
      <c r="H29" s="9" t="e">
        <f t="shared" si="0"/>
        <v>#VALUE!</v>
      </c>
      <c r="I29" s="7"/>
      <c r="J29" s="7"/>
      <c r="K29" s="7"/>
      <c r="L29" s="7"/>
      <c r="M29" s="10">
        <f t="shared" si="1"/>
        <v>0</v>
      </c>
    </row>
    <row r="30" spans="1:13" ht="87" customHeight="1" x14ac:dyDescent="0.2">
      <c r="A30" s="6">
        <v>21</v>
      </c>
      <c r="B30" s="21" t="s">
        <v>61</v>
      </c>
      <c r="C30" s="21" t="s">
        <v>94</v>
      </c>
      <c r="D30" s="8" t="s">
        <v>71</v>
      </c>
      <c r="E30" s="7" t="s">
        <v>95</v>
      </c>
      <c r="F30" s="8" t="s">
        <v>79</v>
      </c>
      <c r="G30" s="8"/>
      <c r="H30" s="9" t="e">
        <f t="shared" si="0"/>
        <v>#VALUE!</v>
      </c>
      <c r="I30" s="7"/>
      <c r="J30" s="7"/>
      <c r="K30" s="7"/>
      <c r="L30" s="7"/>
      <c r="M30" s="10">
        <f t="shared" si="1"/>
        <v>0</v>
      </c>
    </row>
    <row r="31" spans="1:13" ht="135" customHeight="1" x14ac:dyDescent="0.2">
      <c r="A31" s="6">
        <v>22</v>
      </c>
      <c r="B31" s="21" t="s">
        <v>62</v>
      </c>
      <c r="C31" s="21" t="s">
        <v>94</v>
      </c>
      <c r="D31" s="8" t="s">
        <v>71</v>
      </c>
      <c r="E31" s="7" t="s">
        <v>95</v>
      </c>
      <c r="F31" s="8" t="s">
        <v>79</v>
      </c>
      <c r="G31" s="8"/>
      <c r="H31" s="9" t="e">
        <f t="shared" si="0"/>
        <v>#VALUE!</v>
      </c>
      <c r="I31" s="7"/>
      <c r="J31" s="7"/>
      <c r="K31" s="7"/>
      <c r="L31" s="7"/>
      <c r="M31" s="10">
        <f t="shared" si="1"/>
        <v>0</v>
      </c>
    </row>
    <row r="32" spans="1:13" ht="62" customHeight="1" x14ac:dyDescent="0.2">
      <c r="A32" s="6">
        <v>23</v>
      </c>
      <c r="B32" s="21" t="s">
        <v>63</v>
      </c>
      <c r="C32" s="21" t="s">
        <v>96</v>
      </c>
      <c r="D32" s="8" t="s">
        <v>77</v>
      </c>
      <c r="E32" s="7" t="s">
        <v>91</v>
      </c>
      <c r="F32" s="8" t="s">
        <v>79</v>
      </c>
      <c r="G32" s="8"/>
      <c r="H32" s="9" t="e">
        <f t="shared" si="0"/>
        <v>#VALUE!</v>
      </c>
      <c r="I32" s="7"/>
      <c r="J32" s="7"/>
      <c r="K32" s="7"/>
      <c r="L32" s="7"/>
      <c r="M32" s="10">
        <f t="shared" si="1"/>
        <v>0</v>
      </c>
    </row>
    <row r="33" spans="1:13" ht="65" customHeight="1" x14ac:dyDescent="0.2">
      <c r="A33" s="6">
        <v>24</v>
      </c>
      <c r="B33" s="21" t="s">
        <v>64</v>
      </c>
      <c r="C33" s="21" t="s">
        <v>96</v>
      </c>
      <c r="D33" s="8" t="s">
        <v>77</v>
      </c>
      <c r="E33" s="7" t="s">
        <v>91</v>
      </c>
      <c r="F33" s="8" t="s">
        <v>79</v>
      </c>
      <c r="G33" s="8"/>
      <c r="H33" s="9" t="e">
        <f t="shared" si="0"/>
        <v>#VALUE!</v>
      </c>
      <c r="I33" s="7"/>
      <c r="J33" s="7"/>
      <c r="K33" s="7"/>
      <c r="L33" s="7"/>
      <c r="M33" s="10">
        <f t="shared" si="1"/>
        <v>0</v>
      </c>
    </row>
    <row r="34" spans="1:13" ht="196" customHeight="1" x14ac:dyDescent="0.2">
      <c r="A34" s="6">
        <v>25</v>
      </c>
      <c r="B34" s="21" t="s">
        <v>65</v>
      </c>
      <c r="C34" s="21" t="s">
        <v>88</v>
      </c>
      <c r="D34" s="8" t="s">
        <v>71</v>
      </c>
      <c r="E34" s="7" t="s">
        <v>89</v>
      </c>
      <c r="F34" s="8" t="s">
        <v>79</v>
      </c>
      <c r="G34" s="8"/>
      <c r="H34" s="9" t="e">
        <f t="shared" si="0"/>
        <v>#VALUE!</v>
      </c>
      <c r="I34" s="7"/>
      <c r="J34" s="7"/>
      <c r="K34" s="7"/>
      <c r="L34" s="7"/>
      <c r="M34" s="10">
        <f t="shared" si="1"/>
        <v>0</v>
      </c>
    </row>
    <row r="35" spans="1:13" ht="217" customHeight="1" x14ac:dyDescent="0.2">
      <c r="A35" s="6">
        <v>26</v>
      </c>
      <c r="B35" s="21" t="s">
        <v>66</v>
      </c>
      <c r="C35" s="21" t="s">
        <v>98</v>
      </c>
      <c r="D35" s="8" t="s">
        <v>77</v>
      </c>
      <c r="E35" s="7" t="s">
        <v>97</v>
      </c>
      <c r="F35" s="8" t="s">
        <v>79</v>
      </c>
      <c r="G35" s="8"/>
      <c r="H35" s="9" t="e">
        <f t="shared" si="0"/>
        <v>#VALUE!</v>
      </c>
      <c r="I35" s="7"/>
      <c r="J35" s="7"/>
      <c r="K35" s="7"/>
      <c r="L35" s="7"/>
      <c r="M35" s="10">
        <f t="shared" si="1"/>
        <v>0</v>
      </c>
    </row>
    <row r="36" spans="1:13" ht="98" customHeight="1" x14ac:dyDescent="0.2">
      <c r="A36" s="6">
        <v>27</v>
      </c>
      <c r="B36" s="21" t="s">
        <v>67</v>
      </c>
      <c r="C36" s="21" t="s">
        <v>98</v>
      </c>
      <c r="D36" s="8" t="s">
        <v>77</v>
      </c>
      <c r="E36" s="7" t="s">
        <v>97</v>
      </c>
      <c r="F36" s="8" t="s">
        <v>79</v>
      </c>
      <c r="G36" s="8"/>
      <c r="H36" s="9" t="e">
        <f t="shared" si="0"/>
        <v>#VALUE!</v>
      </c>
      <c r="I36" s="7"/>
      <c r="J36" s="7"/>
      <c r="K36" s="7"/>
      <c r="L36" s="7"/>
      <c r="M36" s="10">
        <f t="shared" si="1"/>
        <v>0</v>
      </c>
    </row>
    <row r="37" spans="1:13" ht="20.5" customHeight="1" x14ac:dyDescent="0.2">
      <c r="A37" s="6">
        <v>28</v>
      </c>
      <c r="B37" s="7"/>
      <c r="C37" s="7"/>
      <c r="D37" s="8"/>
      <c r="E37" s="7"/>
      <c r="F37" s="8"/>
      <c r="G37" s="8"/>
      <c r="H37" s="9">
        <f t="shared" si="0"/>
        <v>0</v>
      </c>
      <c r="I37" s="7"/>
      <c r="J37" s="7"/>
      <c r="K37" s="7"/>
      <c r="L37" s="7"/>
      <c r="M37" s="10">
        <f t="shared" si="1"/>
        <v>0</v>
      </c>
    </row>
  </sheetData>
  <mergeCells count="14">
    <mergeCell ref="A5:A8"/>
    <mergeCell ref="C6:E6"/>
    <mergeCell ref="H6:I6"/>
    <mergeCell ref="A1:B4"/>
    <mergeCell ref="J1:M1"/>
    <mergeCell ref="J2:M2"/>
    <mergeCell ref="J3:M3"/>
    <mergeCell ref="J4:M4"/>
    <mergeCell ref="J8:M8"/>
    <mergeCell ref="C1:I1"/>
    <mergeCell ref="C2:I2"/>
    <mergeCell ref="C3:I3"/>
    <mergeCell ref="C4:I4"/>
    <mergeCell ref="B5:M5"/>
  </mergeCells>
  <conditionalFormatting sqref="H10:H1048576">
    <cfRule type="cellIs" dxfId="5" priority="1" operator="greaterThan">
      <formula>0</formula>
    </cfRule>
    <cfRule type="cellIs" dxfId="4" priority="2" operator="lessThan">
      <formula>0</formula>
    </cfRule>
  </conditionalFormatting>
  <conditionalFormatting sqref="M10:M1048576">
    <cfRule type="cellIs" dxfId="3" priority="4" operator="equal">
      <formula>0</formula>
    </cfRule>
    <cfRule type="cellIs" dxfId="2" priority="5" operator="between">
      <formula>751</formula>
      <formula>1000</formula>
    </cfRule>
    <cfRule type="cellIs" dxfId="1" priority="6" operator="between">
      <formula>401</formula>
      <formula>750</formula>
    </cfRule>
    <cfRule type="cellIs" dxfId="0" priority="7" operator="between">
      <formula>1</formula>
      <formula>400</formula>
    </cfRule>
  </conditionalFormatting>
  <dataValidations count="1">
    <dataValidation type="list" allowBlank="1" showInputMessage="1" showErrorMessage="1" sqref="J10:L1048576" xr:uid="{9BF4877D-B874-40A8-AAEC-10B44BF873C8}">
      <formula1>"1,2,3,4,5,6,7,8,9,10"</formula1>
    </dataValidation>
  </dataValidations>
  <hyperlinks>
    <hyperlink ref="J8:L8" location="'INSTRUCCIONES QL'!A1" display="INSTRUCCIONES" xr:uid="{19DF9F2C-69C4-42B4-ADBE-ED08BB4C2FB8}"/>
  </hyperlinks>
  <pageMargins left="0.7" right="0.7" top="0.75" bottom="0.75" header="0.3" footer="0.3"/>
  <pageSetup scale="57"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1611-F82F-4BA2-AA45-B0BD4E754E95}">
  <dimension ref="A1:B14"/>
  <sheetViews>
    <sheetView workbookViewId="0"/>
  </sheetViews>
  <sheetFormatPr baseColWidth="10" defaultRowHeight="15" x14ac:dyDescent="0.2"/>
  <cols>
    <col min="1" max="1" width="21.5" customWidth="1"/>
    <col min="2" max="2" width="69.33203125" style="1" customWidth="1"/>
  </cols>
  <sheetData>
    <row r="1" spans="1:2" ht="16" thickBot="1" x14ac:dyDescent="0.25"/>
    <row r="2" spans="1:2" ht="20" thickBot="1" x14ac:dyDescent="0.3">
      <c r="A2" s="38" t="s">
        <v>31</v>
      </c>
      <c r="B2" s="39"/>
    </row>
    <row r="3" spans="1:2" ht="32" x14ac:dyDescent="0.2">
      <c r="A3" s="40" t="s">
        <v>16</v>
      </c>
      <c r="B3" s="17" t="s">
        <v>17</v>
      </c>
    </row>
    <row r="4" spans="1:2" ht="16" x14ac:dyDescent="0.2">
      <c r="A4" s="41"/>
      <c r="B4" s="14" t="s">
        <v>18</v>
      </c>
    </row>
    <row r="5" spans="1:2" ht="16" x14ac:dyDescent="0.2">
      <c r="A5" s="41"/>
      <c r="B5" s="14" t="s">
        <v>19</v>
      </c>
    </row>
    <row r="6" spans="1:2" ht="33" thickBot="1" x14ac:dyDescent="0.25">
      <c r="A6" s="42"/>
      <c r="B6" s="15" t="s">
        <v>20</v>
      </c>
    </row>
    <row r="7" spans="1:2" ht="32" x14ac:dyDescent="0.2">
      <c r="A7" s="40" t="s">
        <v>21</v>
      </c>
      <c r="B7" s="17" t="s">
        <v>22</v>
      </c>
    </row>
    <row r="8" spans="1:2" ht="32" x14ac:dyDescent="0.2">
      <c r="A8" s="41"/>
      <c r="B8" s="14" t="s">
        <v>23</v>
      </c>
    </row>
    <row r="9" spans="1:2" ht="32" x14ac:dyDescent="0.2">
      <c r="A9" s="41"/>
      <c r="B9" s="14" t="s">
        <v>24</v>
      </c>
    </row>
    <row r="10" spans="1:2" ht="33" thickBot="1" x14ac:dyDescent="0.25">
      <c r="A10" s="42"/>
      <c r="B10" s="15" t="s">
        <v>25</v>
      </c>
    </row>
    <row r="11" spans="1:2" ht="32" x14ac:dyDescent="0.2">
      <c r="A11" s="43" t="s">
        <v>30</v>
      </c>
      <c r="B11" s="16" t="s">
        <v>26</v>
      </c>
    </row>
    <row r="12" spans="1:2" ht="32" x14ac:dyDescent="0.2">
      <c r="A12" s="41"/>
      <c r="B12" s="14" t="s">
        <v>27</v>
      </c>
    </row>
    <row r="13" spans="1:2" ht="32" x14ac:dyDescent="0.2">
      <c r="A13" s="41"/>
      <c r="B13" s="14" t="s">
        <v>28</v>
      </c>
    </row>
    <row r="14" spans="1:2" ht="33" thickBot="1" x14ac:dyDescent="0.25">
      <c r="A14" s="42"/>
      <c r="B14" s="15" t="s">
        <v>29</v>
      </c>
    </row>
  </sheetData>
  <mergeCells count="4">
    <mergeCell ref="A2:B2"/>
    <mergeCell ref="A3:A6"/>
    <mergeCell ref="A7:A10"/>
    <mergeCell ref="A11: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EV</vt:lpstr>
      <vt:lpstr>INSTRUCCIONES QL</vt:lpstr>
      <vt:lpstr>'FORMATO EV'!Área_de_impresión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Mario Gonzalez Ulloa</dc:creator>
  <cp:lastModifiedBy>Sharon Katherine Acuña</cp:lastModifiedBy>
  <cp:lastPrinted>2025-03-26T21:39:29Z</cp:lastPrinted>
  <dcterms:created xsi:type="dcterms:W3CDTF">2025-03-26T19:17:13Z</dcterms:created>
  <dcterms:modified xsi:type="dcterms:W3CDTF">2026-07-21T18:55:52Z</dcterms:modified>
</cp:coreProperties>
</file>