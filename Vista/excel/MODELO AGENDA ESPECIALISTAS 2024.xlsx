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ANCHEZ\Desktop\"/>
    </mc:Choice>
  </mc:AlternateContent>
  <xr:revisionPtr revIDLastSave="0" documentId="13_ncr:1_{7051BB59-6766-4CBD-B959-FAA24CD3DF65}" xr6:coauthVersionLast="47" xr6:coauthVersionMax="47" xr10:uidLastSave="{00000000-0000-0000-0000-000000000000}"/>
  <workbookProtection workbookAlgorithmName="SHA-512" workbookHashValue="h+SPx3uuOoQavI7RSQ1a8cjE4J/3U9Xv8HHpiP2UlPrXCkDahVFEoBaASMRByjr1JkBVVDKld+MnMCL4UvpFQg==" workbookSaltValue="oYqELa9FmjVo66ZeYqj5sA==" workbookSpinCount="100000" lockStructure="1"/>
  <bookViews>
    <workbookView xWindow="-120" yWindow="-120" windowWidth="29040" windowHeight="1572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72" i="1" l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13" i="1"/>
</calcChain>
</file>

<file path=xl/sharedStrings.xml><?xml version="1.0" encoding="utf-8"?>
<sst xmlns="http://schemas.openxmlformats.org/spreadsheetml/2006/main" count="29" uniqueCount="28">
  <si>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</si>
  <si>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</si>
  <si>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</si>
  <si>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</si>
  <si>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</si>
  <si>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SUBPROCESO</t>
  </si>
  <si>
    <t>VERSIÓN</t>
  </si>
  <si>
    <t>TIPO DE DOCUMENTO</t>
  </si>
  <si>
    <t>FORMATO</t>
  </si>
  <si>
    <t>NOMBRE</t>
  </si>
  <si>
    <t>Pág. 1 de 1</t>
  </si>
  <si>
    <t>MES:</t>
  </si>
  <si>
    <t>AÑO:</t>
  </si>
  <si>
    <t>Todas</t>
  </si>
  <si>
    <t>NOMBRE DEL PROFESIONAL</t>
  </si>
  <si>
    <t>OBSERVACIONES</t>
  </si>
  <si>
    <t>HORAS</t>
  </si>
  <si>
    <t>Total Horas</t>
  </si>
  <si>
    <t>COD</t>
  </si>
  <si>
    <t>DOCUMENTO</t>
  </si>
  <si>
    <t>APROBÓ
KARIN MILENA GAMBA</t>
  </si>
  <si>
    <t>ACTIVIDAD</t>
  </si>
  <si>
    <t>TOTAL HORAS</t>
  </si>
  <si>
    <t>ÁREA:</t>
  </si>
  <si>
    <t>FESTIVOS DEL AÑO 2025</t>
  </si>
  <si>
    <t>SUBGERENCIA CIENTIFICA</t>
  </si>
  <si>
    <t>Hrm2026$</t>
  </si>
  <si>
    <t>PROGRAMACION DE AGENDAS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</si>
</sst>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sz val="14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 Narrow"/>
      <family val="2"/>
    </font>
    <font>
      <sz val="8"/>
      <color theme="0"/>
      <name val="Arial Narrow"/>
      <family val="2"/>
    </font>
    <font>
      <sz val="8"/>
      <name val="Arial Narrow"/>
      <family val="2"/>
    </font>
    <font>
      <sz val="12"/>
      <color rgb="FFFF0000"/>
      <name val="Calibri"/>
      <family val="2"/>
      <scheme val="minor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5" xfId="0" applyBorder="1" applyAlignment="1" applyProtection="1">
      <alignment horizontal="left" vertical="top"/>
      <protection hidden="1"/>
    </xf>
    <xf numFmtId="0" fontId="10" fillId="3" borderId="5" xfId="0" applyFont="1" applyFill="1" applyBorder="1" applyAlignment="1" applyProtection="1">
      <alignment horizontal="left" vertical="top" wrapText="1"/>
      <protection hidden="1"/>
    </xf>
    <xf numFmtId="0" fontId="10" fillId="3" borderId="18" xfId="0" applyFont="1" applyFill="1" applyBorder="1" applyAlignment="1" applyProtection="1">
      <alignment horizontal="left" vertical="top" wrapText="1"/>
      <protection hidden="1"/>
    </xf>
    <xf numFmtId="14" fontId="16" fillId="0" borderId="24" xfId="0" applyNumberFormat="1" applyFont="1" applyBorder="1" applyAlignment="1" applyProtection="1">
      <alignment horizontal="center" vertical="center" wrapText="1"/>
      <protection hidden="1"/>
    </xf>
    <xf numFmtId="14" fontId="16" fillId="0" borderId="19" xfId="0" applyNumberFormat="1" applyFont="1" applyBorder="1" applyAlignment="1" applyProtection="1">
      <alignment horizontal="center" vertical="center" wrapText="1"/>
      <protection hidden="1"/>
    </xf>
    <xf numFmtId="49" fontId="17" fillId="0" borderId="16" xfId="0" applyNumberFormat="1" applyFont="1" applyBorder="1" applyAlignment="1" applyProtection="1">
      <alignment horizontal="center" vertical="center" wrapText="1"/>
      <protection hidden="1"/>
    </xf>
    <xf numFmtId="0" fontId="2" fillId="4" borderId="2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left" vertical="center"/>
      <protection hidden="1"/>
    </xf>
    <xf numFmtId="0" fontId="5" fillId="0" borderId="4" xfId="0" applyFont="1" applyBorder="1" applyAlignment="1" applyProtection="1">
      <alignment horizontal="left" vertical="center" wrapText="1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49" fontId="5" fillId="4" borderId="25" xfId="0" applyNumberFormat="1" applyFont="1" applyFill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/>
      <protection hidden="1"/>
    </xf>
    <xf numFmtId="0" fontId="13" fillId="0" borderId="5" xfId="0" applyFont="1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0" fillId="2" borderId="5" xfId="0" applyFont="1" applyFill="1" applyBorder="1" applyAlignment="1" applyProtection="1">
      <alignment horizontal="center" vertical="center"/>
      <protection hidden="1"/>
    </xf>
    <xf numFmtId="0" fontId="10" fillId="2" borderId="18" xfId="0" applyFont="1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wrapText="1"/>
      <protection hidden="1"/>
    </xf>
    <xf numFmtId="0" fontId="0" fillId="0" borderId="16" xfId="0" applyBorder="1" applyProtection="1">
      <protection hidden="1"/>
    </xf>
    <xf numFmtId="0" fontId="14" fillId="0" borderId="0" xfId="0" applyFont="1" applyProtection="1">
      <protection hidden="1"/>
    </xf>
    <xf numFmtId="0" fontId="0" fillId="0" borderId="5" xfId="0" applyBorder="1" applyProtection="1">
      <protection locked="0"/>
    </xf>
    <xf numFmtId="0" fontId="9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164" fontId="18" fillId="0" borderId="24" xfId="0" applyNumberFormat="1" applyFont="1" applyBorder="1" applyAlignment="1" applyProtection="1">
      <alignment horizontal="center" vertical="center" wrapText="1"/>
      <protection hidden="1"/>
    </xf>
    <xf numFmtId="0" fontId="19" fillId="0" borderId="0" xfId="0" applyFont="1" applyProtection="1"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15" fillId="3" borderId="5" xfId="0" applyFont="1" applyFill="1" applyBorder="1" applyAlignment="1" applyProtection="1">
      <alignment vertical="top" wrapText="1"/>
      <protection hidden="1"/>
    </xf>
    <xf numFmtId="0" fontId="15" fillId="3" borderId="17" xfId="0" applyFont="1" applyFill="1" applyBorder="1" applyAlignment="1" applyProtection="1">
      <alignment vertical="top" wrapText="1"/>
      <protection hidden="1"/>
    </xf>
    <xf numFmtId="0" fontId="15" fillId="3" borderId="18" xfId="0" applyFont="1" applyFill="1" applyBorder="1" applyAlignment="1" applyProtection="1">
      <alignment vertical="top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Protection="1">
      <protection hidden="1"/>
    </xf>
    <xf numFmtId="0" fontId="11" fillId="0" borderId="19" xfId="0" applyFont="1" applyBorder="1" applyAlignment="1" applyProtection="1">
      <alignment horizontal="center" wrapText="1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Protection="1">
      <protection hidden="1"/>
    </xf>
    <xf numFmtId="0" fontId="6" fillId="0" borderId="6" xfId="0" applyFont="1" applyBorder="1" applyProtection="1">
      <protection hidden="1"/>
    </xf>
    <xf numFmtId="0" fontId="6" fillId="0" borderId="5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6" fillId="0" borderId="8" xfId="0" applyFont="1" applyBorder="1" applyProtection="1">
      <protection hidden="1"/>
    </xf>
    <xf numFmtId="0" fontId="6" fillId="0" borderId="9" xfId="0" applyFont="1" applyBorder="1" applyProtection="1"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2" xfId="0" applyFont="1" applyBorder="1" applyProtection="1">
      <protection hidden="1"/>
    </xf>
    <xf numFmtId="0" fontId="6" fillId="0" borderId="3" xfId="0" applyFont="1" applyBorder="1" applyProtection="1"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Protection="1"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Protection="1"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5" fillId="0" borderId="26" xfId="0" applyFont="1" applyBorder="1" applyAlignment="1" applyProtection="1">
      <alignment horizontal="center" vertical="center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21" xfId="0" applyFont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/>
      <protection hidden="1"/>
    </xf>
    <xf numFmtId="0" fontId="10" fillId="2" borderId="18" xfId="0" applyFont="1" applyFill="1" applyBorder="1" applyAlignment="1" applyProtection="1">
      <alignment horizontal="center" vertical="center"/>
      <protection hidden="1"/>
    </xf>
    <xf numFmtId="0" fontId="10" fillId="2" borderId="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  <numFmt numFmtId="30" formatCode="@"/>
      <alignment horizontal="center" vertical="center" textRotation="0" wrapText="1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 Narrow"/>
        <scheme val="none"/>
      </font>
      <numFmt numFmtId="30" formatCode="@"/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470646</xdr:colOff>
      <xdr:row>0</xdr:row>
      <xdr:rowOff>197887</xdr:rowOff>
    </xdr:from>
    <xdr:to>
      <xdr:col>2</xdr:col>
      <xdr:colOff>1994647</xdr:colOff>
      <xdr:row>7</xdr:row>
      <xdr:rowOff>193685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9" y="197887"/>
          <a:ext cx="1524001" cy="14525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FESTIVOS" displayName="tFESTIVOS" ref="A1:A52" totalsRowShown="0" headerRowDxfId="10" dataDxfId="8" headerRowBorderDxfId="9" tableBorderDxfId="7" totalsRowBorderDxfId="6">
  <autoFilter ref="A1:A52" xr:uid="{00000000-0009-0000-0100-000001000000}"/>
  <tableColumns count="1">
    <tableColumn id="1" xr3:uid="{00000000-0010-0000-0000-000001000000}" name="FESTIVOS DEL AÑO 2025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P17" sqref="P17"/>
    </sheetView>
  </sheetViews>
  <sheetFormatPr baseColWidth="10" defaultColWidth="9.375" defaultRowHeight="15.75" x14ac:dyDescent="0.25"/>
  <cols>
    <col min="1" max="2" width="9.375" style="11"/>
    <col min="3" max="3" width="30.75" style="11" customWidth="1"/>
    <col min="4" max="4" width="21.125" style="11" customWidth="1"/>
    <col min="5" max="37" width="8.125" style="11" customWidth="1"/>
    <col min="38" max="38" width="11.25" style="11" customWidth="1"/>
    <col min="39" max="16384" width="9.375" style="11"/>
  </cols>
  <sheetData>
    <row r="1" spans="1:40" ht="16.5" thickBot="1" x14ac:dyDescent="0.3">
      <c r="C1" s="39"/>
    </row>
    <row r="2" spans="1:40" ht="18" x14ac:dyDescent="0.25">
      <c r="A2" s="31"/>
      <c r="B2" s="31"/>
      <c r="C2" s="40"/>
      <c r="D2" s="45" t="s">
        <v>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58" t="s">
        <v>1</v>
      </c>
      <c r="AD2" s="59"/>
      <c r="AE2" s="59"/>
      <c r="AF2" s="59"/>
      <c r="AG2" s="59"/>
      <c r="AH2" s="59"/>
      <c r="AI2" s="60"/>
    </row>
    <row r="3" spans="1:40" x14ac:dyDescent="0.25">
      <c r="A3" s="31"/>
      <c r="B3" s="31"/>
      <c r="C3" s="40"/>
      <c r="D3" s="13" t="s">
        <v>2</v>
      </c>
      <c r="E3" s="54" t="s">
        <v>3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1" t="s">
        <v>4</v>
      </c>
      <c r="AD3" s="52"/>
      <c r="AE3" s="52"/>
      <c r="AF3" s="52"/>
      <c r="AG3" s="52"/>
      <c r="AH3" s="52"/>
      <c r="AI3" s="53"/>
    </row>
    <row r="4" spans="1:40" x14ac:dyDescent="0.25">
      <c r="A4" s="31"/>
      <c r="B4" s="31"/>
      <c r="C4" s="31"/>
      <c r="D4" s="14" t="s">
        <v>5</v>
      </c>
      <c r="E4" s="54" t="s">
        <v>25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1" t="s">
        <v>6</v>
      </c>
      <c r="AD4" s="52"/>
      <c r="AE4" s="52"/>
      <c r="AF4" s="52"/>
      <c r="AG4" s="52"/>
      <c r="AH4" s="52"/>
      <c r="AI4" s="53"/>
    </row>
    <row r="5" spans="1:40" x14ac:dyDescent="0.25">
      <c r="A5" s="31"/>
      <c r="B5" s="31"/>
      <c r="C5" s="40"/>
      <c r="D5" s="1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2"/>
      <c r="AD5" s="52"/>
      <c r="AE5" s="52"/>
      <c r="AF5" s="52"/>
      <c r="AG5" s="52"/>
      <c r="AH5" s="52"/>
      <c r="AI5" s="53"/>
    </row>
    <row r="6" spans="1:40" x14ac:dyDescent="0.25">
      <c r="A6" s="31"/>
      <c r="B6" s="31"/>
      <c r="C6" s="40"/>
      <c r="D6" s="13" t="s">
        <v>7</v>
      </c>
      <c r="E6" s="54" t="s">
        <v>8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1">
        <v>1</v>
      </c>
      <c r="AD6" s="52"/>
      <c r="AE6" s="52"/>
      <c r="AF6" s="52"/>
      <c r="AG6" s="52"/>
      <c r="AH6" s="52"/>
      <c r="AI6" s="53"/>
    </row>
    <row r="7" spans="1:40" ht="16.5" thickBot="1" x14ac:dyDescent="0.3">
      <c r="A7" s="31"/>
      <c r="B7" s="31"/>
      <c r="C7" s="40"/>
      <c r="D7" s="15" t="s">
        <v>9</v>
      </c>
      <c r="E7" s="54" t="s">
        <v>27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5" t="s">
        <v>10</v>
      </c>
      <c r="AD7" s="56"/>
      <c r="AE7" s="56"/>
      <c r="AF7" s="56"/>
      <c r="AG7" s="56"/>
      <c r="AH7" s="56"/>
      <c r="AI7" s="57"/>
    </row>
    <row r="8" spans="1:40" ht="16.5" thickBot="1" x14ac:dyDescent="0.3">
      <c r="A8" s="31"/>
      <c r="B8" s="31"/>
      <c r="C8" s="41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6"/>
      <c r="AD8" s="16"/>
      <c r="AE8" s="16"/>
      <c r="AF8" s="16"/>
      <c r="AG8" s="16"/>
      <c r="AH8" s="16"/>
      <c r="AI8" s="16"/>
    </row>
    <row r="9" spans="1:40" ht="16.5" thickBot="1" x14ac:dyDescent="0.3">
      <c r="C9" s="18"/>
      <c r="D9" s="19"/>
      <c r="E9" s="65" t="s">
        <v>11</v>
      </c>
      <c r="F9" s="65"/>
      <c r="G9" s="65"/>
      <c r="H9" s="72"/>
      <c r="I9" s="72"/>
      <c r="J9" s="72"/>
      <c r="K9" s="72"/>
      <c r="L9" s="72"/>
      <c r="M9" s="72"/>
      <c r="N9" s="72"/>
      <c r="O9" s="65" t="s">
        <v>12</v>
      </c>
      <c r="P9" s="65"/>
      <c r="Q9" s="65"/>
      <c r="R9" s="65"/>
      <c r="S9" s="65"/>
      <c r="T9" s="65"/>
      <c r="U9" s="65"/>
      <c r="V9" s="65"/>
      <c r="W9" s="20" t="s">
        <v>23</v>
      </c>
      <c r="X9" s="73"/>
      <c r="Y9" s="74"/>
      <c r="Z9" s="74"/>
      <c r="AA9" s="74"/>
      <c r="AB9" s="74"/>
      <c r="AC9" s="74"/>
      <c r="AD9" s="75"/>
      <c r="AE9" s="73" t="s">
        <v>13</v>
      </c>
      <c r="AF9" s="74"/>
      <c r="AG9" s="74"/>
      <c r="AH9" s="74"/>
      <c r="AI9" s="76"/>
    </row>
    <row r="10" spans="1:40" ht="16.5" thickBot="1" x14ac:dyDescent="0.3">
      <c r="C10" s="1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1"/>
      <c r="R10" s="17"/>
      <c r="S10" s="17"/>
      <c r="T10" s="22"/>
      <c r="U10" s="22"/>
      <c r="V10" s="22"/>
      <c r="W10" s="22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40" x14ac:dyDescent="0.25">
      <c r="C11" s="61" t="s">
        <v>14</v>
      </c>
      <c r="D11" s="63" t="s">
        <v>19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4" t="s">
        <v>17</v>
      </c>
    </row>
    <row r="12" spans="1:40" x14ac:dyDescent="0.25">
      <c r="C12" s="62"/>
      <c r="D12" s="6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5"/>
    </row>
    <row r="13" spans="1:40" x14ac:dyDescent="0.25">
      <c r="B13" s="32">
        <v>1</v>
      </c>
      <c r="C13" s="33"/>
      <c r="D13" s="3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IFERROR(VLOOKUP(E13,$B$75:$E$105,4,FALSE),0)+
IFERROR(VLOOKUP(F13,$B$75:$E$105,4,FALSE),0)+
IFERROR(VLOOKUP(G13,$B$75:$E$105,4,FALSE),0)+
IFERROR(VLOOKUP(H13,$B$75:$E$105,4,FALSE),0)+
IFERROR(VLOOKUP(I13,$B$75:$E$105,4,FALSE),0)+
IFERROR(VLOOKUP(J13,$B$75:$E$105,4,FALSE),0)+
IFERROR(VLOOKUP(K13,$B$75:$E$105,4,FALSE),0)+
IFERROR(VLOOKUP(L13,$B$75:$E$105,4,FALSE),0)+
IFERROR(VLOOKUP(M13,$B$75:$E$105,4,FALSE),0)+
IFERROR(VLOOKUP(N13,$B$75:$E$105,4,FALSE),0)+
IFERROR(VLOOKUP(O13,$B$75:$E$105,4,FALSE),0)+
IFERROR(VLOOKUP(P13,$B$75:$E$105,4,FALSE),0)+
IFERROR(VLOOKUP(Q13,$B$75:$E$105,4,FALSE),0)+
IFERROR(VLOOKUP(R13,$B$75:$E$105,4,FALSE),0)+
IFERROR(VLOOKUP(S13,$B$75:$E$105,4,FALSE),0)+
IFERROR(VLOOKUP(T13,$B$75:$E$105,4,FALSE),0)+
IFERROR(VLOOKUP(U13,$B$75:$E$105,4,FALSE),0)+
IFERROR(VLOOKUP(V13,$B$75:$E$105,4,FALSE),0)+
IFERROR(VLOOKUP(W13,$B$75:$E$105,4,FALSE),0)+
IFERROR(VLOOKUP(X13,$B$75:$E$105,4,FALSE),0)+
IFERROR(VLOOKUP(Y13,$B$75:$E$105,4,FALSE),0)+
IFERROR(VLOOKUP(Z13,$B$75:$E$105,4,FALSE),0)+
IFERROR(VLOOKUP(AA13,$B$75:$E$105,4,FALSE),0)+
IFERROR(VLOOKUP(AB13,$B$75:$E$105,4,FALSE),0)+
IFERROR(VLOOKUP(AC13,$B$75:$E$105,4,FALSE),0)+
IFERROR(VLOOKUP(AD13,$B$75:$E$105,4,FALSE),0)+
IFERROR(VLOOKUP(AE13,$B$75:$E$105,4,FALSE),0)+
IFERROR(VLOOKUP(AF13,$B$75:$E$105,4,FALSE),0)+
IFERROR(VLOOKUP(AG13,$B$75:$E$105,4,FALSE),0)+
IFERROR(VLOOKUP(AH13,$B$75:$E$105,4,FALSE),0)+
IFERROR(VLOOKUP(AI13,$B$75:$E$105,4,FALSE),0)+
IFERROR(VLOOKUP(AJ13,$B$75:$E$105,4,FALSE),0)</f>
        <v>0</v>
      </c>
      <c r="AM13" s="9"/>
      <c r="AN13" s="9"/>
    </row>
    <row r="14" spans="1:40" x14ac:dyDescent="0.25">
      <c r="B14" s="32">
        <v>2</v>
      </c>
      <c r="C14" s="33"/>
      <c r="D14" s="3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>
        <f t="shared" ref="AL14:AL71" si="0">IFERROR(VLOOKUP(E14,$B$75:$E$105,4,FALSE),0)+
IFERROR(VLOOKUP(F14,$B$75:$E$105,4,FALSE),0)+
IFERROR(VLOOKUP(G14,$B$75:$E$105,4,FALSE),0)+
IFERROR(VLOOKUP(H14,$B$75:$E$105,4,FALSE),0)+
IFERROR(VLOOKUP(I14,$B$75:$E$105,4,FALSE),0)+
IFERROR(VLOOKUP(J14,$B$75:$E$105,4,FALSE),0)+
IFERROR(VLOOKUP(K14,$B$75:$E$105,4,FALSE),0)+
IFERROR(VLOOKUP(L14,$B$75:$E$105,4,FALSE),0)+
IFERROR(VLOOKUP(M14,$B$75:$E$105,4,FALSE),0)+
IFERROR(VLOOKUP(N14,$B$75:$E$105,4,FALSE),0)+
IFERROR(VLOOKUP(O14,$B$75:$E$105,4,FALSE),0)+
IFERROR(VLOOKUP(P14,$B$75:$E$105,4,FALSE),0)+
IFERROR(VLOOKUP(Q14,$B$75:$E$105,4,FALSE),0)+
IFERROR(VLOOKUP(R14,$B$75:$E$105,4,FALSE),0)+
IFERROR(VLOOKUP(S14,$B$75:$E$105,4,FALSE),0)+
IFERROR(VLOOKUP(T14,$B$75:$E$105,4,FALSE),0)+
IFERROR(VLOOKUP(U14,$B$75:$E$105,4,FALSE),0)+
IFERROR(VLOOKUP(V14,$B$75:$E$105,4,FALSE),0)+
IFERROR(VLOOKUP(W14,$B$75:$E$105,4,FALSE),0)+
IFERROR(VLOOKUP(X14,$B$75:$E$105,4,FALSE),0)+
IFERROR(VLOOKUP(Y14,$B$75:$E$105,4,FALSE),0)+
IFERROR(VLOOKUP(Z14,$B$75:$E$105,4,FALSE),0)+
IFERROR(VLOOKUP(AA14,$B$75:$E$105,4,FALSE),0)+
IFERROR(VLOOKUP(AB14,$B$75:$E$105,4,FALSE),0)+
IFERROR(VLOOKUP(AC14,$B$75:$E$105,4,FALSE),0)+
IFERROR(VLOOKUP(AD14,$B$75:$E$105,4,FALSE),0)+
IFERROR(VLOOKUP(AE14,$B$75:$E$105,4,FALSE),0)+
IFERROR(VLOOKUP(AF14,$B$75:$E$105,4,FALSE),0)+
IFERROR(VLOOKUP(AG14,$B$75:$E$105,4,FALSE),0)+
IFERROR(VLOOKUP(AH14,$B$75:$E$105,4,FALSE),0)+
IFERROR(VLOOKUP(AI14,$B$75:$E$105,4,FALSE),0)+
IFERROR(VLOOKUP(AJ14,$B$75:$E$105,4,FALSE),0)</f>
        <v>0</v>
      </c>
      <c r="AM14" s="9"/>
      <c r="AN14" s="9"/>
    </row>
    <row r="15" spans="1:40" x14ac:dyDescent="0.25">
      <c r="B15" s="32">
        <v>3</v>
      </c>
      <c r="C15" s="33"/>
      <c r="D15" s="3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>
        <f t="shared" si="0"/>
        <v>0</v>
      </c>
      <c r="AM15" s="9"/>
      <c r="AN15" s="9"/>
    </row>
    <row r="16" spans="1:40" ht="15.75" customHeight="1" x14ac:dyDescent="0.25">
      <c r="B16" s="32">
        <v>4</v>
      </c>
      <c r="C16" s="33"/>
      <c r="D16" s="3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 t="shared" si="0"/>
        <v>0</v>
      </c>
      <c r="AM16" s="9"/>
      <c r="AN16" s="9"/>
    </row>
    <row r="17" spans="2:40" ht="15.75" customHeight="1" x14ac:dyDescent="0.25">
      <c r="B17" s="32">
        <v>5</v>
      </c>
      <c r="C17" s="33"/>
      <c r="D17" s="3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>
        <f t="shared" si="0"/>
        <v>0</v>
      </c>
      <c r="AM17" s="9"/>
      <c r="AN17" s="9"/>
    </row>
    <row r="18" spans="2:40" ht="15.75" customHeight="1" x14ac:dyDescent="0.25">
      <c r="B18" s="32">
        <v>6</v>
      </c>
      <c r="C18" s="35"/>
      <c r="D18" s="3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>
        <f t="shared" si="0"/>
        <v>0</v>
      </c>
      <c r="AM18" s="9"/>
      <c r="AN18" s="9"/>
    </row>
    <row r="19" spans="2:40" ht="15.75" customHeight="1" x14ac:dyDescent="0.25">
      <c r="B19" s="32">
        <v>7</v>
      </c>
      <c r="C19" s="35"/>
      <c r="D19" s="3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 t="shared" si="0"/>
        <v>0</v>
      </c>
      <c r="AM19" s="9"/>
      <c r="AN19" s="9"/>
    </row>
    <row r="20" spans="2:40" ht="15.75" customHeight="1" x14ac:dyDescent="0.25">
      <c r="B20" s="32">
        <v>8</v>
      </c>
      <c r="C20" s="35"/>
      <c r="D20" s="3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 t="shared" si="0"/>
        <v>0</v>
      </c>
      <c r="AM20" s="9"/>
      <c r="AN20" s="9"/>
    </row>
    <row r="21" spans="2:40" ht="15.75" customHeight="1" x14ac:dyDescent="0.25">
      <c r="B21" s="32">
        <v>9</v>
      </c>
      <c r="C21" s="35"/>
      <c r="D21" s="3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 t="shared" si="0"/>
        <v>0</v>
      </c>
      <c r="AM21" s="9"/>
      <c r="AN21" s="9"/>
    </row>
    <row r="22" spans="2:40" ht="15.75" customHeight="1" x14ac:dyDescent="0.25">
      <c r="B22" s="32">
        <v>10</v>
      </c>
      <c r="C22" s="35"/>
      <c r="D22" s="3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 t="shared" si="0"/>
        <v>0</v>
      </c>
      <c r="AM22" s="9"/>
      <c r="AN22" s="9"/>
    </row>
    <row r="23" spans="2:40" ht="15.75" customHeight="1" x14ac:dyDescent="0.25">
      <c r="B23" s="32">
        <v>11</v>
      </c>
      <c r="C23" s="35"/>
      <c r="D23" s="3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 t="shared" si="0"/>
        <v>0</v>
      </c>
      <c r="AM23" s="9"/>
      <c r="AN23" s="9"/>
    </row>
    <row r="24" spans="2:40" ht="15.75" customHeight="1" x14ac:dyDescent="0.25">
      <c r="B24" s="32">
        <v>12</v>
      </c>
      <c r="C24" s="35"/>
      <c r="D24" s="3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 t="shared" si="0"/>
        <v>0</v>
      </c>
      <c r="AM24" s="9"/>
      <c r="AN24" s="9"/>
    </row>
    <row r="25" spans="2:40" ht="15.75" customHeight="1" x14ac:dyDescent="0.25">
      <c r="B25" s="32">
        <v>13</v>
      </c>
      <c r="C25" s="35"/>
      <c r="D25" s="3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 t="shared" si="0"/>
        <v>0</v>
      </c>
      <c r="AM25" s="9"/>
      <c r="AN25" s="9"/>
    </row>
    <row r="26" spans="2:40" ht="15.75" customHeight="1" x14ac:dyDescent="0.25">
      <c r="B26" s="32">
        <v>14</v>
      </c>
      <c r="C26" s="35"/>
      <c r="D26" s="3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 t="shared" si="0"/>
        <v>0</v>
      </c>
      <c r="AM26" s="9"/>
      <c r="AN26" s="9"/>
    </row>
    <row r="27" spans="2:40" ht="15.75" customHeight="1" x14ac:dyDescent="0.25">
      <c r="B27" s="32">
        <v>15</v>
      </c>
      <c r="C27" s="35"/>
      <c r="D27" s="3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 t="shared" si="0"/>
        <v>0</v>
      </c>
      <c r="AM27" s="9"/>
      <c r="AN27" s="9"/>
    </row>
    <row r="28" spans="2:40" ht="15.75" customHeight="1" x14ac:dyDescent="0.25">
      <c r="B28" s="32">
        <v>16</v>
      </c>
      <c r="C28" s="35"/>
      <c r="D28" s="3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 t="shared" si="0"/>
        <v>0</v>
      </c>
      <c r="AM28" s="9"/>
      <c r="AN28" s="9"/>
    </row>
    <row r="29" spans="2:40" ht="15.75" customHeight="1" x14ac:dyDescent="0.25">
      <c r="B29" s="32">
        <v>17</v>
      </c>
      <c r="C29" s="35"/>
      <c r="D29" s="3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 t="shared" si="0"/>
        <v>0</v>
      </c>
      <c r="AM29" s="9"/>
      <c r="AN29" s="9"/>
    </row>
    <row r="30" spans="2:40" ht="15.75" customHeight="1" x14ac:dyDescent="0.25">
      <c r="B30" s="32">
        <v>18</v>
      </c>
      <c r="C30" s="35"/>
      <c r="D30" s="3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 t="shared" si="0"/>
        <v>0</v>
      </c>
      <c r="AM30" s="9"/>
      <c r="AN30" s="9"/>
    </row>
    <row r="31" spans="2:40" ht="15.75" customHeight="1" x14ac:dyDescent="0.25">
      <c r="B31" s="32">
        <v>19</v>
      </c>
      <c r="C31" s="35"/>
      <c r="D31" s="3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 t="shared" si="0"/>
        <v>0</v>
      </c>
      <c r="AM31" s="9"/>
      <c r="AN31" s="9"/>
    </row>
    <row r="32" spans="2:40" ht="15.75" customHeight="1" x14ac:dyDescent="0.25">
      <c r="B32" s="32">
        <v>20</v>
      </c>
      <c r="C32" s="35"/>
      <c r="D32" s="3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 t="shared" si="0"/>
        <v>0</v>
      </c>
      <c r="AM32" s="9"/>
      <c r="AN32" s="9"/>
    </row>
    <row r="33" spans="2:40" ht="15.75" customHeight="1" x14ac:dyDescent="0.25">
      <c r="B33" s="32">
        <v>21</v>
      </c>
      <c r="C33" s="35"/>
      <c r="D33" s="3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 t="shared" si="0"/>
        <v>0</v>
      </c>
      <c r="AM33" s="9"/>
      <c r="AN33" s="9"/>
    </row>
    <row r="34" spans="2:40" ht="15.75" customHeight="1" x14ac:dyDescent="0.25">
      <c r="B34" s="32">
        <v>22</v>
      </c>
      <c r="C34" s="35"/>
      <c r="D34" s="3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 t="shared" si="0"/>
        <v>0</v>
      </c>
      <c r="AM34" s="9"/>
      <c r="AN34" s="9"/>
    </row>
    <row r="35" spans="2:40" ht="15.75" customHeight="1" x14ac:dyDescent="0.25">
      <c r="B35" s="32">
        <v>23</v>
      </c>
      <c r="C35" s="35"/>
      <c r="D35" s="3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 t="shared" si="0"/>
        <v>0</v>
      </c>
      <c r="AM35" s="9"/>
      <c r="AN35" s="9"/>
    </row>
    <row r="36" spans="2:40" ht="15.75" customHeight="1" x14ac:dyDescent="0.25">
      <c r="B36" s="32">
        <v>24</v>
      </c>
      <c r="C36" s="35"/>
      <c r="D36" s="3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 t="shared" si="0"/>
        <v>0</v>
      </c>
      <c r="AM36" s="9"/>
      <c r="AN36" s="9"/>
    </row>
    <row r="37" spans="2:40" ht="15.75" customHeight="1" x14ac:dyDescent="0.25">
      <c r="B37" s="32">
        <v>25</v>
      </c>
      <c r="C37" s="35"/>
      <c r="D37" s="3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 t="shared" si="0"/>
        <v>0</v>
      </c>
      <c r="AM37" s="9"/>
      <c r="AN37" s="9"/>
    </row>
    <row r="38" spans="2:40" ht="15.75" customHeight="1" x14ac:dyDescent="0.25">
      <c r="B38" s="32">
        <v>26</v>
      </c>
      <c r="C38" s="35"/>
      <c r="D38" s="3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 t="shared" si="0"/>
        <v>0</v>
      </c>
      <c r="AM38" s="9"/>
      <c r="AN38" s="9"/>
    </row>
    <row r="39" spans="2:40" ht="15.75" customHeight="1" x14ac:dyDescent="0.25">
      <c r="B39" s="32">
        <v>27</v>
      </c>
      <c r="C39" s="35"/>
      <c r="D39" s="3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 t="shared" si="0"/>
        <v>0</v>
      </c>
      <c r="AM39" s="9"/>
      <c r="AN39" s="9"/>
    </row>
    <row r="40" spans="2:40" ht="15.75" customHeight="1" x14ac:dyDescent="0.25">
      <c r="B40" s="32">
        <v>28</v>
      </c>
      <c r="C40" s="35"/>
      <c r="D40" s="3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 t="shared" si="0"/>
        <v>0</v>
      </c>
      <c r="AM40" s="9"/>
      <c r="AN40" s="9"/>
    </row>
    <row r="41" spans="2:40" ht="15.75" customHeight="1" x14ac:dyDescent="0.25">
      <c r="B41" s="32">
        <v>29</v>
      </c>
      <c r="C41" s="35"/>
      <c r="D41" s="3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 t="shared" si="0"/>
        <v>0</v>
      </c>
      <c r="AM41" s="9"/>
      <c r="AN41" s="9"/>
    </row>
    <row r="42" spans="2:40" ht="15.75" customHeight="1" x14ac:dyDescent="0.25">
      <c r="B42" s="32">
        <v>30</v>
      </c>
      <c r="C42" s="35"/>
      <c r="D42" s="3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 t="shared" si="0"/>
        <v>0</v>
      </c>
      <c r="AM42" s="9"/>
      <c r="AN42" s="9"/>
    </row>
    <row r="43" spans="2:40" ht="15.75" customHeight="1" x14ac:dyDescent="0.25">
      <c r="B43" s="32">
        <v>31</v>
      </c>
      <c r="C43" s="35"/>
      <c r="D43" s="3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 t="shared" si="0"/>
        <v>0</v>
      </c>
      <c r="AM43" s="9"/>
      <c r="AN43" s="9"/>
    </row>
    <row r="44" spans="2:40" ht="15.75" customHeight="1" x14ac:dyDescent="0.25">
      <c r="B44" s="32">
        <v>32</v>
      </c>
      <c r="C44" s="35"/>
      <c r="D44" s="3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 t="shared" si="0"/>
        <v>0</v>
      </c>
      <c r="AM44" s="9"/>
      <c r="AN44" s="9"/>
    </row>
    <row r="45" spans="2:40" ht="15.75" customHeight="1" x14ac:dyDescent="0.25">
      <c r="B45" s="32">
        <v>33</v>
      </c>
      <c r="C45" s="35"/>
      <c r="D45" s="3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 t="shared" si="0"/>
        <v>0</v>
      </c>
      <c r="AM45" s="9"/>
      <c r="AN45" s="9"/>
    </row>
    <row r="46" spans="2:40" ht="15.75" customHeight="1" x14ac:dyDescent="0.25">
      <c r="B46" s="32">
        <v>34</v>
      </c>
      <c r="C46" s="35"/>
      <c r="D46" s="3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 t="shared" si="0"/>
        <v>0</v>
      </c>
      <c r="AM46" s="9"/>
      <c r="AN46" s="9"/>
    </row>
    <row r="47" spans="2:40" ht="15.75" customHeight="1" x14ac:dyDescent="0.25">
      <c r="B47" s="32">
        <v>35</v>
      </c>
      <c r="C47" s="35"/>
      <c r="D47" s="3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 t="shared" si="0"/>
        <v>0</v>
      </c>
      <c r="AM47" s="9"/>
      <c r="AN47" s="9"/>
    </row>
    <row r="48" spans="2:40" ht="15.75" customHeight="1" x14ac:dyDescent="0.25">
      <c r="B48" s="32">
        <v>36</v>
      </c>
      <c r="C48" s="35"/>
      <c r="D48" s="3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 t="shared" si="0"/>
        <v>0</v>
      </c>
      <c r="AM48" s="9"/>
      <c r="AN48" s="9"/>
    </row>
    <row r="49" spans="2:40" ht="15.75" customHeight="1" x14ac:dyDescent="0.25">
      <c r="B49" s="32">
        <v>37</v>
      </c>
      <c r="C49" s="35"/>
      <c r="D49" s="3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 t="shared" si="0"/>
        <v>0</v>
      </c>
      <c r="AM49" s="9"/>
      <c r="AN49" s="9"/>
    </row>
    <row r="50" spans="2:40" ht="15.75" customHeight="1" x14ac:dyDescent="0.25">
      <c r="B50" s="32">
        <v>38</v>
      </c>
      <c r="C50" s="35"/>
      <c r="D50" s="3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 t="shared" si="0"/>
        <v>0</v>
      </c>
      <c r="AM50" s="9"/>
      <c r="AN50" s="9"/>
    </row>
    <row r="51" spans="2:40" ht="15.75" customHeight="1" x14ac:dyDescent="0.25">
      <c r="B51" s="32">
        <v>39</v>
      </c>
      <c r="C51" s="35"/>
      <c r="D51" s="3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 t="shared" si="0"/>
        <v>0</v>
      </c>
      <c r="AM51" s="9"/>
      <c r="AN51" s="9"/>
    </row>
    <row r="52" spans="2:40" ht="15.75" customHeight="1" x14ac:dyDescent="0.25">
      <c r="B52" s="32">
        <v>40</v>
      </c>
      <c r="C52" s="35"/>
      <c r="D52" s="3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 t="shared" si="0"/>
        <v>0</v>
      </c>
      <c r="AM52" s="9"/>
      <c r="AN52" s="9"/>
    </row>
    <row r="53" spans="2:40" ht="15.75" customHeight="1" x14ac:dyDescent="0.25">
      <c r="B53" s="32">
        <v>41</v>
      </c>
      <c r="C53" s="35"/>
      <c r="D53" s="3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 t="shared" si="0"/>
        <v>0</v>
      </c>
      <c r="AM53" s="9"/>
      <c r="AN53" s="9"/>
    </row>
    <row r="54" spans="2:40" ht="15.75" customHeight="1" x14ac:dyDescent="0.25">
      <c r="B54" s="32">
        <v>42</v>
      </c>
      <c r="C54" s="35"/>
      <c r="D54" s="3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 t="shared" si="0"/>
        <v>0</v>
      </c>
      <c r="AM54" s="9"/>
      <c r="AN54" s="9"/>
    </row>
    <row r="55" spans="2:40" ht="15.75" customHeight="1" x14ac:dyDescent="0.25">
      <c r="B55" s="32">
        <v>43</v>
      </c>
      <c r="C55" s="35"/>
      <c r="D55" s="3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 t="shared" si="0"/>
        <v>0</v>
      </c>
      <c r="AM55" s="9"/>
      <c r="AN55" s="9"/>
    </row>
    <row r="56" spans="2:40" ht="15.75" customHeight="1" x14ac:dyDescent="0.25">
      <c r="B56" s="32">
        <v>44</v>
      </c>
      <c r="C56" s="35"/>
      <c r="D56" s="3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 t="shared" si="0"/>
        <v>0</v>
      </c>
      <c r="AM56" s="9"/>
      <c r="AN56" s="9"/>
    </row>
    <row r="57" spans="2:40" ht="15.75" customHeight="1" x14ac:dyDescent="0.25">
      <c r="B57" s="32">
        <v>45</v>
      </c>
      <c r="C57" s="35"/>
      <c r="D57" s="3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 t="shared" si="0"/>
        <v>0</v>
      </c>
      <c r="AM57" s="9"/>
      <c r="AN57" s="9"/>
    </row>
    <row r="58" spans="2:40" ht="15.75" customHeight="1" x14ac:dyDescent="0.25">
      <c r="B58" s="32">
        <v>46</v>
      </c>
      <c r="C58" s="35"/>
      <c r="D58" s="3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 t="shared" si="0"/>
        <v>0</v>
      </c>
      <c r="AM58" s="9"/>
      <c r="AN58" s="9"/>
    </row>
    <row r="59" spans="2:40" ht="15.75" customHeight="1" x14ac:dyDescent="0.25">
      <c r="B59" s="32">
        <v>47</v>
      </c>
      <c r="C59" s="35"/>
      <c r="D59" s="3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 t="shared" si="0"/>
        <v>0</v>
      </c>
      <c r="AM59" s="9"/>
      <c r="AN59" s="9"/>
    </row>
    <row r="60" spans="2:40" ht="15.75" customHeight="1" x14ac:dyDescent="0.25">
      <c r="B60" s="32">
        <v>48</v>
      </c>
      <c r="C60" s="35"/>
      <c r="D60" s="3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 t="shared" si="0"/>
        <v>0</v>
      </c>
      <c r="AM60" s="9"/>
      <c r="AN60" s="9"/>
    </row>
    <row r="61" spans="2:40" ht="15.75" customHeight="1" x14ac:dyDescent="0.25">
      <c r="B61" s="32">
        <v>49</v>
      </c>
      <c r="C61" s="35"/>
      <c r="D61" s="3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 t="shared" si="0"/>
        <v>0</v>
      </c>
      <c r="AM61" s="9"/>
      <c r="AN61" s="9"/>
    </row>
    <row r="62" spans="2:40" ht="15.75" customHeight="1" x14ac:dyDescent="0.25">
      <c r="B62" s="32">
        <v>50</v>
      </c>
      <c r="C62" s="35"/>
      <c r="D62" s="3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 t="shared" si="0"/>
        <v>0</v>
      </c>
      <c r="AM62" s="9"/>
      <c r="AN62" s="9"/>
    </row>
    <row r="63" spans="2:40" ht="15.75" customHeight="1" x14ac:dyDescent="0.25">
      <c r="B63" s="32">
        <v>51</v>
      </c>
      <c r="C63" s="35"/>
      <c r="D63" s="3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 t="shared" si="0"/>
        <v>0</v>
      </c>
      <c r="AM63" s="9"/>
      <c r="AN63" s="9"/>
    </row>
    <row r="64" spans="2:40" ht="15.75" customHeight="1" x14ac:dyDescent="0.25">
      <c r="B64" s="32">
        <v>52</v>
      </c>
      <c r="C64" s="35"/>
      <c r="D64" s="3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 t="shared" si="0"/>
        <v>0</v>
      </c>
      <c r="AM64" s="9"/>
      <c r="AN64" s="9"/>
    </row>
    <row r="65" spans="2:40" ht="15.75" customHeight="1" x14ac:dyDescent="0.25">
      <c r="B65" s="32">
        <v>53</v>
      </c>
      <c r="C65" s="35"/>
      <c r="D65" s="3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 t="shared" si="0"/>
        <v>0</v>
      </c>
      <c r="AM65" s="9"/>
      <c r="AN65" s="9"/>
    </row>
    <row r="66" spans="2:40" ht="15.75" customHeight="1" x14ac:dyDescent="0.25">
      <c r="B66" s="32">
        <v>54</v>
      </c>
      <c r="C66" s="35"/>
      <c r="D66" s="3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 t="shared" si="0"/>
        <v>0</v>
      </c>
      <c r="AM66" s="9"/>
      <c r="AN66" s="9"/>
    </row>
    <row r="67" spans="2:40" ht="15.75" customHeight="1" x14ac:dyDescent="0.25">
      <c r="B67" s="32">
        <v>55</v>
      </c>
      <c r="C67" s="35"/>
      <c r="D67" s="3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 t="shared" si="0"/>
        <v>0</v>
      </c>
      <c r="AM67" s="9"/>
      <c r="AN67" s="9"/>
    </row>
    <row r="68" spans="2:40" ht="15.75" customHeight="1" x14ac:dyDescent="0.25">
      <c r="B68" s="32">
        <v>56</v>
      </c>
      <c r="C68" s="35"/>
      <c r="D68" s="3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 t="shared" si="0"/>
        <v>0</v>
      </c>
      <c r="AM68" s="9"/>
      <c r="AN68" s="9"/>
    </row>
    <row r="69" spans="2:40" ht="15.75" customHeight="1" x14ac:dyDescent="0.25">
      <c r="B69" s="32">
        <v>57</v>
      </c>
      <c r="C69" s="35"/>
      <c r="D69" s="3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 t="shared" si="0"/>
        <v>0</v>
      </c>
      <c r="AM69" s="9"/>
      <c r="AN69" s="9"/>
    </row>
    <row r="70" spans="2:40" ht="15.75" customHeight="1" x14ac:dyDescent="0.25">
      <c r="B70" s="32">
        <v>58</v>
      </c>
      <c r="C70" s="35"/>
      <c r="D70" s="3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 t="shared" si="0"/>
        <v>0</v>
      </c>
      <c r="AM70" s="9"/>
      <c r="AN70" s="9"/>
    </row>
    <row r="71" spans="2:40" ht="15.75" customHeight="1" x14ac:dyDescent="0.25">
      <c r="B71" s="36">
        <v>59</v>
      </c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 t="shared" si="0"/>
        <v>0</v>
      </c>
      <c r="AM71" s="9"/>
      <c r="AN71" s="9"/>
    </row>
    <row r="72" spans="2:40" ht="15.75" customHeight="1" x14ac:dyDescent="0.25">
      <c r="B72" s="32">
        <v>60</v>
      </c>
      <c r="C72" s="35"/>
      <c r="D72" s="3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IFERROR(VLOOKUP(E72,$B$75:$E$105,4,FALSE),0)+
IFERROR(VLOOKUP(F72,$B$75:$E$105,4,FALSE),0)+
IFERROR(VLOOKUP(G72,$B$75:$E$105,4,FALSE),0)+
IFERROR(VLOOKUP(H72,$B$75:$E$105,4,FALSE),0)+
IFERROR(VLOOKUP(I72,$B$75:$E$105,4,FALSE),0)+
IFERROR(VLOOKUP(J72,$B$75:$E$105,4,FALSE),0)+
IFERROR(VLOOKUP(K72,$B$75:$E$105,4,FALSE),0)+
IFERROR(VLOOKUP(L72,$B$75:$E$105,4,FALSE),0)+
IFERROR(VLOOKUP(M72,$B$75:$E$105,4,FALSE),0)+
IFERROR(VLOOKUP(N72,$B$75:$E$105,4,FALSE),0)+
IFERROR(VLOOKUP(O72,$B$75:$E$105,4,FALSE),0)+
IFERROR(VLOOKUP(P72,$B$75:$E$105,4,FALSE),0)+
IFERROR(VLOOKUP(Q72,$B$75:$E$105,4,FALSE),0)+
IFERROR(VLOOKUP(R72,$B$75:$E$105,4,FALSE),0)+
IFERROR(VLOOKUP(S72,$B$75:$E$105,4,FALSE),0)+
IFERROR(VLOOKUP(T72,$B$75:$E$105,4,FALSE),0)+
IFERROR(VLOOKUP(U72,$B$75:$E$105,4,FALSE),0)+
IFERROR(VLOOKUP(V72,$B$75:$E$105,4,FALSE),0)+
IFERROR(VLOOKUP(W72,$B$75:$E$105,4,FALSE),0)+
IFERROR(VLOOKUP(X72,$B$75:$E$105,4,FALSE),0)+
IFERROR(VLOOKUP(Y72,$B$75:$E$105,4,FALSE),0)+
IFERROR(VLOOKUP(Z72,$B$75:$E$105,4,FALSE),0)+
IFERROR(VLOOKUP(AA72,$B$75:$E$105,4,FALSE),0)+
IFERROR(VLOOKUP(AB72,$B$75:$E$105,4,FALSE),0)+
IFERROR(VLOOKUP(AC72,$B$75:$E$105,4,FALSE),0)+
IFERROR(VLOOKUP(AD72,$B$75:$E$105,4,FALSE),0)+
IFERROR(VLOOKUP(AE72,$B$75:$E$105,4,FALSE),0)+
IFERROR(VLOOKUP(AF72,$B$75:$E$105,4,FALSE),0)+
IFERROR(VLOOKUP(AG72,$B$75:$E$105,4,FALSE),0)+
IFERROR(VLOOKUP(AH72,$B$75:$E$105,4,FALSE),0)+
IFERROR(VLOOKUP(AI72,$B$75:$E$105,4,FALSE),0)+
IFERROR(VLOOKUP(AJ72,$B$75:$E$105,4,FALSE),0)</f>
        <v>0</v>
      </c>
      <c r="AM72" s="9"/>
      <c r="AN72" s="9"/>
    </row>
    <row r="73" spans="2:40" ht="16.5" thickBot="1" x14ac:dyDescent="0.3">
      <c r="K73" s="66" t="s">
        <v>15</v>
      </c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8"/>
    </row>
    <row r="74" spans="2:40" x14ac:dyDescent="0.25">
      <c r="B74" s="26" t="s">
        <v>18</v>
      </c>
      <c r="C74" s="27" t="s">
        <v>16</v>
      </c>
      <c r="D74" s="28" t="s">
        <v>16</v>
      </c>
      <c r="E74" s="77" t="s">
        <v>22</v>
      </c>
      <c r="F74" s="78"/>
      <c r="G74" s="79" t="s">
        <v>21</v>
      </c>
      <c r="H74" s="79"/>
      <c r="I74" s="79"/>
      <c r="K74" s="69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1"/>
    </row>
    <row r="75" spans="2:40" ht="41.25" customHeight="1" x14ac:dyDescent="0.25">
      <c r="B75" s="1"/>
      <c r="C75" s="2"/>
      <c r="D75" s="3"/>
      <c r="E75" s="43"/>
      <c r="F75" s="44"/>
      <c r="G75" s="42"/>
      <c r="H75" s="42"/>
      <c r="I75" s="42"/>
      <c r="K75" s="48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50"/>
      <c r="AL75" s="31" t="s">
        <v>26</v>
      </c>
    </row>
    <row r="76" spans="2:40" ht="41.25" customHeight="1" x14ac:dyDescent="0.25">
      <c r="B76" s="1"/>
      <c r="C76" s="2"/>
      <c r="D76" s="3"/>
      <c r="E76" s="43"/>
      <c r="F76" s="44"/>
      <c r="G76" s="42"/>
      <c r="H76" s="42"/>
      <c r="I76" s="42"/>
      <c r="U76" s="29"/>
      <c r="V76" s="29"/>
      <c r="W76" s="29"/>
      <c r="X76" s="29"/>
      <c r="Y76" s="30"/>
      <c r="Z76" s="30"/>
    </row>
    <row r="77" spans="2:40" ht="41.25" customHeight="1" x14ac:dyDescent="0.35">
      <c r="B77" s="1"/>
      <c r="C77" s="2"/>
      <c r="D77" s="3"/>
      <c r="E77" s="43"/>
      <c r="F77" s="44"/>
      <c r="G77" s="42"/>
      <c r="H77" s="42"/>
      <c r="I77" s="42"/>
      <c r="U77" s="47" t="s">
        <v>20</v>
      </c>
      <c r="V77" s="47"/>
      <c r="W77" s="47"/>
      <c r="X77" s="47"/>
      <c r="Y77" s="47"/>
      <c r="Z77" s="47"/>
    </row>
    <row r="78" spans="2:40" ht="41.25" customHeight="1" x14ac:dyDescent="0.25">
      <c r="B78" s="1"/>
      <c r="C78" s="2"/>
      <c r="D78" s="3"/>
      <c r="E78" s="43"/>
      <c r="F78" s="44"/>
      <c r="G78" s="42"/>
      <c r="H78" s="42"/>
      <c r="I78" s="42"/>
      <c r="U78" s="31"/>
    </row>
    <row r="79" spans="2:40" ht="41.25" customHeight="1" x14ac:dyDescent="0.25">
      <c r="B79" s="1"/>
      <c r="C79" s="2"/>
      <c r="D79" s="3"/>
      <c r="E79" s="43"/>
      <c r="F79" s="44"/>
      <c r="G79" s="42"/>
      <c r="H79" s="42"/>
      <c r="I79" s="42"/>
    </row>
    <row r="80" spans="2:40" ht="41.25" customHeight="1" x14ac:dyDescent="0.25">
      <c r="B80" s="1"/>
      <c r="C80" s="2"/>
      <c r="D80" s="3"/>
      <c r="E80" s="43"/>
      <c r="F80" s="44"/>
      <c r="G80" s="42"/>
      <c r="H80" s="42"/>
      <c r="I80" s="42"/>
    </row>
    <row r="81" spans="1:9" ht="41.25" customHeight="1" x14ac:dyDescent="0.25">
      <c r="B81" s="1"/>
      <c r="C81" s="2"/>
      <c r="D81" s="3"/>
      <c r="E81" s="43"/>
      <c r="F81" s="44"/>
      <c r="G81" s="42"/>
      <c r="H81" s="42"/>
      <c r="I81" s="42"/>
    </row>
    <row r="82" spans="1:9" ht="41.25" customHeight="1" x14ac:dyDescent="0.25">
      <c r="B82" s="1"/>
      <c r="C82" s="2"/>
      <c r="D82" s="3"/>
      <c r="E82" s="43"/>
      <c r="F82" s="44"/>
      <c r="G82" s="42"/>
      <c r="H82" s="42"/>
      <c r="I82" s="42"/>
    </row>
    <row r="83" spans="1:9" ht="41.25" customHeight="1" x14ac:dyDescent="0.25">
      <c r="B83" s="1"/>
      <c r="C83" s="2"/>
      <c r="D83" s="3"/>
      <c r="E83" s="43"/>
      <c r="F83" s="44"/>
      <c r="G83" s="42"/>
      <c r="H83" s="42"/>
      <c r="I83" s="42"/>
    </row>
    <row r="84" spans="1:9" ht="41.25" customHeight="1" x14ac:dyDescent="0.25">
      <c r="B84" s="1"/>
      <c r="C84" s="2"/>
      <c r="D84" s="3"/>
      <c r="E84" s="43"/>
      <c r="F84" s="44"/>
      <c r="G84" s="42"/>
      <c r="H84" s="42"/>
      <c r="I84" s="42"/>
    </row>
    <row r="85" spans="1:9" ht="41.25" customHeight="1" x14ac:dyDescent="0.25">
      <c r="B85" s="1"/>
      <c r="C85" s="2"/>
      <c r="D85" s="3"/>
      <c r="E85" s="43"/>
      <c r="F85" s="44"/>
      <c r="G85" s="42"/>
      <c r="H85" s="42"/>
      <c r="I85" s="42"/>
    </row>
    <row r="86" spans="1:9" ht="41.25" customHeight="1" x14ac:dyDescent="0.25">
      <c r="B86" s="1"/>
      <c r="C86" s="2"/>
      <c r="D86" s="3"/>
      <c r="E86" s="43"/>
      <c r="F86" s="44"/>
      <c r="G86" s="42"/>
      <c r="H86" s="42"/>
      <c r="I86" s="42"/>
    </row>
    <row r="87" spans="1:9" ht="41.25" customHeight="1" x14ac:dyDescent="0.25">
      <c r="B87" s="1"/>
      <c r="C87" s="2"/>
      <c r="D87" s="3"/>
      <c r="E87" s="43"/>
      <c r="F87" s="44"/>
      <c r="G87" s="42"/>
      <c r="H87" s="42"/>
      <c r="I87" s="42"/>
    </row>
    <row r="88" spans="1:9" ht="41.25" customHeight="1" x14ac:dyDescent="0.25">
      <c r="B88" s="1"/>
      <c r="C88" s="2"/>
      <c r="D88" s="3"/>
      <c r="E88" s="43"/>
      <c r="F88" s="44"/>
      <c r="G88" s="42"/>
      <c r="H88" s="42"/>
      <c r="I88" s="42"/>
    </row>
    <row r="89" spans="1:9" ht="41.25" customHeight="1" x14ac:dyDescent="0.25">
      <c r="B89" s="1"/>
      <c r="C89" s="2"/>
      <c r="D89" s="3"/>
      <c r="E89" s="43"/>
      <c r="F89" s="44"/>
      <c r="G89" s="42"/>
      <c r="H89" s="42"/>
      <c r="I89" s="42"/>
    </row>
    <row r="90" spans="1:9" ht="41.25" customHeight="1" x14ac:dyDescent="0.25">
      <c r="B90" s="1"/>
      <c r="C90" s="2"/>
      <c r="D90" s="3"/>
      <c r="E90" s="43"/>
      <c r="F90" s="44"/>
      <c r="G90" s="42"/>
      <c r="H90" s="42"/>
      <c r="I90" s="42"/>
    </row>
    <row r="91" spans="1:9" ht="41.25" customHeight="1" x14ac:dyDescent="0.25">
      <c r="B91" s="1"/>
      <c r="C91" s="2"/>
      <c r="D91" s="3"/>
      <c r="E91" s="43"/>
      <c r="F91" s="44"/>
      <c r="G91" s="42"/>
      <c r="H91" s="42"/>
      <c r="I91" s="42"/>
    </row>
    <row r="92" spans="1:9" ht="41.25" customHeight="1" x14ac:dyDescent="0.25">
      <c r="A92" s="31"/>
      <c r="B92" s="1"/>
      <c r="C92" s="2"/>
      <c r="D92" s="3"/>
      <c r="E92" s="43"/>
      <c r="F92" s="44"/>
      <c r="G92" s="42"/>
      <c r="H92" s="42"/>
      <c r="I92" s="42"/>
    </row>
    <row r="93" spans="1:9" ht="41.25" customHeight="1" x14ac:dyDescent="0.25">
      <c r="B93" s="1"/>
      <c r="C93" s="2"/>
      <c r="D93" s="3"/>
      <c r="E93" s="43"/>
      <c r="F93" s="44"/>
      <c r="G93" s="42"/>
      <c r="H93" s="42"/>
      <c r="I93" s="42"/>
    </row>
    <row r="94" spans="1:9" ht="41.25" customHeight="1" x14ac:dyDescent="0.25">
      <c r="B94" s="1"/>
      <c r="C94" s="2"/>
      <c r="D94" s="3"/>
      <c r="E94" s="43"/>
      <c r="F94" s="44"/>
      <c r="G94" s="42"/>
      <c r="H94" s="42"/>
      <c r="I94" s="42"/>
    </row>
    <row r="95" spans="1:9" ht="41.25" customHeight="1" x14ac:dyDescent="0.25">
      <c r="B95" s="1"/>
      <c r="C95" s="2"/>
      <c r="D95" s="3"/>
      <c r="E95" s="43"/>
      <c r="F95" s="44"/>
      <c r="G95" s="42"/>
      <c r="H95" s="42"/>
      <c r="I95" s="42"/>
    </row>
    <row r="96" spans="1:9" ht="41.25" customHeight="1" x14ac:dyDescent="0.25">
      <c r="B96" s="1"/>
      <c r="C96" s="2"/>
      <c r="D96" s="3"/>
      <c r="E96" s="43"/>
      <c r="F96" s="44"/>
      <c r="G96" s="42"/>
      <c r="H96" s="42"/>
      <c r="I96" s="42"/>
    </row>
    <row r="97" spans="2:9" ht="41.25" customHeight="1" x14ac:dyDescent="0.25">
      <c r="B97" s="1"/>
      <c r="C97" s="2"/>
      <c r="D97" s="3"/>
      <c r="E97" s="43"/>
      <c r="F97" s="44"/>
      <c r="G97" s="42"/>
      <c r="H97" s="42"/>
      <c r="I97" s="42"/>
    </row>
    <row r="98" spans="2:9" ht="41.25" customHeight="1" x14ac:dyDescent="0.25">
      <c r="B98" s="1"/>
      <c r="C98" s="2"/>
      <c r="D98" s="3"/>
      <c r="E98" s="43"/>
      <c r="F98" s="44"/>
      <c r="G98" s="42"/>
      <c r="H98" s="42"/>
      <c r="I98" s="42"/>
    </row>
    <row r="99" spans="2:9" ht="41.25" customHeight="1" x14ac:dyDescent="0.25">
      <c r="B99" s="1"/>
      <c r="C99" s="2"/>
      <c r="D99" s="3"/>
      <c r="E99" s="43"/>
      <c r="F99" s="44"/>
      <c r="G99" s="42"/>
      <c r="H99" s="42"/>
      <c r="I99" s="42"/>
    </row>
    <row r="100" spans="2:9" ht="41.25" customHeight="1" x14ac:dyDescent="0.25">
      <c r="B100" s="1"/>
      <c r="C100" s="2"/>
      <c r="D100" s="3"/>
      <c r="E100" s="43"/>
      <c r="F100" s="44"/>
      <c r="G100" s="42"/>
      <c r="H100" s="42"/>
      <c r="I100" s="42"/>
    </row>
    <row r="101" spans="2:9" ht="41.25" customHeight="1" x14ac:dyDescent="0.25">
      <c r="B101" s="1"/>
      <c r="C101" s="2"/>
      <c r="D101" s="3"/>
      <c r="E101" s="43"/>
      <c r="F101" s="44"/>
      <c r="G101" s="42"/>
      <c r="H101" s="42"/>
      <c r="I101" s="42"/>
    </row>
    <row r="102" spans="2:9" ht="41.25" customHeight="1" x14ac:dyDescent="0.25">
      <c r="B102" s="1"/>
      <c r="C102" s="2"/>
      <c r="D102" s="3"/>
      <c r="E102" s="43"/>
      <c r="F102" s="44"/>
      <c r="G102" s="42"/>
      <c r="H102" s="42"/>
      <c r="I102" s="42"/>
    </row>
    <row r="103" spans="2:9" ht="41.25" customHeight="1" x14ac:dyDescent="0.25">
      <c r="B103" s="1"/>
      <c r="C103" s="2"/>
      <c r="D103" s="3"/>
      <c r="E103" s="43"/>
      <c r="F103" s="44"/>
      <c r="G103" s="42"/>
      <c r="H103" s="42"/>
      <c r="I103" s="42"/>
    </row>
    <row r="104" spans="2:9" ht="41.25" customHeight="1" x14ac:dyDescent="0.25">
      <c r="B104" s="1"/>
      <c r="C104" s="2"/>
      <c r="D104" s="3"/>
      <c r="E104" s="43"/>
      <c r="F104" s="44"/>
      <c r="G104" s="42"/>
      <c r="H104" s="42"/>
      <c r="I104" s="42"/>
    </row>
    <row r="105" spans="2:9" ht="41.25" customHeight="1" x14ac:dyDescent="0.25">
      <c r="B105" s="1"/>
      <c r="C105" s="2"/>
      <c r="D105" s="3"/>
      <c r="E105" s="43"/>
      <c r="F105" s="44"/>
      <c r="G105" s="42"/>
      <c r="H105" s="42"/>
      <c r="I105" s="42"/>
    </row>
  </sheetData>
  <sheetProtection algorithmName="SHA-512" hashValue="UihLbsg1WPhKs5a6+OJx1cgxfvYuZLGQAp9bld9c7feJV7rrSgONMg1mcorXRkxJE07K7wHIRjxJAHqFLNtWHw==" saltValue="dOJIAh82zKj+JsG2t7iRFw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1:AK72">
    <cfRule type="expression" dxfId="3" priority="4">
      <formula>OR(E$12="D", E$12="TAMBEN")</formula>
    </cfRule>
  </conditionalFormatting>
  <conditionalFormatting sqref="E13:AK72">
    <cfRule type="expression" dxfId="1" priority="1">
      <formula>AND(E13&lt;&gt;"", ISERROR(MATCH(E13,$B$75:$B$105,0)))</formula>
    </cfRule>
  </conditionalFormatting>
  <conditionalFormatting sqref="M11">
    <cfRule type="expression" dxfId="0" priority="2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07C4E3A-8A01-427B-A5DA-82FE27C407B7}">
            <xm:f>IF(OR(E$12="D", E$12="S"), TRUE, AND(E$11&lt;&gt;"", COUNTIF(FESTIVOS!$A$2:$A$201, DATE(($R$9),MONTH(TEXT($H$9&amp;" 1","MMM D")), E$11))&gt;0))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7195C1A0-0356-43A8-ABA7-2196613067A0}">
            <xm:f>AND(E$11&lt;&gt;"", COUNTIF(FESTIVOS!$A$2:$A$17, DATE(2025, MONTH(TEXT($H$9&amp;" 1", "MMM D")), E$11))&gt;0)</xm:f>
            <x14:dxf>
              <fill>
                <patternFill>
                  <bgColor rgb="FF00B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opLeftCell="A16" workbookViewId="0">
      <selection activeCell="A28" sqref="A28"/>
    </sheetView>
  </sheetViews>
  <sheetFormatPr baseColWidth="10" defaultRowHeight="15.75" x14ac:dyDescent="0.25"/>
  <sheetData>
    <row r="1" spans="1:5" ht="25.5" x14ac:dyDescent="0.25">
      <c r="A1" s="6" t="s">
        <v>24</v>
      </c>
      <c r="B1">
        <v>1</v>
      </c>
      <c r="C1">
        <v>2</v>
      </c>
      <c r="D1">
        <v>3</v>
      </c>
      <c r="E1">
        <v>4</v>
      </c>
    </row>
    <row r="2" spans="1:5" x14ac:dyDescent="0.25">
      <c r="A2" s="4">
        <v>45658</v>
      </c>
    </row>
    <row r="3" spans="1:5" x14ac:dyDescent="0.25">
      <c r="A3" s="4">
        <v>45663</v>
      </c>
    </row>
    <row r="4" spans="1:5" x14ac:dyDescent="0.25">
      <c r="A4" s="4">
        <v>45740</v>
      </c>
    </row>
    <row r="5" spans="1:5" x14ac:dyDescent="0.25">
      <c r="A5" s="4">
        <v>45764</v>
      </c>
    </row>
    <row r="6" spans="1:5" x14ac:dyDescent="0.25">
      <c r="A6" s="4">
        <v>45765</v>
      </c>
    </row>
    <row r="7" spans="1:5" x14ac:dyDescent="0.25">
      <c r="A7" s="4">
        <v>45778</v>
      </c>
    </row>
    <row r="8" spans="1:5" x14ac:dyDescent="0.25">
      <c r="A8" s="4">
        <v>45810</v>
      </c>
    </row>
    <row r="9" spans="1:5" x14ac:dyDescent="0.25">
      <c r="A9" s="4">
        <v>45831</v>
      </c>
    </row>
    <row r="10" spans="1:5" x14ac:dyDescent="0.25">
      <c r="A10" s="4">
        <v>45838</v>
      </c>
    </row>
    <row r="11" spans="1:5" x14ac:dyDescent="0.25">
      <c r="A11" s="4">
        <v>45876</v>
      </c>
    </row>
    <row r="12" spans="1:5" x14ac:dyDescent="0.25">
      <c r="A12" s="4">
        <v>45887</v>
      </c>
    </row>
    <row r="13" spans="1:5" x14ac:dyDescent="0.25">
      <c r="A13" s="4">
        <v>45943</v>
      </c>
    </row>
    <row r="14" spans="1:5" x14ac:dyDescent="0.25">
      <c r="A14" s="4">
        <v>45964</v>
      </c>
    </row>
    <row r="15" spans="1:5" x14ac:dyDescent="0.25">
      <c r="A15" s="4">
        <v>45978</v>
      </c>
    </row>
    <row r="16" spans="1:5" x14ac:dyDescent="0.25">
      <c r="A16" s="4">
        <v>45999</v>
      </c>
    </row>
    <row r="17" spans="1:1" x14ac:dyDescent="0.25">
      <c r="A17" s="4">
        <v>46016</v>
      </c>
    </row>
    <row r="18" spans="1:1" x14ac:dyDescent="0.25">
      <c r="A18" s="5">
        <v>46023</v>
      </c>
    </row>
    <row r="19" spans="1:1" x14ac:dyDescent="0.25">
      <c r="A19" s="5">
        <v>46034</v>
      </c>
    </row>
    <row r="20" spans="1:1" x14ac:dyDescent="0.25">
      <c r="A20" s="38">
        <v>46104</v>
      </c>
    </row>
    <row r="21" spans="1:1" x14ac:dyDescent="0.25">
      <c r="A21" s="38">
        <v>46114</v>
      </c>
    </row>
    <row r="22" spans="1:1" x14ac:dyDescent="0.25">
      <c r="A22" s="38">
        <v>46115</v>
      </c>
    </row>
    <row r="23" spans="1:1" x14ac:dyDescent="0.25">
      <c r="A23" s="38">
        <v>46143</v>
      </c>
    </row>
    <row r="24" spans="1:1" x14ac:dyDescent="0.25">
      <c r="A24" s="38">
        <v>46160</v>
      </c>
    </row>
    <row r="25" spans="1:1" x14ac:dyDescent="0.25">
      <c r="A25" s="38">
        <v>46181</v>
      </c>
    </row>
    <row r="26" spans="1:1" x14ac:dyDescent="0.25">
      <c r="A26" s="38">
        <v>46188</v>
      </c>
    </row>
    <row r="27" spans="1:1" x14ac:dyDescent="0.25">
      <c r="A27" s="38">
        <v>46202</v>
      </c>
    </row>
    <row r="28" spans="1:1" x14ac:dyDescent="0.25">
      <c r="A28" s="38">
        <v>46216</v>
      </c>
    </row>
    <row r="29" spans="1:1" x14ac:dyDescent="0.25">
      <c r="A29" s="38">
        <v>46223</v>
      </c>
    </row>
    <row r="30" spans="1:1" x14ac:dyDescent="0.25">
      <c r="A30" s="38">
        <v>46241</v>
      </c>
    </row>
    <row r="31" spans="1:1" x14ac:dyDescent="0.25">
      <c r="A31" s="38">
        <v>46251</v>
      </c>
    </row>
    <row r="32" spans="1:1" x14ac:dyDescent="0.25">
      <c r="A32" s="38">
        <v>46307</v>
      </c>
    </row>
    <row r="33" spans="1:1" x14ac:dyDescent="0.25">
      <c r="A33" s="38">
        <v>46328</v>
      </c>
    </row>
    <row r="34" spans="1:1" x14ac:dyDescent="0.25">
      <c r="A34" s="38">
        <v>46342</v>
      </c>
    </row>
    <row r="35" spans="1:1" x14ac:dyDescent="0.25">
      <c r="A35" s="38">
        <v>46388</v>
      </c>
    </row>
    <row r="36" spans="1:1" x14ac:dyDescent="0.25">
      <c r="A36" s="38">
        <v>46398</v>
      </c>
    </row>
    <row r="37" spans="1:1" x14ac:dyDescent="0.25">
      <c r="A37" s="38">
        <v>46468</v>
      </c>
    </row>
    <row r="38" spans="1:1" x14ac:dyDescent="0.25">
      <c r="A38" s="38">
        <v>46471</v>
      </c>
    </row>
    <row r="39" spans="1:1" x14ac:dyDescent="0.25">
      <c r="A39" s="38">
        <v>46472</v>
      </c>
    </row>
    <row r="40" spans="1:1" x14ac:dyDescent="0.25">
      <c r="A40" s="38">
        <v>46508</v>
      </c>
    </row>
    <row r="41" spans="1:1" x14ac:dyDescent="0.25">
      <c r="A41" s="38">
        <v>46517</v>
      </c>
    </row>
    <row r="42" spans="1:1" x14ac:dyDescent="0.25">
      <c r="A42" s="38">
        <v>46538</v>
      </c>
    </row>
    <row r="43" spans="1:1" x14ac:dyDescent="0.25">
      <c r="A43" s="38">
        <v>46545</v>
      </c>
    </row>
    <row r="44" spans="1:1" x14ac:dyDescent="0.25">
      <c r="A44" s="38">
        <v>46573</v>
      </c>
    </row>
    <row r="45" spans="1:1" x14ac:dyDescent="0.25">
      <c r="A45" s="38">
        <v>46588</v>
      </c>
    </row>
    <row r="46" spans="1:1" x14ac:dyDescent="0.25">
      <c r="A46" s="38">
        <v>46606</v>
      </c>
    </row>
    <row r="47" spans="1:1" x14ac:dyDescent="0.25">
      <c r="A47" s="38">
        <v>46615</v>
      </c>
    </row>
    <row r="48" spans="1:1" x14ac:dyDescent="0.25">
      <c r="A48" s="38">
        <v>46678</v>
      </c>
    </row>
    <row r="49" spans="1:1" x14ac:dyDescent="0.25">
      <c r="A49" s="38">
        <v>46692</v>
      </c>
    </row>
    <row r="50" spans="1:1" x14ac:dyDescent="0.25">
      <c r="A50" s="38">
        <v>46706</v>
      </c>
    </row>
    <row r="51" spans="1:1" x14ac:dyDescent="0.25">
      <c r="A51" s="38">
        <v>46729</v>
      </c>
    </row>
    <row r="52" spans="1:1" x14ac:dyDescent="0.25">
      <c r="A52" s="38">
        <v>46746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SUBGERENCIA CIENTIFICA</dc:creator>
  <cp:lastModifiedBy>YESID ALEJANDRO SANCHEZ DIAZ</cp:lastModifiedBy>
  <dcterms:created xsi:type="dcterms:W3CDTF">2024-12-18T21:33:15Z</dcterms:created>
  <dcterms:modified xsi:type="dcterms:W3CDTF">2026-07-27T16:24:06Z</dcterms:modified>
</cp:coreProperties>
</file>