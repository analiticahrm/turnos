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b_s\Downloads\"/>
    </mc:Choice>
  </mc:AlternateContent>
  <xr:revisionPtr revIDLastSave="0" documentId="13_ncr:1_{718B120D-EA4E-4C8B-9C53-2129079897EC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TURNOS" sheetId="1" r:id="rId1"/>
    <sheet name="FESTIVOS" sheetId="2" state="hidden" r:id="rId2"/>
  </sheets>
  <definedNames>
    <definedName name="ListaSinBlancos">OFFSET(TURNOS!$B$75, 0, 0, COUNTIF(TURNOS!$B$75:$B$1000, "&lt;&gt;"))</definedName>
  </definedNames>
  <calcPr calcId="181029"/>
</workbook>
</file>

<file path=xl/calcChain.xml><?xml version="1.0" encoding="utf-8"?>
<calcChain xmlns="http://schemas.openxmlformats.org/spreadsheetml/2006/main">
  <c r="AL72" i="1" l="1"/>
  <c r="AL71" i="1"/>
  <c r="AL70" i="1"/>
  <c r="AL69" i="1"/>
  <c r="AL68" i="1"/>
  <c r="AL67" i="1"/>
  <c r="AL66" i="1"/>
  <c r="AL65" i="1"/>
  <c r="AL64" i="1"/>
  <c r="AL63" i="1"/>
  <c r="AL62" i="1"/>
  <c r="AL61" i="1"/>
  <c r="AL60" i="1"/>
  <c r="AL59" i="1"/>
  <c r="AL58" i="1"/>
  <c r="AL57" i="1"/>
  <c r="AL56" i="1"/>
  <c r="AL55" i="1"/>
  <c r="AL54" i="1"/>
  <c r="AL53" i="1"/>
  <c r="AL52" i="1"/>
  <c r="AL51" i="1"/>
  <c r="AL50" i="1"/>
  <c r="AL49" i="1"/>
  <c r="AL48" i="1"/>
  <c r="AL47" i="1"/>
  <c r="AL46" i="1"/>
  <c r="AL45" i="1"/>
  <c r="AL44" i="1"/>
  <c r="AL43" i="1"/>
  <c r="AL42" i="1"/>
  <c r="AL41" i="1"/>
  <c r="AL40" i="1"/>
  <c r="AL39" i="1"/>
  <c r="AL3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</calcChain>
</file>

<file path=xl/sharedStrings.xml><?xml version="1.0" encoding="utf-8"?>
<sst xmlns="http://schemas.openxmlformats.org/spreadsheetml/2006/main" count="334" uniqueCount="92">
  <si>
    <t xml:space="preserve">                                                    E.S.E. HOSPITAL REGIONAL DE MONIQUIRA</t>
  </si>
  <si>
    <t>CÓDIGO</t>
  </si>
  <si>
    <t>MACROPROCESO</t>
  </si>
  <si>
    <t>DIRECCIONAMIENTO ESTRATEGICO</t>
  </si>
  <si>
    <t>D.E.</t>
  </si>
  <si>
    <t>Hrm2025*</t>
  </si>
  <si>
    <t>SUBPROCESO</t>
  </si>
  <si>
    <t>SUBGERENCIA CIENTIFICA</t>
  </si>
  <si>
    <t>VERSIÓN</t>
  </si>
  <si>
    <t>TIPO DE DOCUMENTO</t>
  </si>
  <si>
    <t>FORMATO</t>
  </si>
  <si>
    <t>NOMBRE</t>
  </si>
  <si>
    <t>PROGRAMACION DE TURNOS 2</t>
  </si>
  <si>
    <t>Pág. 1 de 1</t>
  </si>
  <si>
    <t>MES:</t>
  </si>
  <si>
    <t>Octubre</t>
  </si>
  <si>
    <t>AÑO:</t>
  </si>
  <si>
    <t>ÁREA:</t>
  </si>
  <si>
    <t>MEDICINA GENERAL OBSERVACION-HOSPITALIZACION</t>
  </si>
  <si>
    <t>Todas</t>
  </si>
  <si>
    <t>NOMBRE DEL PROFESIONAL</t>
  </si>
  <si>
    <t>DOCUMENTO</t>
  </si>
  <si>
    <t>Total Horas</t>
  </si>
  <si>
    <t>M</t>
  </si>
  <si>
    <t>J</t>
  </si>
  <si>
    <t>V</t>
  </si>
  <si>
    <t>S</t>
  </si>
  <si>
    <t>D</t>
  </si>
  <si>
    <t>L</t>
  </si>
  <si>
    <t>ACOSTA LUNA LAURA NATHALIA</t>
  </si>
  <si>
    <t>CASTRO GUEVARA LYDIA SOLANY</t>
  </si>
  <si>
    <t>CHAVARRO DIAZ MARIA FERNANDA</t>
  </si>
  <si>
    <t>GARCÍA DIVANTOQUE ANGELA MARÍA</t>
  </si>
  <si>
    <t>GUZMÁN ACOSTA LEIDY DANIELA</t>
  </si>
  <si>
    <t>MARTINEZ ORTIZ GABRIELA</t>
  </si>
  <si>
    <t>MENDOZA CEPEDA MELISSA KATALINA</t>
  </si>
  <si>
    <t>RODRIGUEZ BELTRAN INDIRA CAMILA</t>
  </si>
  <si>
    <t>ORTIZ TORRES CAMILO ANDRES</t>
  </si>
  <si>
    <t>BOLAÑOS FORIGUA ANDRÉS LEONARDO</t>
  </si>
  <si>
    <t>GONZALEZ MANRIQUE HEIDY LILIANA</t>
  </si>
  <si>
    <t>GARZON VASQUEZ SHARON NICOLLE</t>
  </si>
  <si>
    <t>MERCHAN FIGUEROA MEIKE KATHELEEN</t>
  </si>
  <si>
    <t>SERRANO ORTIZ ERIKA LILIANA</t>
  </si>
  <si>
    <t>GUTIERREZ CASTILLO GABRIEL FERNANDO</t>
  </si>
  <si>
    <t>ERIKA  DAYANA  CETINA  BELTRAN</t>
  </si>
  <si>
    <t>JESUS  DAVID ARAUJO  MONJE</t>
  </si>
  <si>
    <t>OBSERVACIONES</t>
  </si>
  <si>
    <t>COD</t>
  </si>
  <si>
    <t>HORAS</t>
  </si>
  <si>
    <t>TOTAL HORAS</t>
  </si>
  <si>
    <t>ACTIVIDAD</t>
  </si>
  <si>
    <t>CAP1</t>
  </si>
  <si>
    <t>15:00:00 a 17:00:00</t>
  </si>
  <si>
    <t>CAPACITACION</t>
  </si>
  <si>
    <t>CAP12</t>
  </si>
  <si>
    <t>10:00:00 a 12:00:00</t>
  </si>
  <si>
    <t>CMT</t>
  </si>
  <si>
    <t>08:00:00 a 10:00:00</t>
  </si>
  <si>
    <t>COMITE</t>
  </si>
  <si>
    <t>APROBÓ
KARIN MILENA GAMBA</t>
  </si>
  <si>
    <t>CMT/N-H/NORTE</t>
  </si>
  <si>
    <t>08:00:00 a 10:00:00
19:00:00 a 07:00:00</t>
  </si>
  <si>
    <t>2.0
12.0</t>
  </si>
  <si>
    <t>COMITE
HOSPITALIZACION-NORTE</t>
  </si>
  <si>
    <t>CMT/N-H/OBS</t>
  </si>
  <si>
    <t>19:00:00 a 07:00:00
08:00:00 a 10:00:00</t>
  </si>
  <si>
    <t>12.0
2.0</t>
  </si>
  <si>
    <t>OBSERVACION
COMITE</t>
  </si>
  <si>
    <t>CMT/N-H/SUR</t>
  </si>
  <si>
    <t>COMITE
HOSPITALIZACION-SUR</t>
  </si>
  <si>
    <t>D-H/NOR</t>
  </si>
  <si>
    <t>07:00:00 a 19:00:00</t>
  </si>
  <si>
    <t>HOSPITALIZACION-NORTE</t>
  </si>
  <si>
    <t>D-H/SUR</t>
  </si>
  <si>
    <t>HOSPITALIZACION-SUR</t>
  </si>
  <si>
    <t>GPC</t>
  </si>
  <si>
    <t>16:00:00 a 18:00:00</t>
  </si>
  <si>
    <t>GUIAS DE  PRACTICA CLINICA</t>
  </si>
  <si>
    <t>N-H/NOR</t>
  </si>
  <si>
    <t>19:00:00 a 07:00:00</t>
  </si>
  <si>
    <t>N-H/SUR</t>
  </si>
  <si>
    <t>OBS/D</t>
  </si>
  <si>
    <t>OBSERVACION</t>
  </si>
  <si>
    <t>OBS/N</t>
  </si>
  <si>
    <t>T/AM</t>
  </si>
  <si>
    <t>07:00:00 a 13:00:00</t>
  </si>
  <si>
    <t>TURNO</t>
  </si>
  <si>
    <t>T/AM/CMT</t>
  </si>
  <si>
    <t>07:00:00 a 13:00:00
14:00:00 a 16:00:00</t>
  </si>
  <si>
    <t>6.0
2.0</t>
  </si>
  <si>
    <t>TURNO
GUIAS DE  PRACTICA CLINICA</t>
  </si>
  <si>
    <t>FESTIVOS DEL 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</si>
</sst>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rgb="FF000000"/>
      <name val="Calibri"/>
      <scheme val="minor"/>
    </font>
    <font>
      <sz val="10"/>
      <color rgb="FF000000"/>
      <name val="Arial"/>
    </font>
    <font>
      <sz val="8"/>
      <color rgb="FF000000"/>
      <name val="Arial Narrow"/>
    </font>
    <font>
      <sz val="8"/>
      <color rgb="FFFFFFFF"/>
      <name val="Arial Narrow"/>
    </font>
    <font>
      <sz val="12"/>
      <color rgb="FF000000"/>
      <name val="Arial"/>
    </font>
    <font>
      <b/>
      <sz val="12"/>
      <color rgb="FF000000"/>
      <name val="Arial"/>
    </font>
    <font>
      <sz val="12"/>
      <color rgb="FFFFFFFF"/>
      <name val="Arial"/>
    </font>
    <font>
      <b/>
      <sz val="10"/>
      <color rgb="FF000000"/>
      <name val="Arial"/>
    </font>
    <font>
      <b/>
      <sz val="16"/>
      <color rgb="FF000000"/>
      <name val="Calibri"/>
      <scheme val="minor"/>
    </font>
    <font>
      <sz val="12"/>
      <color rgb="FFFFFFFF"/>
      <name val="Calibri"/>
      <scheme val="minor"/>
    </font>
    <font>
      <sz val="10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4"/>
      <color rgb="FF000000"/>
      <name val="Arial"/>
    </font>
    <font>
      <sz val="14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B5C6E8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FF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 applyAlignment="1" applyProtection="1">
      <alignment horizontal="left" vertical="top"/>
      <protection hidden="1"/>
    </xf>
    <xf numFmtId="0" fontId="1" fillId="2" borderId="1" xfId="0" applyFont="1" applyFill="1" applyBorder="1" applyAlignment="1" applyProtection="1">
      <alignment horizontal="left" vertical="top" wrapText="1"/>
      <protection hidden="1"/>
    </xf>
    <xf numFmtId="0" fontId="1" fillId="2" borderId="2" xfId="0" applyFont="1" applyFill="1" applyBorder="1" applyAlignment="1" applyProtection="1">
      <alignment horizontal="left" vertical="top" wrapText="1"/>
      <protection hidden="1"/>
    </xf>
    <xf numFmtId="14" fontId="2" fillId="0" borderId="3" xfId="0" applyNumberFormat="1" applyFont="1" applyBorder="1" applyAlignment="1" applyProtection="1">
      <alignment horizontal="center" vertical="center" wrapText="1"/>
      <protection hidden="1"/>
    </xf>
    <xf numFmtId="14" fontId="2" fillId="0" borderId="4" xfId="0" applyNumberFormat="1" applyFont="1" applyBorder="1" applyAlignment="1" applyProtection="1">
      <alignment horizontal="center" vertical="center" wrapText="1"/>
      <protection hidden="1"/>
    </xf>
    <xf numFmtId="49" fontId="3" fillId="0" borderId="5" xfId="0" applyNumberFormat="1" applyFont="1" applyBorder="1" applyAlignment="1" applyProtection="1">
      <alignment horizontal="center" vertical="center" wrapText="1"/>
      <protection hidden="1"/>
    </xf>
    <xf numFmtId="0" fontId="4" fillId="3" borderId="6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hidden="1"/>
    </xf>
    <xf numFmtId="0" fontId="4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left" vertical="center" wrapText="1"/>
      <protection hidden="1"/>
    </xf>
    <xf numFmtId="0" fontId="5" fillId="0" borderId="8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vertical="center"/>
      <protection hidden="1"/>
    </xf>
    <xf numFmtId="0" fontId="5" fillId="3" borderId="0" xfId="0" applyFont="1" applyFill="1" applyAlignment="1" applyProtection="1">
      <alignment horizontal="center" vertical="center" wrapText="1"/>
      <protection hidden="1"/>
    </xf>
    <xf numFmtId="49" fontId="5" fillId="3" borderId="6" xfId="0" applyNumberFormat="1" applyFont="1" applyFill="1" applyBorder="1" applyAlignment="1" applyProtection="1">
      <alignment horizontal="center" vertic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wrapText="1"/>
      <protection hidden="1"/>
    </xf>
    <xf numFmtId="0" fontId="0" fillId="0" borderId="5" xfId="0" applyBorder="1" applyProtection="1">
      <protection hidden="1"/>
    </xf>
    <xf numFmtId="0" fontId="0" fillId="0" borderId="0" xfId="0" applyAlignment="1" applyProtection="1">
      <alignment wrapText="1"/>
      <protection hidden="1"/>
    </xf>
    <xf numFmtId="0" fontId="8" fillId="0" borderId="0" xfId="0" applyFont="1" applyProtection="1">
      <protection hidden="1"/>
    </xf>
    <xf numFmtId="0" fontId="8" fillId="0" borderId="0" xfId="0" applyFont="1" applyAlignment="1" applyProtection="1">
      <alignment wrapText="1"/>
      <protection hidden="1"/>
    </xf>
    <xf numFmtId="0" fontId="9" fillId="0" borderId="0" xfId="0" applyFont="1" applyProtection="1">
      <protection hidden="1"/>
    </xf>
    <xf numFmtId="0" fontId="0" fillId="0" borderId="1" xfId="0" applyBorder="1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0" fontId="0" fillId="0" borderId="6" xfId="0" applyBorder="1" applyProtection="1"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vertical="center"/>
      <protection locked="0"/>
    </xf>
    <xf numFmtId="0" fontId="10" fillId="2" borderId="11" xfId="0" applyFont="1" applyFill="1" applyBorder="1" applyAlignment="1" applyProtection="1">
      <alignment vertical="top" wrapText="1"/>
      <protection hidden="1"/>
    </xf>
    <xf numFmtId="0" fontId="10" fillId="2" borderId="2" xfId="0" applyFont="1" applyFill="1" applyBorder="1" applyAlignment="1" applyProtection="1">
      <alignment vertical="top" wrapText="1"/>
      <protection hidden="1"/>
    </xf>
    <xf numFmtId="0" fontId="10" fillId="2" borderId="1" xfId="0" applyFont="1" applyFill="1" applyBorder="1" applyAlignment="1" applyProtection="1">
      <alignment vertical="top" wrapText="1"/>
      <protection hidden="1"/>
    </xf>
    <xf numFmtId="0" fontId="5" fillId="0" borderId="12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Protection="1"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0" fontId="4" fillId="0" borderId="6" xfId="0" applyFont="1" applyBorder="1" applyProtection="1"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11" fillId="0" borderId="15" xfId="0" applyFont="1" applyBorder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11" fillId="0" borderId="16" xfId="0" applyFont="1" applyBorder="1" applyAlignment="1" applyProtection="1">
      <alignment horizontal="center"/>
      <protection hidden="1"/>
    </xf>
    <xf numFmtId="0" fontId="0" fillId="0" borderId="12" xfId="0" applyBorder="1" applyAlignment="1" applyProtection="1">
      <alignment horizontal="center"/>
      <protection hidden="1"/>
    </xf>
    <xf numFmtId="0" fontId="0" fillId="0" borderId="14" xfId="0" applyBorder="1" applyAlignment="1" applyProtection="1">
      <alignment horizontal="center"/>
      <protection hidden="1"/>
    </xf>
    <xf numFmtId="0" fontId="0" fillId="0" borderId="17" xfId="0" applyBorder="1" applyAlignment="1" applyProtection="1">
      <alignment horizontal="center"/>
      <protection hidden="1"/>
    </xf>
    <xf numFmtId="0" fontId="5" fillId="0" borderId="18" xfId="0" applyFont="1" applyBorder="1" applyAlignment="1" applyProtection="1">
      <alignment horizontal="center" vertical="center" wrapText="1"/>
      <protection hidden="1"/>
    </xf>
    <xf numFmtId="0" fontId="5" fillId="0" borderId="19" xfId="0" applyFont="1" applyBorder="1" applyAlignment="1" applyProtection="1">
      <alignment horizontal="center" vertical="center" wrapText="1"/>
      <protection hidden="1"/>
    </xf>
    <xf numFmtId="0" fontId="5" fillId="0" borderId="20" xfId="0" applyFont="1" applyBorder="1" applyAlignment="1" applyProtection="1">
      <alignment horizontal="center" vertical="center" wrapText="1"/>
      <protection hidden="1"/>
    </xf>
    <xf numFmtId="0" fontId="5" fillId="0" borderId="21" xfId="0" applyFont="1" applyBorder="1" applyAlignment="1" applyProtection="1">
      <alignment horizontal="center" vertical="center" wrapText="1"/>
      <protection hidden="1"/>
    </xf>
    <xf numFmtId="0" fontId="1" fillId="3" borderId="11" xfId="0" applyFont="1" applyFill="1" applyBorder="1" applyAlignment="1" applyProtection="1">
      <alignment horizontal="center" vertical="center"/>
      <protection hidden="1"/>
    </xf>
    <xf numFmtId="0" fontId="1" fillId="3" borderId="2" xfId="0" applyFont="1" applyFill="1" applyBorder="1" applyAlignment="1" applyProtection="1">
      <alignment horizontal="center" vertical="center"/>
      <protection hidden="1"/>
    </xf>
    <xf numFmtId="0" fontId="1" fillId="3" borderId="1" xfId="0" applyFont="1" applyFill="1" applyBorder="1" applyAlignment="1" applyProtection="1">
      <alignment horizontal="center" vertical="center"/>
      <protection hidden="1"/>
    </xf>
    <xf numFmtId="0" fontId="12" fillId="0" borderId="12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Protection="1">
      <protection hidden="1"/>
    </xf>
    <xf numFmtId="0" fontId="8" fillId="0" borderId="4" xfId="0" applyFont="1" applyBorder="1" applyAlignment="1" applyProtection="1">
      <alignment horizontal="center" wrapText="1"/>
      <protection hidden="1"/>
    </xf>
    <xf numFmtId="0" fontId="0" fillId="0" borderId="7" xfId="0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0" fillId="0" borderId="22" xfId="0" applyBorder="1" applyAlignment="1" applyProtection="1">
      <alignment horizont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4" fillId="0" borderId="22" xfId="0" applyFont="1" applyBorder="1" applyProtection="1"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5" fillId="0" borderId="23" xfId="0" applyFont="1" applyBorder="1" applyAlignment="1" applyProtection="1">
      <alignment horizontal="center" vertical="center"/>
      <protection hidden="1"/>
    </xf>
    <xf numFmtId="0" fontId="4" fillId="0" borderId="23" xfId="0" applyFont="1" applyBorder="1" applyProtection="1">
      <protection hidden="1"/>
    </xf>
    <xf numFmtId="0" fontId="4" fillId="0" borderId="24" xfId="0" applyFont="1" applyBorder="1" applyProtection="1"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Protection="1">
      <protection hidden="1"/>
    </xf>
    <xf numFmtId="0" fontId="4" fillId="0" borderId="17" xfId="0" applyFont="1" applyBorder="1" applyProtection="1">
      <protection hidden="1"/>
    </xf>
    <xf numFmtId="0" fontId="4" fillId="6" borderId="6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466725</xdr:colOff>
      <xdr:row>0</xdr:row>
      <xdr:rowOff>200025</xdr:rowOff>
    </xdr:from>
    <xdr:to>
      <xdr:col>2</xdr:col>
      <xdr:colOff>1990725</xdr:colOff>
      <xdr:row>7</xdr:row>
      <xdr:rowOff>190500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24000" cy="14573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FESTIVOS" ref="A1:A19">
  <autoFilter ref="A1:A19" xr:uid="{00000000-0009-0000-0100-000001000000}"/>
  <tableColumns count="1">
    <tableColumn id="1" xr3:uid="{00000000-0010-0000-0000-000001000000}" name="FESTIVOS DEL AÑO 202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5"/>
  <sheetViews>
    <sheetView tabSelected="1" zoomScale="56" zoomScaleNormal="70" workbookViewId="0">
      <pane xSplit="4" ySplit="12" topLeftCell="E13" activePane="bottomRight" state="frozen"/>
      <selection pane="topRight"/>
      <selection pane="bottomLeft"/>
      <selection pane="bottomRight" activeCell="AN32" sqref="AN32"/>
    </sheetView>
  </sheetViews>
  <sheetFormatPr baseColWidth="10" defaultColWidth="9.296875" defaultRowHeight="15.6" x14ac:dyDescent="0.3"/>
  <cols>
    <col min="1" max="2" width="9.296875" style="11"/>
    <col min="3" max="3" width="30.69921875" style="11" customWidth="1"/>
    <col min="4" max="4" width="21.09765625" style="11" customWidth="1"/>
    <col min="5" max="37" width="8.09765625" style="11" customWidth="1"/>
    <col min="38" max="38" width="11.19921875" style="11" customWidth="1"/>
    <col min="39" max="39" width="9.296875" style="11"/>
  </cols>
  <sheetData>
    <row r="1" spans="2:40" ht="16.05" customHeight="1" x14ac:dyDescent="0.3"/>
    <row r="2" spans="2:40" ht="17.55" customHeight="1" x14ac:dyDescent="0.3">
      <c r="C2" s="12"/>
      <c r="D2" s="64" t="s">
        <v>0</v>
      </c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77" t="s">
        <v>1</v>
      </c>
      <c r="AD2" s="78"/>
      <c r="AE2" s="78"/>
      <c r="AF2" s="78"/>
      <c r="AG2" s="78"/>
      <c r="AH2" s="78"/>
      <c r="AI2" s="79"/>
    </row>
    <row r="3" spans="2:40" x14ac:dyDescent="0.3">
      <c r="C3" s="12"/>
      <c r="D3" s="13" t="s">
        <v>2</v>
      </c>
      <c r="E3" s="73" t="s">
        <v>3</v>
      </c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0" t="s">
        <v>4</v>
      </c>
      <c r="AD3" s="71"/>
      <c r="AE3" s="71"/>
      <c r="AF3" s="71"/>
      <c r="AG3" s="71"/>
      <c r="AH3" s="71"/>
      <c r="AI3" s="72"/>
    </row>
    <row r="4" spans="2:40" x14ac:dyDescent="0.3">
      <c r="C4" s="14" t="s">
        <v>5</v>
      </c>
      <c r="D4" s="15" t="s">
        <v>6</v>
      </c>
      <c r="E4" s="73" t="s">
        <v>7</v>
      </c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T4" s="73"/>
      <c r="U4" s="73"/>
      <c r="V4" s="73"/>
      <c r="W4" s="73"/>
      <c r="X4" s="73"/>
      <c r="Y4" s="73"/>
      <c r="Z4" s="73"/>
      <c r="AA4" s="73"/>
      <c r="AB4" s="73"/>
      <c r="AC4" s="70" t="s">
        <v>8</v>
      </c>
      <c r="AD4" s="71"/>
      <c r="AE4" s="71"/>
      <c r="AF4" s="71"/>
      <c r="AG4" s="71"/>
      <c r="AH4" s="71"/>
      <c r="AI4" s="72"/>
    </row>
    <row r="5" spans="2:40" x14ac:dyDescent="0.3">
      <c r="C5" s="14">
        <v>42</v>
      </c>
      <c r="D5" s="15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1"/>
      <c r="AD5" s="71"/>
      <c r="AE5" s="71"/>
      <c r="AF5" s="71"/>
      <c r="AG5" s="71"/>
      <c r="AH5" s="71"/>
      <c r="AI5" s="72"/>
    </row>
    <row r="6" spans="2:40" x14ac:dyDescent="0.3">
      <c r="C6" s="14"/>
      <c r="D6" s="13" t="s">
        <v>9</v>
      </c>
      <c r="E6" s="73" t="s">
        <v>10</v>
      </c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0">
        <v>1</v>
      </c>
      <c r="AD6" s="71"/>
      <c r="AE6" s="71"/>
      <c r="AF6" s="71"/>
      <c r="AG6" s="71"/>
      <c r="AH6" s="71"/>
      <c r="AI6" s="72"/>
    </row>
    <row r="7" spans="2:40" ht="16.05" customHeight="1" x14ac:dyDescent="0.3">
      <c r="C7" s="12"/>
      <c r="D7" s="16" t="s">
        <v>11</v>
      </c>
      <c r="E7" s="73" t="s">
        <v>12</v>
      </c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4" t="s">
        <v>13</v>
      </c>
      <c r="AD7" s="75"/>
      <c r="AE7" s="75"/>
      <c r="AF7" s="75"/>
      <c r="AG7" s="75"/>
      <c r="AH7" s="75"/>
      <c r="AI7" s="76"/>
    </row>
    <row r="8" spans="2:40" ht="16.05" customHeight="1" x14ac:dyDescent="0.3">
      <c r="C8" s="17"/>
      <c r="D8" s="18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8"/>
      <c r="AD8" s="18"/>
      <c r="AE8" s="18"/>
      <c r="AF8" s="18"/>
      <c r="AG8" s="18"/>
      <c r="AH8" s="18"/>
      <c r="AI8" s="18"/>
    </row>
    <row r="9" spans="2:40" ht="16.05" customHeight="1" x14ac:dyDescent="0.3">
      <c r="C9" s="20"/>
      <c r="D9" s="21"/>
      <c r="E9" s="50" t="s">
        <v>14</v>
      </c>
      <c r="F9" s="50"/>
      <c r="G9" s="50"/>
      <c r="H9" s="50" t="s">
        <v>15</v>
      </c>
      <c r="I9" s="50"/>
      <c r="J9" s="50"/>
      <c r="K9" s="50"/>
      <c r="L9" s="50"/>
      <c r="M9" s="50"/>
      <c r="N9" s="50"/>
      <c r="O9" s="50" t="s">
        <v>16</v>
      </c>
      <c r="P9" s="50"/>
      <c r="Q9" s="50"/>
      <c r="R9" s="50">
        <v>2025</v>
      </c>
      <c r="S9" s="50"/>
      <c r="T9" s="50"/>
      <c r="U9" s="50"/>
      <c r="V9" s="50"/>
      <c r="W9" s="22" t="s">
        <v>17</v>
      </c>
      <c r="X9" s="57" t="s">
        <v>18</v>
      </c>
      <c r="Y9" s="58"/>
      <c r="Z9" s="58"/>
      <c r="AA9" s="58"/>
      <c r="AB9" s="58"/>
      <c r="AC9" s="58"/>
      <c r="AD9" s="59"/>
      <c r="AE9" s="57" t="s">
        <v>19</v>
      </c>
      <c r="AF9" s="58"/>
      <c r="AG9" s="58"/>
      <c r="AH9" s="58"/>
      <c r="AI9" s="60"/>
    </row>
    <row r="10" spans="2:40" ht="16.05" customHeight="1" x14ac:dyDescent="0.3">
      <c r="C10" s="12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23"/>
      <c r="Q10" s="23"/>
      <c r="R10" s="19"/>
      <c r="S10" s="19"/>
      <c r="T10" s="23"/>
      <c r="U10" s="23"/>
      <c r="V10" s="23"/>
      <c r="W10" s="23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</row>
    <row r="11" spans="2:40" x14ac:dyDescent="0.3">
      <c r="C11" s="46" t="s">
        <v>20</v>
      </c>
      <c r="D11" s="48" t="s">
        <v>21</v>
      </c>
      <c r="E11" s="24">
        <v>1</v>
      </c>
      <c r="F11" s="24">
        <v>2</v>
      </c>
      <c r="G11" s="24">
        <v>3</v>
      </c>
      <c r="H11" s="24">
        <v>4</v>
      </c>
      <c r="I11" s="24">
        <v>5</v>
      </c>
      <c r="J11" s="24">
        <v>6</v>
      </c>
      <c r="K11" s="24">
        <v>7</v>
      </c>
      <c r="L11" s="24">
        <v>8</v>
      </c>
      <c r="M11" s="24">
        <v>9</v>
      </c>
      <c r="N11" s="24">
        <v>10</v>
      </c>
      <c r="O11" s="24">
        <v>11</v>
      </c>
      <c r="P11" s="24">
        <v>12</v>
      </c>
      <c r="Q11" s="24">
        <v>13</v>
      </c>
      <c r="R11" s="24">
        <v>14</v>
      </c>
      <c r="S11" s="24">
        <v>15</v>
      </c>
      <c r="T11" s="24">
        <v>16</v>
      </c>
      <c r="U11" s="24">
        <v>17</v>
      </c>
      <c r="V11" s="24">
        <v>18</v>
      </c>
      <c r="W11" s="24">
        <v>19</v>
      </c>
      <c r="X11" s="24">
        <v>20</v>
      </c>
      <c r="Y11" s="24">
        <v>21</v>
      </c>
      <c r="Z11" s="24">
        <v>22</v>
      </c>
      <c r="AA11" s="24">
        <v>23</v>
      </c>
      <c r="AB11" s="24">
        <v>24</v>
      </c>
      <c r="AC11" s="24">
        <v>25</v>
      </c>
      <c r="AD11" s="24">
        <v>26</v>
      </c>
      <c r="AE11" s="24">
        <v>27</v>
      </c>
      <c r="AF11" s="24">
        <v>28</v>
      </c>
      <c r="AG11" s="24">
        <v>29</v>
      </c>
      <c r="AH11" s="24">
        <v>30</v>
      </c>
      <c r="AI11" s="24">
        <v>31</v>
      </c>
      <c r="AJ11" s="24"/>
      <c r="AK11" s="24"/>
      <c r="AL11" s="25" t="s">
        <v>22</v>
      </c>
    </row>
    <row r="12" spans="2:40" x14ac:dyDescent="0.3">
      <c r="C12" s="47"/>
      <c r="D12" s="49"/>
      <c r="E12" s="24" t="s">
        <v>23</v>
      </c>
      <c r="F12" s="24" t="s">
        <v>24</v>
      </c>
      <c r="G12" s="24" t="s">
        <v>25</v>
      </c>
      <c r="H12" s="24" t="s">
        <v>26</v>
      </c>
      <c r="I12" s="24" t="s">
        <v>27</v>
      </c>
      <c r="J12" s="24" t="s">
        <v>28</v>
      </c>
      <c r="K12" s="24" t="s">
        <v>23</v>
      </c>
      <c r="L12" s="24" t="s">
        <v>23</v>
      </c>
      <c r="M12" s="24" t="s">
        <v>24</v>
      </c>
      <c r="N12" s="24" t="s">
        <v>25</v>
      </c>
      <c r="O12" s="24" t="s">
        <v>26</v>
      </c>
      <c r="P12" s="24" t="s">
        <v>27</v>
      </c>
      <c r="Q12" s="24" t="s">
        <v>28</v>
      </c>
      <c r="R12" s="24" t="s">
        <v>23</v>
      </c>
      <c r="S12" s="24" t="s">
        <v>23</v>
      </c>
      <c r="T12" s="24" t="s">
        <v>24</v>
      </c>
      <c r="U12" s="24" t="s">
        <v>25</v>
      </c>
      <c r="V12" s="24" t="s">
        <v>26</v>
      </c>
      <c r="W12" s="24" t="s">
        <v>27</v>
      </c>
      <c r="X12" s="24" t="s">
        <v>28</v>
      </c>
      <c r="Y12" s="24" t="s">
        <v>23</v>
      </c>
      <c r="Z12" s="24" t="s">
        <v>23</v>
      </c>
      <c r="AA12" s="24" t="s">
        <v>24</v>
      </c>
      <c r="AB12" s="24" t="s">
        <v>25</v>
      </c>
      <c r="AC12" s="24" t="s">
        <v>26</v>
      </c>
      <c r="AD12" s="24" t="s">
        <v>27</v>
      </c>
      <c r="AE12" s="24" t="s">
        <v>28</v>
      </c>
      <c r="AF12" s="24" t="s">
        <v>23</v>
      </c>
      <c r="AG12" s="24" t="s">
        <v>23</v>
      </c>
      <c r="AH12" s="24" t="s">
        <v>24</v>
      </c>
      <c r="AI12" s="24" t="s">
        <v>25</v>
      </c>
      <c r="AJ12" s="24"/>
      <c r="AK12" s="24"/>
      <c r="AL12" s="26"/>
    </row>
    <row r="13" spans="2:40" x14ac:dyDescent="0.3">
      <c r="B13" s="36">
        <v>1</v>
      </c>
      <c r="C13" s="37" t="s">
        <v>29</v>
      </c>
      <c r="D13" s="38">
        <v>1085336754</v>
      </c>
      <c r="E13" s="80" t="s">
        <v>80</v>
      </c>
      <c r="F13" s="80"/>
      <c r="G13" s="80"/>
      <c r="H13" s="7" t="s">
        <v>70</v>
      </c>
      <c r="I13" s="7" t="s">
        <v>78</v>
      </c>
      <c r="J13" s="80"/>
      <c r="K13" s="80"/>
      <c r="L13" s="80" t="s">
        <v>56</v>
      </c>
      <c r="M13" s="80" t="s">
        <v>70</v>
      </c>
      <c r="N13" s="80" t="s">
        <v>78</v>
      </c>
      <c r="O13" s="7"/>
      <c r="P13" s="7" t="s">
        <v>80</v>
      </c>
      <c r="Q13" s="7"/>
      <c r="R13" s="7" t="s">
        <v>73</v>
      </c>
      <c r="S13" s="7" t="s">
        <v>80</v>
      </c>
      <c r="T13" s="7" t="s">
        <v>75</v>
      </c>
      <c r="U13" s="7"/>
      <c r="V13" s="7" t="s">
        <v>70</v>
      </c>
      <c r="W13" s="7"/>
      <c r="X13" s="7" t="s">
        <v>83</v>
      </c>
      <c r="Y13" s="7"/>
      <c r="Z13" s="7"/>
      <c r="AA13" s="7" t="s">
        <v>73</v>
      </c>
      <c r="AB13" s="7" t="s">
        <v>80</v>
      </c>
      <c r="AC13" s="7"/>
      <c r="AD13" s="7" t="s">
        <v>73</v>
      </c>
      <c r="AE13" s="80"/>
      <c r="AF13" s="80"/>
      <c r="AG13" s="80"/>
      <c r="AH13" s="80"/>
      <c r="AI13" s="80"/>
      <c r="AJ13" s="7"/>
      <c r="AK13" s="7"/>
      <c r="AL13" s="8">
        <f t="shared" ref="AL13:AL44" si="0">IFERROR(VLOOKUP(E13,$B$75:$E$101,4,FALSE),0)+
IFERROR(VLOOKUP(F13,$B$75:$E$101,4,FALSE),0)+
IFERROR(VLOOKUP(G13,$B$75:$E$101,4,FALSE),0)+
IFERROR(VLOOKUP(H13,$B$75:$E$101,4,FALSE),0)+
IFERROR(VLOOKUP(I13,$B$75:$E$101,4,FALSE),0)+
IFERROR(VLOOKUP(J13,$B$75:$E$101,4,FALSE),0)+
IFERROR(VLOOKUP(K13,$B$75:$E$101,4,FALSE),0)+
IFERROR(VLOOKUP(L13,$B$75:$E$101,4,FALSE),0)+
IFERROR(VLOOKUP(M13,$B$75:$E$101,4,FALSE),0)+
IFERROR(VLOOKUP(N13,$B$75:$E$101,4,FALSE),0)+
IFERROR(VLOOKUP(O13,$B$75:$E$101,4,FALSE),0)+
IFERROR(VLOOKUP(P13,$B$75:$E$101,4,FALSE),0)+
IFERROR(VLOOKUP(Q13,$B$75:$E$101,4,FALSE),0)+
IFERROR(VLOOKUP(R13,$B$75:$E$101,4,FALSE),0)+
IFERROR(VLOOKUP(S13,$B$75:$E$101,4,FALSE),0)+
IFERROR(VLOOKUP(T13,$B$75:$E$101,4,FALSE),0)+
IFERROR(VLOOKUP(U13,$B$75:$E$101,4,FALSE),0)+
IFERROR(VLOOKUP(V13,$B$75:$E$101,4,FALSE),0)+
IFERROR(VLOOKUP(W13,$B$75:$E$101,4,FALSE),0)+
IFERROR(VLOOKUP(X13,$B$75:$E$101,4,FALSE),0)+
IFERROR(VLOOKUP(Y13,$B$75:$E$101,4,FALSE),0)+
IFERROR(VLOOKUP(Z13,$B$75:$E$101,4,FALSE),0)+
IFERROR(VLOOKUP(AA13,$B$75:$E$101,4,FALSE),0)+
IFERROR(VLOOKUP(AB13,$B$75:$E$101,4,FALSE),0)+
IFERROR(VLOOKUP(AC13,$B$75:$E$101,4,FALSE),0)+
IFERROR(VLOOKUP(AD13,$B$75:$E$101,4,FALSE),0)+
IFERROR(VLOOKUP(AE13,$B$75:$E$101,4,FALSE),0)+
IFERROR(VLOOKUP(AF13,$B$75:$E$101,4,FALSE),0)+
IFERROR(VLOOKUP(AG13,$B$75:$E$101,4,FALSE),0)+
IFERROR(VLOOKUP(AH13,$B$75:$E$101,4,FALSE),0)+
IFERROR(VLOOKUP(AI13,$B$75:$E$101,4,FALSE),0)+
IFERROR(VLOOKUP(AJ13,$B$75:$E$101,4,FALSE),0)</f>
        <v>160</v>
      </c>
      <c r="AM13" s="9">
        <v>7</v>
      </c>
      <c r="AN13" s="9"/>
    </row>
    <row r="14" spans="2:40" x14ac:dyDescent="0.3">
      <c r="B14" s="36">
        <v>2</v>
      </c>
      <c r="C14" s="37" t="s">
        <v>30</v>
      </c>
      <c r="D14" s="38">
        <v>1099343123</v>
      </c>
      <c r="E14" s="80"/>
      <c r="F14" s="80"/>
      <c r="G14" s="80" t="s">
        <v>81</v>
      </c>
      <c r="H14" s="7" t="s">
        <v>78</v>
      </c>
      <c r="I14" s="7"/>
      <c r="J14" s="80" t="s">
        <v>80</v>
      </c>
      <c r="K14" s="80"/>
      <c r="L14" s="80" t="s">
        <v>56</v>
      </c>
      <c r="M14" s="80" t="s">
        <v>75</v>
      </c>
      <c r="N14" s="80"/>
      <c r="O14" s="41"/>
      <c r="P14" s="7" t="s">
        <v>70</v>
      </c>
      <c r="Q14" s="7" t="s">
        <v>78</v>
      </c>
      <c r="R14" s="7"/>
      <c r="S14" s="80"/>
      <c r="T14" s="80" t="s">
        <v>70</v>
      </c>
      <c r="U14" s="80" t="s">
        <v>80</v>
      </c>
      <c r="V14" s="7"/>
      <c r="W14" s="7"/>
      <c r="X14" s="7" t="s">
        <v>73</v>
      </c>
      <c r="Y14" s="7" t="s">
        <v>80</v>
      </c>
      <c r="Z14" s="7"/>
      <c r="AA14" s="7"/>
      <c r="AB14" s="7" t="s">
        <v>83</v>
      </c>
      <c r="AC14" s="7"/>
      <c r="AD14" s="7"/>
      <c r="AE14" s="80" t="s">
        <v>73</v>
      </c>
      <c r="AF14" s="80" t="s">
        <v>80</v>
      </c>
      <c r="AG14" s="80"/>
      <c r="AH14" s="80" t="s">
        <v>73</v>
      </c>
      <c r="AI14" s="80" t="s">
        <v>73</v>
      </c>
      <c r="AJ14" s="7"/>
      <c r="AK14" s="7"/>
      <c r="AL14" s="8">
        <f t="shared" si="0"/>
        <v>172</v>
      </c>
      <c r="AM14" s="9">
        <v>7</v>
      </c>
      <c r="AN14" s="9"/>
    </row>
    <row r="15" spans="2:40" x14ac:dyDescent="0.3">
      <c r="B15" s="36">
        <v>3</v>
      </c>
      <c r="C15" s="37" t="s">
        <v>31</v>
      </c>
      <c r="D15" s="38">
        <v>1045740832</v>
      </c>
      <c r="E15" s="80" t="s">
        <v>70</v>
      </c>
      <c r="F15" s="80" t="s">
        <v>78</v>
      </c>
      <c r="G15" s="80"/>
      <c r="H15" s="41"/>
      <c r="I15" s="41"/>
      <c r="J15" s="80"/>
      <c r="K15" s="80"/>
      <c r="L15" s="80" t="s">
        <v>81</v>
      </c>
      <c r="M15" s="80" t="s">
        <v>83</v>
      </c>
      <c r="N15" s="80"/>
      <c r="O15" s="7" t="s">
        <v>73</v>
      </c>
      <c r="P15" s="7"/>
      <c r="Q15" s="7" t="s">
        <v>80</v>
      </c>
      <c r="R15" s="7"/>
      <c r="S15" s="80"/>
      <c r="T15" s="80" t="s">
        <v>78</v>
      </c>
      <c r="U15" s="80"/>
      <c r="V15" s="7"/>
      <c r="W15" s="7" t="s">
        <v>81</v>
      </c>
      <c r="X15" s="7"/>
      <c r="Y15" s="7"/>
      <c r="Z15" s="7" t="s">
        <v>73</v>
      </c>
      <c r="AA15" s="7"/>
      <c r="AB15" s="7"/>
      <c r="AC15" s="7" t="s">
        <v>70</v>
      </c>
      <c r="AD15" s="7" t="s">
        <v>78</v>
      </c>
      <c r="AE15" s="80"/>
      <c r="AF15" s="80"/>
      <c r="AG15" s="80" t="s">
        <v>78</v>
      </c>
      <c r="AH15" s="80" t="s">
        <v>83</v>
      </c>
      <c r="AI15" s="80"/>
      <c r="AJ15" s="7"/>
      <c r="AK15" s="7"/>
      <c r="AL15" s="8">
        <f t="shared" si="0"/>
        <v>156</v>
      </c>
      <c r="AM15" s="9">
        <v>7</v>
      </c>
      <c r="AN15" s="9"/>
    </row>
    <row r="16" spans="2:40" ht="15.75" customHeight="1" x14ac:dyDescent="0.3">
      <c r="B16" s="36">
        <v>4</v>
      </c>
      <c r="C16" s="37" t="s">
        <v>32</v>
      </c>
      <c r="D16" s="38">
        <v>1049645007</v>
      </c>
      <c r="E16" s="80"/>
      <c r="F16" s="80"/>
      <c r="G16" s="80" t="s">
        <v>73</v>
      </c>
      <c r="H16" s="41"/>
      <c r="I16" s="41"/>
      <c r="J16" s="80"/>
      <c r="K16" s="80"/>
      <c r="L16" s="80" t="s">
        <v>68</v>
      </c>
      <c r="M16" s="80" t="s">
        <v>75</v>
      </c>
      <c r="N16" s="80"/>
      <c r="O16" s="7" t="s">
        <v>70</v>
      </c>
      <c r="P16" s="7" t="s">
        <v>78</v>
      </c>
      <c r="Q16" s="7"/>
      <c r="R16" s="7"/>
      <c r="S16" s="80" t="s">
        <v>73</v>
      </c>
      <c r="T16" s="80" t="s">
        <v>83</v>
      </c>
      <c r="U16" s="80"/>
      <c r="V16" s="7"/>
      <c r="W16" s="7" t="s">
        <v>70</v>
      </c>
      <c r="X16" s="7" t="s">
        <v>78</v>
      </c>
      <c r="Y16" s="7"/>
      <c r="Z16" s="7"/>
      <c r="AA16" s="7" t="s">
        <v>83</v>
      </c>
      <c r="AB16" s="7"/>
      <c r="AC16" s="7" t="s">
        <v>80</v>
      </c>
      <c r="AD16" s="7"/>
      <c r="AE16" s="80" t="s">
        <v>70</v>
      </c>
      <c r="AF16" s="80" t="s">
        <v>78</v>
      </c>
      <c r="AG16" s="80"/>
      <c r="AH16" s="80" t="s">
        <v>70</v>
      </c>
      <c r="AI16" s="80"/>
      <c r="AJ16" s="7"/>
      <c r="AK16" s="7"/>
      <c r="AL16" s="8">
        <f t="shared" si="0"/>
        <v>160</v>
      </c>
      <c r="AM16" s="9">
        <v>7</v>
      </c>
      <c r="AN16" s="9"/>
    </row>
    <row r="17" spans="2:40" ht="15.75" customHeight="1" x14ac:dyDescent="0.3">
      <c r="B17" s="36">
        <v>5</v>
      </c>
      <c r="C17" s="37" t="s">
        <v>33</v>
      </c>
      <c r="D17" s="37">
        <v>1014298788</v>
      </c>
      <c r="E17" s="80" t="s">
        <v>73</v>
      </c>
      <c r="F17" s="80" t="s">
        <v>80</v>
      </c>
      <c r="G17" s="80"/>
      <c r="H17" s="7"/>
      <c r="I17" s="7"/>
      <c r="J17" s="80" t="s">
        <v>70</v>
      </c>
      <c r="K17" s="80" t="s">
        <v>78</v>
      </c>
      <c r="L17" s="80" t="s">
        <v>56</v>
      </c>
      <c r="M17" s="80" t="s">
        <v>75</v>
      </c>
      <c r="N17" s="80" t="s">
        <v>73</v>
      </c>
      <c r="O17" s="7" t="s">
        <v>78</v>
      </c>
      <c r="P17" s="7"/>
      <c r="Q17" s="7"/>
      <c r="R17" s="7" t="s">
        <v>80</v>
      </c>
      <c r="S17" s="80"/>
      <c r="T17" s="80" t="s">
        <v>73</v>
      </c>
      <c r="U17" s="80"/>
      <c r="V17" s="41"/>
      <c r="W17" s="7" t="s">
        <v>80</v>
      </c>
      <c r="X17" s="7"/>
      <c r="Y17" s="7"/>
      <c r="Z17" s="7" t="s">
        <v>70</v>
      </c>
      <c r="AA17" s="7"/>
      <c r="AB17" s="7" t="s">
        <v>73</v>
      </c>
      <c r="AC17" s="41"/>
      <c r="AD17" s="41"/>
      <c r="AE17" s="80"/>
      <c r="AF17" s="80"/>
      <c r="AG17" s="80" t="s">
        <v>80</v>
      </c>
      <c r="AH17" s="80"/>
      <c r="AI17" s="80" t="s">
        <v>70</v>
      </c>
      <c r="AJ17" s="7"/>
      <c r="AK17" s="7"/>
      <c r="AL17" s="8">
        <f t="shared" si="0"/>
        <v>160</v>
      </c>
      <c r="AM17" s="9">
        <v>6</v>
      </c>
      <c r="AN17" s="9"/>
    </row>
    <row r="18" spans="2:40" ht="15.75" customHeight="1" x14ac:dyDescent="0.3">
      <c r="B18" s="36">
        <v>6</v>
      </c>
      <c r="C18" s="37" t="s">
        <v>34</v>
      </c>
      <c r="D18" s="37">
        <v>1015483253</v>
      </c>
      <c r="E18" s="80"/>
      <c r="F18" s="80"/>
      <c r="G18" s="80"/>
      <c r="H18" s="41" t="s">
        <v>81</v>
      </c>
      <c r="I18" s="7" t="s">
        <v>80</v>
      </c>
      <c r="J18" s="80"/>
      <c r="K18" s="80"/>
      <c r="L18" s="80" t="s">
        <v>73</v>
      </c>
      <c r="M18" s="80" t="s">
        <v>80</v>
      </c>
      <c r="N18" s="80"/>
      <c r="O18" s="7"/>
      <c r="P18" s="7" t="s">
        <v>81</v>
      </c>
      <c r="Q18" s="7" t="s">
        <v>83</v>
      </c>
      <c r="R18" s="7"/>
      <c r="S18" s="80"/>
      <c r="T18" s="80" t="s">
        <v>80</v>
      </c>
      <c r="U18" s="80"/>
      <c r="V18" s="7" t="s">
        <v>81</v>
      </c>
      <c r="W18" s="7" t="s">
        <v>78</v>
      </c>
      <c r="X18" s="7"/>
      <c r="Y18" s="7"/>
      <c r="Z18" s="7" t="s">
        <v>81</v>
      </c>
      <c r="AA18" s="7" t="s">
        <v>81</v>
      </c>
      <c r="AB18" s="7"/>
      <c r="AC18" s="7" t="s">
        <v>78</v>
      </c>
      <c r="AD18" s="7"/>
      <c r="AE18" s="80" t="s">
        <v>80</v>
      </c>
      <c r="AF18" s="80"/>
      <c r="AG18" s="80" t="s">
        <v>70</v>
      </c>
      <c r="AH18" s="80"/>
      <c r="AI18" s="80"/>
      <c r="AJ18" s="7"/>
      <c r="AK18" s="7"/>
      <c r="AL18" s="8">
        <f t="shared" si="0"/>
        <v>168</v>
      </c>
      <c r="AM18" s="9">
        <v>7</v>
      </c>
      <c r="AN18" s="9"/>
    </row>
    <row r="19" spans="2:40" ht="15.75" customHeight="1" x14ac:dyDescent="0.3">
      <c r="B19" s="36">
        <v>7</v>
      </c>
      <c r="C19" s="37" t="s">
        <v>35</v>
      </c>
      <c r="D19" s="37">
        <v>1054681150</v>
      </c>
      <c r="E19" s="80"/>
      <c r="F19" s="80"/>
      <c r="G19" s="80" t="s">
        <v>70</v>
      </c>
      <c r="H19" s="7" t="s">
        <v>80</v>
      </c>
      <c r="I19" s="7"/>
      <c r="J19" s="80"/>
      <c r="K19" s="80" t="s">
        <v>73</v>
      </c>
      <c r="L19" s="80" t="s">
        <v>56</v>
      </c>
      <c r="M19" s="80" t="s">
        <v>75</v>
      </c>
      <c r="N19" s="80" t="s">
        <v>80</v>
      </c>
      <c r="O19" s="7" t="s">
        <v>80</v>
      </c>
      <c r="P19" s="7"/>
      <c r="Q19" s="7"/>
      <c r="R19" s="7" t="s">
        <v>70</v>
      </c>
      <c r="S19" s="80"/>
      <c r="T19" s="80"/>
      <c r="U19" s="80" t="s">
        <v>73</v>
      </c>
      <c r="V19" s="7" t="s">
        <v>80</v>
      </c>
      <c r="W19" s="7"/>
      <c r="X19" s="7"/>
      <c r="Y19" s="7" t="s">
        <v>70</v>
      </c>
      <c r="Z19" s="7" t="s">
        <v>78</v>
      </c>
      <c r="AA19" s="7"/>
      <c r="AB19" s="7" t="s">
        <v>70</v>
      </c>
      <c r="AC19" s="41"/>
      <c r="AD19" s="41"/>
      <c r="AE19" s="80"/>
      <c r="AF19" s="80" t="s">
        <v>73</v>
      </c>
      <c r="AG19" s="80"/>
      <c r="AH19" s="80"/>
      <c r="AI19" s="80" t="s">
        <v>80</v>
      </c>
      <c r="AJ19" s="7"/>
      <c r="AK19" s="7"/>
      <c r="AL19" s="8">
        <f t="shared" si="0"/>
        <v>160</v>
      </c>
      <c r="AM19" s="9">
        <v>6</v>
      </c>
      <c r="AN19" s="9"/>
    </row>
    <row r="20" spans="2:40" ht="15.75" customHeight="1" x14ac:dyDescent="0.3">
      <c r="B20" s="36">
        <v>8</v>
      </c>
      <c r="C20" s="37" t="s">
        <v>36</v>
      </c>
      <c r="D20" s="37">
        <v>1054681939</v>
      </c>
      <c r="E20" s="80" t="s">
        <v>83</v>
      </c>
      <c r="F20" s="80"/>
      <c r="G20" s="80" t="s">
        <v>78</v>
      </c>
      <c r="H20" s="7"/>
      <c r="I20" s="7" t="s">
        <v>81</v>
      </c>
      <c r="J20" s="80" t="s">
        <v>83</v>
      </c>
      <c r="K20" s="80"/>
      <c r="L20" s="80" t="s">
        <v>56</v>
      </c>
      <c r="M20" s="80" t="s">
        <v>78</v>
      </c>
      <c r="N20" s="80"/>
      <c r="O20" s="7" t="s">
        <v>81</v>
      </c>
      <c r="P20" s="7" t="s">
        <v>83</v>
      </c>
      <c r="Q20" s="7"/>
      <c r="R20" s="7"/>
      <c r="S20" s="80" t="s">
        <v>83</v>
      </c>
      <c r="T20" s="80" t="s">
        <v>75</v>
      </c>
      <c r="U20" s="80" t="s">
        <v>78</v>
      </c>
      <c r="V20" s="7"/>
      <c r="W20" s="7"/>
      <c r="X20" s="7" t="s">
        <v>70</v>
      </c>
      <c r="Y20" s="7"/>
      <c r="Z20" s="7"/>
      <c r="AA20" s="7"/>
      <c r="AB20" s="7" t="s">
        <v>81</v>
      </c>
      <c r="AC20" s="41"/>
      <c r="AD20" s="41"/>
      <c r="AE20" s="80"/>
      <c r="AF20" s="80" t="s">
        <v>70</v>
      </c>
      <c r="AG20" s="80" t="s">
        <v>81</v>
      </c>
      <c r="AH20" s="80"/>
      <c r="AI20" s="80"/>
      <c r="AJ20" s="7"/>
      <c r="AK20" s="7"/>
      <c r="AL20" s="8">
        <f t="shared" si="0"/>
        <v>160</v>
      </c>
      <c r="AM20" s="9">
        <v>7</v>
      </c>
      <c r="AN20" s="9"/>
    </row>
    <row r="21" spans="2:40" ht="15.75" customHeight="1" x14ac:dyDescent="0.3">
      <c r="B21" s="36">
        <v>9</v>
      </c>
      <c r="C21" s="37" t="s">
        <v>37</v>
      </c>
      <c r="D21" s="37">
        <v>1049654924</v>
      </c>
      <c r="E21" s="80" t="s">
        <v>78</v>
      </c>
      <c r="F21" s="80"/>
      <c r="G21" s="80"/>
      <c r="H21" s="7" t="s">
        <v>73</v>
      </c>
      <c r="I21" s="7" t="s">
        <v>73</v>
      </c>
      <c r="J21" s="80"/>
      <c r="K21" s="80" t="s">
        <v>83</v>
      </c>
      <c r="L21" s="80" t="s">
        <v>56</v>
      </c>
      <c r="M21" s="80" t="s">
        <v>73</v>
      </c>
      <c r="N21" s="80" t="s">
        <v>83</v>
      </c>
      <c r="O21" s="7"/>
      <c r="P21" s="7"/>
      <c r="Q21" s="7" t="s">
        <v>81</v>
      </c>
      <c r="R21" s="7"/>
      <c r="S21" s="80" t="s">
        <v>78</v>
      </c>
      <c r="T21" s="80" t="s">
        <v>75</v>
      </c>
      <c r="U21" s="80"/>
      <c r="V21" s="7" t="s">
        <v>73</v>
      </c>
      <c r="W21" s="7" t="s">
        <v>83</v>
      </c>
      <c r="X21" s="7"/>
      <c r="Y21" s="7"/>
      <c r="Z21" s="7" t="s">
        <v>80</v>
      </c>
      <c r="AA21" s="7"/>
      <c r="AB21" s="7"/>
      <c r="AC21" s="7" t="s">
        <v>73</v>
      </c>
      <c r="AD21" s="7" t="s">
        <v>70</v>
      </c>
      <c r="AE21" s="80" t="s">
        <v>78</v>
      </c>
      <c r="AF21" s="80"/>
      <c r="AG21" s="80"/>
      <c r="AH21" s="80"/>
      <c r="AI21" s="80"/>
      <c r="AJ21" s="7"/>
      <c r="AK21" s="7"/>
      <c r="AL21" s="8">
        <f t="shared" si="0"/>
        <v>172</v>
      </c>
      <c r="AM21" s="9">
        <v>7</v>
      </c>
      <c r="AN21" s="9"/>
    </row>
    <row r="22" spans="2:40" ht="15.75" customHeight="1" x14ac:dyDescent="0.3">
      <c r="B22" s="36">
        <v>10</v>
      </c>
      <c r="C22" s="37" t="s">
        <v>38</v>
      </c>
      <c r="D22" s="37">
        <v>1019112975</v>
      </c>
      <c r="E22" s="80"/>
      <c r="F22" s="80"/>
      <c r="G22" s="80" t="s">
        <v>83</v>
      </c>
      <c r="H22" s="7"/>
      <c r="I22" s="7"/>
      <c r="J22" s="80" t="s">
        <v>73</v>
      </c>
      <c r="K22" s="80" t="s">
        <v>80</v>
      </c>
      <c r="L22" s="80" t="s">
        <v>56</v>
      </c>
      <c r="M22" s="80" t="s">
        <v>81</v>
      </c>
      <c r="N22" s="80" t="s">
        <v>81</v>
      </c>
      <c r="O22" s="7"/>
      <c r="P22" s="7"/>
      <c r="Q22" s="7" t="s">
        <v>73</v>
      </c>
      <c r="R22" s="7"/>
      <c r="S22" s="80" t="s">
        <v>81</v>
      </c>
      <c r="T22" s="80" t="s">
        <v>75</v>
      </c>
      <c r="U22" s="80"/>
      <c r="V22" s="41"/>
      <c r="W22" s="41"/>
      <c r="X22" s="7" t="s">
        <v>80</v>
      </c>
      <c r="Y22" s="7"/>
      <c r="Z22" s="7"/>
      <c r="AA22" s="7" t="s">
        <v>70</v>
      </c>
      <c r="AB22" s="7" t="s">
        <v>78</v>
      </c>
      <c r="AC22" s="7"/>
      <c r="AD22" s="7" t="s">
        <v>80</v>
      </c>
      <c r="AE22" s="80"/>
      <c r="AF22" s="80"/>
      <c r="AG22" s="80" t="s">
        <v>73</v>
      </c>
      <c r="AH22" s="80" t="s">
        <v>80</v>
      </c>
      <c r="AI22" s="80"/>
      <c r="AJ22" s="7"/>
      <c r="AK22" s="7"/>
      <c r="AL22" s="8">
        <f t="shared" si="0"/>
        <v>160</v>
      </c>
      <c r="AM22" s="9">
        <v>6</v>
      </c>
      <c r="AN22" s="9"/>
    </row>
    <row r="23" spans="2:40" ht="15.75" customHeight="1" x14ac:dyDescent="0.3">
      <c r="B23" s="36">
        <v>11</v>
      </c>
      <c r="C23" s="37" t="s">
        <v>39</v>
      </c>
      <c r="D23" s="37">
        <v>1032503898</v>
      </c>
      <c r="E23" s="80"/>
      <c r="F23" s="80" t="s">
        <v>73</v>
      </c>
      <c r="G23" s="80" t="s">
        <v>80</v>
      </c>
      <c r="H23" s="7"/>
      <c r="I23" s="7" t="s">
        <v>70</v>
      </c>
      <c r="J23" s="80" t="s">
        <v>81</v>
      </c>
      <c r="K23" s="80"/>
      <c r="L23" s="80" t="s">
        <v>56</v>
      </c>
      <c r="M23" s="80"/>
      <c r="N23" s="80"/>
      <c r="O23" s="41"/>
      <c r="P23" s="7" t="s">
        <v>73</v>
      </c>
      <c r="Q23" s="7"/>
      <c r="R23" s="7" t="s">
        <v>78</v>
      </c>
      <c r="S23" s="80"/>
      <c r="T23" s="80" t="s">
        <v>75</v>
      </c>
      <c r="U23" s="80" t="s">
        <v>81</v>
      </c>
      <c r="V23" s="7" t="s">
        <v>78</v>
      </c>
      <c r="W23" s="7"/>
      <c r="X23" s="7"/>
      <c r="Y23" s="7" t="s">
        <v>73</v>
      </c>
      <c r="Z23" s="7"/>
      <c r="AA23" s="7"/>
      <c r="AB23" s="7"/>
      <c r="AC23" s="7" t="s">
        <v>83</v>
      </c>
      <c r="AD23" s="7"/>
      <c r="AE23" s="80"/>
      <c r="AF23" s="80" t="s">
        <v>81</v>
      </c>
      <c r="AG23" s="80" t="s">
        <v>83</v>
      </c>
      <c r="AH23" s="80"/>
      <c r="AI23" s="80" t="s">
        <v>81</v>
      </c>
      <c r="AJ23" s="7"/>
      <c r="AK23" s="7"/>
      <c r="AL23" s="8">
        <f t="shared" si="0"/>
        <v>160</v>
      </c>
      <c r="AM23" s="9">
        <v>6</v>
      </c>
      <c r="AN23" s="9"/>
    </row>
    <row r="24" spans="2:40" ht="15.75" customHeight="1" x14ac:dyDescent="0.3">
      <c r="B24" s="36">
        <v>12</v>
      </c>
      <c r="C24" s="37" t="s">
        <v>40</v>
      </c>
      <c r="D24" s="37">
        <v>1018471916</v>
      </c>
      <c r="E24" s="80"/>
      <c r="F24" s="80" t="s">
        <v>81</v>
      </c>
      <c r="G24" s="80"/>
      <c r="H24" s="7"/>
      <c r="I24" s="7"/>
      <c r="J24" s="80" t="s">
        <v>78</v>
      </c>
      <c r="K24" s="80"/>
      <c r="L24" s="80" t="s">
        <v>70</v>
      </c>
      <c r="M24" s="80" t="s">
        <v>75</v>
      </c>
      <c r="N24" s="80"/>
      <c r="O24" s="7" t="s">
        <v>83</v>
      </c>
      <c r="P24" s="7"/>
      <c r="Q24" s="7" t="s">
        <v>70</v>
      </c>
      <c r="R24" s="7" t="s">
        <v>83</v>
      </c>
      <c r="S24" s="7"/>
      <c r="T24" s="7"/>
      <c r="U24" s="7" t="s">
        <v>70</v>
      </c>
      <c r="V24" s="7" t="s">
        <v>83</v>
      </c>
      <c r="W24" s="7"/>
      <c r="X24" s="7"/>
      <c r="Y24" s="7" t="s">
        <v>81</v>
      </c>
      <c r="Z24" s="7" t="s">
        <v>83</v>
      </c>
      <c r="AA24" s="41"/>
      <c r="AB24" s="41"/>
      <c r="AC24" s="41"/>
      <c r="AD24" s="7"/>
      <c r="AE24" s="80" t="s">
        <v>81</v>
      </c>
      <c r="AF24" s="80" t="s">
        <v>83</v>
      </c>
      <c r="AG24" s="80"/>
      <c r="AH24" s="80"/>
      <c r="AI24" s="80" t="s">
        <v>78</v>
      </c>
      <c r="AJ24" s="7"/>
      <c r="AK24" s="7"/>
      <c r="AL24" s="8">
        <f t="shared" si="0"/>
        <v>158</v>
      </c>
      <c r="AM24" s="9">
        <v>7</v>
      </c>
      <c r="AN24" s="9"/>
    </row>
    <row r="25" spans="2:40" ht="15.75" customHeight="1" x14ac:dyDescent="0.3">
      <c r="B25" s="36">
        <v>13</v>
      </c>
      <c r="C25" s="37" t="s">
        <v>41</v>
      </c>
      <c r="D25" s="42">
        <v>1098786077</v>
      </c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7"/>
      <c r="AK25" s="7"/>
      <c r="AL25" s="8">
        <f t="shared" si="0"/>
        <v>0</v>
      </c>
      <c r="AM25" s="9"/>
      <c r="AN25" s="9"/>
    </row>
    <row r="26" spans="2:40" ht="15.75" customHeight="1" x14ac:dyDescent="0.3">
      <c r="B26" s="36">
        <v>14</v>
      </c>
      <c r="C26" s="37" t="s">
        <v>42</v>
      </c>
      <c r="D26" s="42">
        <v>1075253291</v>
      </c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7"/>
      <c r="AK26" s="7"/>
      <c r="AL26" s="8">
        <f t="shared" si="0"/>
        <v>0</v>
      </c>
      <c r="AM26" s="9"/>
      <c r="AN26" s="9"/>
    </row>
    <row r="27" spans="2:40" ht="15.75" customHeight="1" x14ac:dyDescent="0.3">
      <c r="B27" s="36">
        <v>15</v>
      </c>
      <c r="C27" s="37" t="s">
        <v>43</v>
      </c>
      <c r="D27" s="42">
        <v>1049623681</v>
      </c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7"/>
      <c r="AK27" s="7"/>
      <c r="AL27" s="8">
        <f t="shared" si="0"/>
        <v>0</v>
      </c>
      <c r="AM27" s="9"/>
      <c r="AN27" s="9"/>
    </row>
    <row r="28" spans="2:40" ht="15.75" customHeight="1" x14ac:dyDescent="0.3">
      <c r="B28" s="36">
        <v>16</v>
      </c>
      <c r="C28" s="37" t="s">
        <v>44</v>
      </c>
      <c r="D28" s="37">
        <v>1049651154</v>
      </c>
      <c r="E28" s="7"/>
      <c r="F28" s="7" t="s">
        <v>70</v>
      </c>
      <c r="G28" s="7"/>
      <c r="H28" s="7" t="s">
        <v>83</v>
      </c>
      <c r="I28" s="7"/>
      <c r="J28" s="7"/>
      <c r="K28" s="80" t="s">
        <v>81</v>
      </c>
      <c r="L28" s="80" t="s">
        <v>64</v>
      </c>
      <c r="M28" s="80" t="s">
        <v>75</v>
      </c>
      <c r="N28" s="80" t="s">
        <v>70</v>
      </c>
      <c r="O28" s="41"/>
      <c r="P28" s="41"/>
      <c r="Q28" s="41"/>
      <c r="R28" s="80"/>
      <c r="S28" s="80" t="s">
        <v>70</v>
      </c>
      <c r="T28" s="80"/>
      <c r="U28" s="80" t="s">
        <v>83</v>
      </c>
      <c r="V28" s="7"/>
      <c r="W28" s="7" t="s">
        <v>73</v>
      </c>
      <c r="X28" s="7"/>
      <c r="Y28" s="7" t="s">
        <v>80</v>
      </c>
      <c r="Z28" s="7"/>
      <c r="AA28" s="7" t="s">
        <v>78</v>
      </c>
      <c r="AB28" s="7"/>
      <c r="AC28" s="7" t="s">
        <v>81</v>
      </c>
      <c r="AD28" s="7" t="s">
        <v>83</v>
      </c>
      <c r="AE28" s="7"/>
      <c r="AF28" s="7"/>
      <c r="AG28" s="7"/>
      <c r="AH28" s="7" t="s">
        <v>81</v>
      </c>
      <c r="AI28" s="7" t="s">
        <v>83</v>
      </c>
      <c r="AJ28" s="7"/>
      <c r="AK28" s="7"/>
      <c r="AL28" s="8">
        <f t="shared" si="0"/>
        <v>172</v>
      </c>
      <c r="AM28" s="9">
        <v>7</v>
      </c>
      <c r="AN28" s="9"/>
    </row>
    <row r="29" spans="2:40" ht="15.75" customHeight="1" x14ac:dyDescent="0.3">
      <c r="B29" s="36">
        <v>17</v>
      </c>
      <c r="C29" s="37" t="s">
        <v>45</v>
      </c>
      <c r="D29" s="37">
        <v>1082216762</v>
      </c>
      <c r="E29" s="7" t="s">
        <v>81</v>
      </c>
      <c r="F29" s="7" t="s">
        <v>83</v>
      </c>
      <c r="G29" s="7"/>
      <c r="H29" s="7"/>
      <c r="I29" s="7" t="s">
        <v>83</v>
      </c>
      <c r="J29" s="7"/>
      <c r="K29" s="80" t="s">
        <v>70</v>
      </c>
      <c r="L29" s="80" t="s">
        <v>60</v>
      </c>
      <c r="M29" s="80" t="s">
        <v>75</v>
      </c>
      <c r="N29" s="80"/>
      <c r="O29" s="41"/>
      <c r="P29" s="41"/>
      <c r="Q29" s="41"/>
      <c r="R29" s="80" t="s">
        <v>81</v>
      </c>
      <c r="S29" s="80"/>
      <c r="T29" s="80" t="s">
        <v>81</v>
      </c>
      <c r="U29" s="80"/>
      <c r="V29" s="7"/>
      <c r="W29" s="7"/>
      <c r="X29" s="7" t="s">
        <v>81</v>
      </c>
      <c r="Y29" s="7" t="s">
        <v>83</v>
      </c>
      <c r="Z29" s="7"/>
      <c r="AA29" s="7" t="s">
        <v>80</v>
      </c>
      <c r="AB29" s="7"/>
      <c r="AC29" s="7"/>
      <c r="AD29" s="7" t="s">
        <v>81</v>
      </c>
      <c r="AE29" s="7" t="s">
        <v>83</v>
      </c>
      <c r="AF29" s="7"/>
      <c r="AG29" s="7"/>
      <c r="AH29" s="7" t="s">
        <v>78</v>
      </c>
      <c r="AI29" s="7"/>
      <c r="AJ29" s="7"/>
      <c r="AK29" s="7"/>
      <c r="AL29" s="8">
        <f t="shared" si="0"/>
        <v>160</v>
      </c>
      <c r="AM29" s="9">
        <v>7</v>
      </c>
      <c r="AN29" s="9"/>
    </row>
    <row r="30" spans="2:40" ht="15.75" customHeight="1" x14ac:dyDescent="0.3">
      <c r="B30" s="36">
        <v>18</v>
      </c>
      <c r="C30" s="37"/>
      <c r="D30" s="3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8">
        <f t="shared" si="0"/>
        <v>0</v>
      </c>
      <c r="AM30" s="9"/>
      <c r="AN30" s="9"/>
    </row>
    <row r="31" spans="2:40" ht="15.75" customHeight="1" x14ac:dyDescent="0.3">
      <c r="B31" s="36">
        <v>19</v>
      </c>
      <c r="C31" s="37"/>
      <c r="D31" s="3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8">
        <f t="shared" si="0"/>
        <v>0</v>
      </c>
      <c r="AM31" s="9"/>
      <c r="AN31" s="9"/>
    </row>
    <row r="32" spans="2:40" ht="15.75" customHeight="1" x14ac:dyDescent="0.3">
      <c r="B32" s="36">
        <v>20</v>
      </c>
      <c r="C32" s="37"/>
      <c r="D32" s="3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8">
        <f t="shared" si="0"/>
        <v>0</v>
      </c>
      <c r="AM32" s="9"/>
      <c r="AN32" s="9"/>
    </row>
    <row r="33" spans="2:40" ht="15.75" customHeight="1" x14ac:dyDescent="0.3">
      <c r="B33" s="36">
        <v>21</v>
      </c>
      <c r="C33" s="37"/>
      <c r="D33" s="3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8">
        <f t="shared" si="0"/>
        <v>0</v>
      </c>
      <c r="AM33" s="9"/>
      <c r="AN33" s="9"/>
    </row>
    <row r="34" spans="2:40" ht="15.75" customHeight="1" x14ac:dyDescent="0.3">
      <c r="B34" s="36">
        <v>22</v>
      </c>
      <c r="C34" s="37"/>
      <c r="D34" s="3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8">
        <f t="shared" si="0"/>
        <v>0</v>
      </c>
      <c r="AM34" s="9"/>
      <c r="AN34" s="9"/>
    </row>
    <row r="35" spans="2:40" ht="15.75" customHeight="1" x14ac:dyDescent="0.3">
      <c r="B35" s="36">
        <v>23</v>
      </c>
      <c r="C35" s="37"/>
      <c r="D35" s="3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8">
        <f t="shared" si="0"/>
        <v>0</v>
      </c>
      <c r="AM35" s="9"/>
      <c r="AN35" s="9"/>
    </row>
    <row r="36" spans="2:40" ht="15.75" customHeight="1" x14ac:dyDescent="0.3">
      <c r="B36" s="36">
        <v>24</v>
      </c>
      <c r="C36" s="37"/>
      <c r="D36" s="3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8">
        <f t="shared" si="0"/>
        <v>0</v>
      </c>
      <c r="AM36" s="9"/>
      <c r="AN36" s="9"/>
    </row>
    <row r="37" spans="2:40" ht="15.75" customHeight="1" x14ac:dyDescent="0.3">
      <c r="B37" s="36">
        <v>25</v>
      </c>
      <c r="C37" s="37"/>
      <c r="D37" s="3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8">
        <f t="shared" si="0"/>
        <v>0</v>
      </c>
      <c r="AM37" s="9"/>
      <c r="AN37" s="9"/>
    </row>
    <row r="38" spans="2:40" ht="15.75" customHeight="1" x14ac:dyDescent="0.3">
      <c r="B38" s="36">
        <v>26</v>
      </c>
      <c r="C38" s="37"/>
      <c r="D38" s="3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8">
        <f t="shared" si="0"/>
        <v>0</v>
      </c>
      <c r="AM38" s="9"/>
      <c r="AN38" s="9"/>
    </row>
    <row r="39" spans="2:40" ht="15.75" customHeight="1" x14ac:dyDescent="0.3">
      <c r="B39" s="36">
        <v>27</v>
      </c>
      <c r="C39" s="37"/>
      <c r="D39" s="3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8">
        <f t="shared" si="0"/>
        <v>0</v>
      </c>
      <c r="AM39" s="9"/>
      <c r="AN39" s="9"/>
    </row>
    <row r="40" spans="2:40" ht="15.75" customHeight="1" x14ac:dyDescent="0.3">
      <c r="B40" s="36">
        <v>28</v>
      </c>
      <c r="C40" s="37"/>
      <c r="D40" s="3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8">
        <f t="shared" si="0"/>
        <v>0</v>
      </c>
      <c r="AM40" s="9"/>
      <c r="AN40" s="9"/>
    </row>
    <row r="41" spans="2:40" ht="15.75" customHeight="1" x14ac:dyDescent="0.3">
      <c r="B41" s="36">
        <v>29</v>
      </c>
      <c r="C41" s="37"/>
      <c r="D41" s="3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8">
        <f t="shared" si="0"/>
        <v>0</v>
      </c>
      <c r="AM41" s="9"/>
      <c r="AN41" s="9"/>
    </row>
    <row r="42" spans="2:40" ht="15.75" customHeight="1" x14ac:dyDescent="0.3">
      <c r="B42" s="36">
        <v>30</v>
      </c>
      <c r="C42" s="37"/>
      <c r="D42" s="3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8">
        <f t="shared" si="0"/>
        <v>0</v>
      </c>
      <c r="AM42" s="9"/>
      <c r="AN42" s="9"/>
    </row>
    <row r="43" spans="2:40" ht="15.75" customHeight="1" x14ac:dyDescent="0.3">
      <c r="B43" s="36">
        <v>31</v>
      </c>
      <c r="C43" s="37"/>
      <c r="D43" s="3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8">
        <f t="shared" si="0"/>
        <v>0</v>
      </c>
      <c r="AM43" s="9"/>
      <c r="AN43" s="9"/>
    </row>
    <row r="44" spans="2:40" ht="15.75" customHeight="1" x14ac:dyDescent="0.3">
      <c r="B44" s="36">
        <v>32</v>
      </c>
      <c r="C44" s="37"/>
      <c r="D44" s="3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8">
        <f t="shared" si="0"/>
        <v>0</v>
      </c>
      <c r="AM44" s="9"/>
      <c r="AN44" s="9"/>
    </row>
    <row r="45" spans="2:40" ht="15.75" customHeight="1" x14ac:dyDescent="0.3">
      <c r="B45" s="36">
        <v>33</v>
      </c>
      <c r="C45" s="37"/>
      <c r="D45" s="3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8">
        <f t="shared" ref="AL45:AL72" si="1">IFERROR(VLOOKUP(E45,$B$75:$E$101,4,FALSE),0)+
IFERROR(VLOOKUP(F45,$B$75:$E$101,4,FALSE),0)+
IFERROR(VLOOKUP(G45,$B$75:$E$101,4,FALSE),0)+
IFERROR(VLOOKUP(H45,$B$75:$E$101,4,FALSE),0)+
IFERROR(VLOOKUP(I45,$B$75:$E$101,4,FALSE),0)+
IFERROR(VLOOKUP(J45,$B$75:$E$101,4,FALSE),0)+
IFERROR(VLOOKUP(K45,$B$75:$E$101,4,FALSE),0)+
IFERROR(VLOOKUP(L45,$B$75:$E$101,4,FALSE),0)+
IFERROR(VLOOKUP(M45,$B$75:$E$101,4,FALSE),0)+
IFERROR(VLOOKUP(N45,$B$75:$E$101,4,FALSE),0)+
IFERROR(VLOOKUP(O45,$B$75:$E$101,4,FALSE),0)+
IFERROR(VLOOKUP(P45,$B$75:$E$101,4,FALSE),0)+
IFERROR(VLOOKUP(Q45,$B$75:$E$101,4,FALSE),0)+
IFERROR(VLOOKUP(R45,$B$75:$E$101,4,FALSE),0)+
IFERROR(VLOOKUP(S45,$B$75:$E$101,4,FALSE),0)+
IFERROR(VLOOKUP(T45,$B$75:$E$101,4,FALSE),0)+
IFERROR(VLOOKUP(U45,$B$75:$E$101,4,FALSE),0)+
IFERROR(VLOOKUP(V45,$B$75:$E$101,4,FALSE),0)+
IFERROR(VLOOKUP(W45,$B$75:$E$101,4,FALSE),0)+
IFERROR(VLOOKUP(X45,$B$75:$E$101,4,FALSE),0)+
IFERROR(VLOOKUP(Y45,$B$75:$E$101,4,FALSE),0)+
IFERROR(VLOOKUP(Z45,$B$75:$E$101,4,FALSE),0)+
IFERROR(VLOOKUP(AA45,$B$75:$E$101,4,FALSE),0)+
IFERROR(VLOOKUP(AB45,$B$75:$E$101,4,FALSE),0)+
IFERROR(VLOOKUP(AC45,$B$75:$E$101,4,FALSE),0)+
IFERROR(VLOOKUP(AD45,$B$75:$E$101,4,FALSE),0)+
IFERROR(VLOOKUP(AE45,$B$75:$E$101,4,FALSE),0)+
IFERROR(VLOOKUP(AF45,$B$75:$E$101,4,FALSE),0)+
IFERROR(VLOOKUP(AG45,$B$75:$E$101,4,FALSE),0)+
IFERROR(VLOOKUP(AH45,$B$75:$E$101,4,FALSE),0)+
IFERROR(VLOOKUP(AI45,$B$75:$E$101,4,FALSE),0)+
IFERROR(VLOOKUP(AJ45,$B$75:$E$101,4,FALSE),0)</f>
        <v>0</v>
      </c>
      <c r="AM45" s="9"/>
      <c r="AN45" s="9"/>
    </row>
    <row r="46" spans="2:40" ht="15.75" customHeight="1" x14ac:dyDescent="0.3">
      <c r="B46" s="36">
        <v>34</v>
      </c>
      <c r="C46" s="37"/>
      <c r="D46" s="3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8">
        <f t="shared" si="1"/>
        <v>0</v>
      </c>
      <c r="AM46" s="9"/>
      <c r="AN46" s="9"/>
    </row>
    <row r="47" spans="2:40" ht="15.75" customHeight="1" x14ac:dyDescent="0.3">
      <c r="B47" s="36">
        <v>35</v>
      </c>
      <c r="C47" s="37"/>
      <c r="D47" s="3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8">
        <f t="shared" si="1"/>
        <v>0</v>
      </c>
      <c r="AM47" s="9"/>
      <c r="AN47" s="9"/>
    </row>
    <row r="48" spans="2:40" ht="15.75" customHeight="1" x14ac:dyDescent="0.3">
      <c r="B48" s="36">
        <v>36</v>
      </c>
      <c r="C48" s="37"/>
      <c r="D48" s="3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8">
        <f t="shared" si="1"/>
        <v>0</v>
      </c>
      <c r="AM48" s="9"/>
      <c r="AN48" s="9"/>
    </row>
    <row r="49" spans="2:40" ht="15.75" customHeight="1" x14ac:dyDescent="0.3">
      <c r="B49" s="36">
        <v>37</v>
      </c>
      <c r="C49" s="37"/>
      <c r="D49" s="3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8">
        <f t="shared" si="1"/>
        <v>0</v>
      </c>
      <c r="AM49" s="9"/>
      <c r="AN49" s="9"/>
    </row>
    <row r="50" spans="2:40" ht="15.75" customHeight="1" x14ac:dyDescent="0.3">
      <c r="B50" s="36">
        <v>38</v>
      </c>
      <c r="C50" s="37"/>
      <c r="D50" s="3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>
        <f t="shared" si="1"/>
        <v>0</v>
      </c>
      <c r="AM50" s="9"/>
      <c r="AN50" s="9"/>
    </row>
    <row r="51" spans="2:40" ht="15.75" customHeight="1" x14ac:dyDescent="0.3">
      <c r="B51" s="36">
        <v>39</v>
      </c>
      <c r="C51" s="37"/>
      <c r="D51" s="3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8">
        <f t="shared" si="1"/>
        <v>0</v>
      </c>
      <c r="AM51" s="9"/>
      <c r="AN51" s="9"/>
    </row>
    <row r="52" spans="2:40" ht="15.75" customHeight="1" x14ac:dyDescent="0.3">
      <c r="B52" s="36">
        <v>40</v>
      </c>
      <c r="C52" s="37"/>
      <c r="D52" s="3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8">
        <f t="shared" si="1"/>
        <v>0</v>
      </c>
      <c r="AM52" s="9"/>
      <c r="AN52" s="9"/>
    </row>
    <row r="53" spans="2:40" ht="15.75" customHeight="1" x14ac:dyDescent="0.3">
      <c r="B53" s="36">
        <v>41</v>
      </c>
      <c r="C53" s="37"/>
      <c r="D53" s="3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8">
        <f t="shared" si="1"/>
        <v>0</v>
      </c>
      <c r="AM53" s="9"/>
      <c r="AN53" s="9"/>
    </row>
    <row r="54" spans="2:40" ht="15.75" customHeight="1" x14ac:dyDescent="0.3">
      <c r="B54" s="36">
        <v>42</v>
      </c>
      <c r="C54" s="37"/>
      <c r="D54" s="3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8">
        <f t="shared" si="1"/>
        <v>0</v>
      </c>
      <c r="AM54" s="9"/>
      <c r="AN54" s="9"/>
    </row>
    <row r="55" spans="2:40" ht="15.75" customHeight="1" x14ac:dyDescent="0.3">
      <c r="B55" s="36">
        <v>43</v>
      </c>
      <c r="C55" s="37"/>
      <c r="D55" s="3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8">
        <f t="shared" si="1"/>
        <v>0</v>
      </c>
      <c r="AM55" s="9"/>
      <c r="AN55" s="9"/>
    </row>
    <row r="56" spans="2:40" ht="15.75" customHeight="1" x14ac:dyDescent="0.3">
      <c r="B56" s="36">
        <v>44</v>
      </c>
      <c r="C56" s="37"/>
      <c r="D56" s="3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8">
        <f t="shared" si="1"/>
        <v>0</v>
      </c>
      <c r="AM56" s="9"/>
      <c r="AN56" s="9"/>
    </row>
    <row r="57" spans="2:40" ht="15.75" customHeight="1" x14ac:dyDescent="0.3">
      <c r="B57" s="36">
        <v>45</v>
      </c>
      <c r="C57" s="37"/>
      <c r="D57" s="3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8">
        <f t="shared" si="1"/>
        <v>0</v>
      </c>
      <c r="AM57" s="9"/>
      <c r="AN57" s="9"/>
    </row>
    <row r="58" spans="2:40" ht="15.75" customHeight="1" x14ac:dyDescent="0.3">
      <c r="B58" s="36">
        <v>46</v>
      </c>
      <c r="C58" s="37"/>
      <c r="D58" s="3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8">
        <f t="shared" si="1"/>
        <v>0</v>
      </c>
      <c r="AM58" s="9"/>
      <c r="AN58" s="9"/>
    </row>
    <row r="59" spans="2:40" ht="15.75" customHeight="1" x14ac:dyDescent="0.3">
      <c r="B59" s="36">
        <v>47</v>
      </c>
      <c r="C59" s="37"/>
      <c r="D59" s="3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8">
        <f t="shared" si="1"/>
        <v>0</v>
      </c>
      <c r="AM59" s="9"/>
      <c r="AN59" s="9"/>
    </row>
    <row r="60" spans="2:40" ht="15.75" customHeight="1" x14ac:dyDescent="0.3">
      <c r="B60" s="36">
        <v>48</v>
      </c>
      <c r="C60" s="37"/>
      <c r="D60" s="3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8">
        <f t="shared" si="1"/>
        <v>0</v>
      </c>
      <c r="AM60" s="9"/>
      <c r="AN60" s="9"/>
    </row>
    <row r="61" spans="2:40" ht="15.75" customHeight="1" x14ac:dyDescent="0.3">
      <c r="B61" s="36">
        <v>49</v>
      </c>
      <c r="C61" s="37"/>
      <c r="D61" s="3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8">
        <f t="shared" si="1"/>
        <v>0</v>
      </c>
      <c r="AM61" s="9"/>
      <c r="AN61" s="9"/>
    </row>
    <row r="62" spans="2:40" ht="15.75" customHeight="1" x14ac:dyDescent="0.3">
      <c r="B62" s="36">
        <v>50</v>
      </c>
      <c r="C62" s="37"/>
      <c r="D62" s="3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8">
        <f t="shared" si="1"/>
        <v>0</v>
      </c>
      <c r="AM62" s="9"/>
      <c r="AN62" s="9"/>
    </row>
    <row r="63" spans="2:40" ht="15.75" customHeight="1" x14ac:dyDescent="0.3">
      <c r="B63" s="36">
        <v>51</v>
      </c>
      <c r="C63" s="37"/>
      <c r="D63" s="3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8">
        <f t="shared" si="1"/>
        <v>0</v>
      </c>
      <c r="AM63" s="9"/>
      <c r="AN63" s="9"/>
    </row>
    <row r="64" spans="2:40" ht="15.75" customHeight="1" x14ac:dyDescent="0.3">
      <c r="B64" s="36">
        <v>52</v>
      </c>
      <c r="C64" s="37"/>
      <c r="D64" s="3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8">
        <f t="shared" si="1"/>
        <v>0</v>
      </c>
      <c r="AM64" s="9"/>
      <c r="AN64" s="9"/>
    </row>
    <row r="65" spans="2:40" ht="15.75" customHeight="1" x14ac:dyDescent="0.3">
      <c r="B65" s="36">
        <v>53</v>
      </c>
      <c r="C65" s="37"/>
      <c r="D65" s="3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8">
        <f t="shared" si="1"/>
        <v>0</v>
      </c>
      <c r="AM65" s="9"/>
      <c r="AN65" s="9"/>
    </row>
    <row r="66" spans="2:40" ht="15.75" customHeight="1" x14ac:dyDescent="0.3">
      <c r="B66" s="36">
        <v>54</v>
      </c>
      <c r="C66" s="37"/>
      <c r="D66" s="3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8">
        <f t="shared" si="1"/>
        <v>0</v>
      </c>
      <c r="AM66" s="9"/>
      <c r="AN66" s="9"/>
    </row>
    <row r="67" spans="2:40" ht="15.75" customHeight="1" x14ac:dyDescent="0.3">
      <c r="B67" s="36">
        <v>55</v>
      </c>
      <c r="C67" s="37"/>
      <c r="D67" s="3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8">
        <f t="shared" si="1"/>
        <v>0</v>
      </c>
      <c r="AM67" s="9"/>
      <c r="AN67" s="9"/>
    </row>
    <row r="68" spans="2:40" ht="15.75" customHeight="1" x14ac:dyDescent="0.3">
      <c r="B68" s="36">
        <v>56</v>
      </c>
      <c r="C68" s="37"/>
      <c r="D68" s="3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8">
        <f t="shared" si="1"/>
        <v>0</v>
      </c>
      <c r="AM68" s="9"/>
      <c r="AN68" s="9"/>
    </row>
    <row r="69" spans="2:40" ht="15.75" customHeight="1" x14ac:dyDescent="0.3">
      <c r="B69" s="36">
        <v>57</v>
      </c>
      <c r="C69" s="37"/>
      <c r="D69" s="3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8">
        <f t="shared" si="1"/>
        <v>0</v>
      </c>
      <c r="AM69" s="9"/>
      <c r="AN69" s="9"/>
    </row>
    <row r="70" spans="2:40" ht="15.75" customHeight="1" x14ac:dyDescent="0.3">
      <c r="B70" s="36">
        <v>58</v>
      </c>
      <c r="C70" s="37"/>
      <c r="D70" s="3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8">
        <f t="shared" si="1"/>
        <v>0</v>
      </c>
      <c r="AM70" s="9"/>
      <c r="AN70" s="9"/>
    </row>
    <row r="71" spans="2:40" ht="15.75" customHeight="1" x14ac:dyDescent="0.3">
      <c r="B71" s="39">
        <v>59</v>
      </c>
      <c r="C71" s="40"/>
      <c r="D71" s="40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8">
        <f t="shared" si="1"/>
        <v>0</v>
      </c>
      <c r="AM71" s="9"/>
      <c r="AN71" s="9"/>
    </row>
    <row r="72" spans="2:40" ht="15.75" customHeight="1" x14ac:dyDescent="0.3">
      <c r="B72" s="36">
        <v>60</v>
      </c>
      <c r="C72" s="37"/>
      <c r="D72" s="37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8">
        <f t="shared" si="1"/>
        <v>0</v>
      </c>
      <c r="AM72" s="9"/>
      <c r="AN72" s="9"/>
    </row>
    <row r="73" spans="2:40" ht="16.05" customHeight="1" x14ac:dyDescent="0.3">
      <c r="K73" s="51" t="s">
        <v>46</v>
      </c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3"/>
    </row>
    <row r="74" spans="2:40" x14ac:dyDescent="0.3">
      <c r="B74" s="27" t="s">
        <v>47</v>
      </c>
      <c r="C74" s="28" t="s">
        <v>48</v>
      </c>
      <c r="D74" s="29" t="s">
        <v>48</v>
      </c>
      <c r="E74" s="61" t="s">
        <v>49</v>
      </c>
      <c r="F74" s="62"/>
      <c r="G74" s="63" t="s">
        <v>50</v>
      </c>
      <c r="H74" s="63"/>
      <c r="I74" s="63"/>
      <c r="K74" s="54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6"/>
    </row>
    <row r="75" spans="2:40" ht="41.25" customHeight="1" x14ac:dyDescent="0.3">
      <c r="B75" s="1" t="s">
        <v>51</v>
      </c>
      <c r="C75" s="2" t="s">
        <v>52</v>
      </c>
      <c r="D75" s="3">
        <v>2</v>
      </c>
      <c r="E75" s="43">
        <v>2</v>
      </c>
      <c r="F75" s="44"/>
      <c r="G75" s="45" t="s">
        <v>53</v>
      </c>
      <c r="H75" s="45"/>
      <c r="I75" s="45"/>
      <c r="K75" s="67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9"/>
    </row>
    <row r="76" spans="2:40" ht="41.25" customHeight="1" x14ac:dyDescent="0.3">
      <c r="B76" s="1" t="s">
        <v>54</v>
      </c>
      <c r="C76" s="2" t="s">
        <v>55</v>
      </c>
      <c r="D76" s="3">
        <v>2</v>
      </c>
      <c r="E76" s="43">
        <v>2</v>
      </c>
      <c r="F76" s="44"/>
      <c r="G76" s="45" t="s">
        <v>53</v>
      </c>
      <c r="H76" s="45"/>
      <c r="I76" s="45"/>
      <c r="U76" s="30"/>
      <c r="V76" s="30"/>
      <c r="W76" s="30"/>
      <c r="X76" s="30"/>
      <c r="Y76" s="31"/>
      <c r="Z76" s="31"/>
    </row>
    <row r="77" spans="2:40" ht="41.25" customHeight="1" x14ac:dyDescent="0.4">
      <c r="B77" s="1" t="s">
        <v>56</v>
      </c>
      <c r="C77" s="2" t="s">
        <v>57</v>
      </c>
      <c r="D77" s="3">
        <v>2</v>
      </c>
      <c r="E77" s="43">
        <v>2</v>
      </c>
      <c r="F77" s="44"/>
      <c r="G77" s="45" t="s">
        <v>58</v>
      </c>
      <c r="H77" s="45"/>
      <c r="I77" s="45"/>
      <c r="U77" s="66" t="s">
        <v>59</v>
      </c>
      <c r="V77" s="66"/>
      <c r="W77" s="66"/>
      <c r="X77" s="66"/>
      <c r="Y77" s="66"/>
      <c r="Z77" s="66"/>
    </row>
    <row r="78" spans="2:40" ht="41.25" customHeight="1" x14ac:dyDescent="0.4">
      <c r="B78" s="1" t="s">
        <v>60</v>
      </c>
      <c r="C78" s="2" t="s">
        <v>61</v>
      </c>
      <c r="D78" s="3" t="s">
        <v>62</v>
      </c>
      <c r="E78" s="43">
        <v>14</v>
      </c>
      <c r="F78" s="44"/>
      <c r="G78" s="45" t="s">
        <v>63</v>
      </c>
      <c r="H78" s="45"/>
      <c r="I78" s="45"/>
      <c r="U78" s="32"/>
      <c r="V78" s="33"/>
      <c r="W78" s="34"/>
    </row>
    <row r="79" spans="2:40" ht="41.25" customHeight="1" x14ac:dyDescent="0.3">
      <c r="B79" s="1" t="s">
        <v>64</v>
      </c>
      <c r="C79" s="2" t="s">
        <v>65</v>
      </c>
      <c r="D79" s="3" t="s">
        <v>66</v>
      </c>
      <c r="E79" s="43">
        <v>14</v>
      </c>
      <c r="F79" s="44"/>
      <c r="G79" s="45" t="s">
        <v>67</v>
      </c>
      <c r="H79" s="45"/>
      <c r="I79" s="45"/>
    </row>
    <row r="80" spans="2:40" ht="41.25" customHeight="1" x14ac:dyDescent="0.3">
      <c r="B80" s="1" t="s">
        <v>68</v>
      </c>
      <c r="C80" s="2" t="s">
        <v>61</v>
      </c>
      <c r="D80" s="3" t="s">
        <v>62</v>
      </c>
      <c r="E80" s="43">
        <v>14</v>
      </c>
      <c r="F80" s="44"/>
      <c r="G80" s="45" t="s">
        <v>69</v>
      </c>
      <c r="H80" s="45"/>
      <c r="I80" s="45"/>
    </row>
    <row r="81" spans="1:9" ht="41.25" customHeight="1" x14ac:dyDescent="0.3">
      <c r="B81" s="1" t="s">
        <v>70</v>
      </c>
      <c r="C81" s="2" t="s">
        <v>71</v>
      </c>
      <c r="D81" s="3">
        <v>12</v>
      </c>
      <c r="E81" s="43">
        <v>12</v>
      </c>
      <c r="F81" s="44"/>
      <c r="G81" s="45" t="s">
        <v>72</v>
      </c>
      <c r="H81" s="45"/>
      <c r="I81" s="45"/>
    </row>
    <row r="82" spans="1:9" ht="41.25" customHeight="1" x14ac:dyDescent="0.3">
      <c r="B82" s="1" t="s">
        <v>73</v>
      </c>
      <c r="C82" s="2" t="s">
        <v>71</v>
      </c>
      <c r="D82" s="3">
        <v>12</v>
      </c>
      <c r="E82" s="43">
        <v>12</v>
      </c>
      <c r="F82" s="44"/>
      <c r="G82" s="45" t="s">
        <v>74</v>
      </c>
      <c r="H82" s="45"/>
      <c r="I82" s="45"/>
    </row>
    <row r="83" spans="1:9" ht="41.25" customHeight="1" x14ac:dyDescent="0.3">
      <c r="B83" s="1" t="s">
        <v>75</v>
      </c>
      <c r="C83" s="2" t="s">
        <v>76</v>
      </c>
      <c r="D83" s="3">
        <v>2</v>
      </c>
      <c r="E83" s="43">
        <v>2</v>
      </c>
      <c r="F83" s="44"/>
      <c r="G83" s="45" t="s">
        <v>77</v>
      </c>
      <c r="H83" s="45"/>
      <c r="I83" s="45"/>
    </row>
    <row r="84" spans="1:9" ht="41.25" customHeight="1" x14ac:dyDescent="0.3">
      <c r="B84" s="1" t="s">
        <v>78</v>
      </c>
      <c r="C84" s="2" t="s">
        <v>79</v>
      </c>
      <c r="D84" s="3">
        <v>12</v>
      </c>
      <c r="E84" s="43">
        <v>12</v>
      </c>
      <c r="F84" s="44"/>
      <c r="G84" s="45" t="s">
        <v>72</v>
      </c>
      <c r="H84" s="45"/>
      <c r="I84" s="45"/>
    </row>
    <row r="85" spans="1:9" ht="41.25" customHeight="1" x14ac:dyDescent="0.3">
      <c r="B85" s="1" t="s">
        <v>80</v>
      </c>
      <c r="C85" s="2" t="s">
        <v>79</v>
      </c>
      <c r="D85" s="3">
        <v>12</v>
      </c>
      <c r="E85" s="43">
        <v>12</v>
      </c>
      <c r="F85" s="44"/>
      <c r="G85" s="45" t="s">
        <v>74</v>
      </c>
      <c r="H85" s="45"/>
      <c r="I85" s="45"/>
    </row>
    <row r="86" spans="1:9" ht="41.25" customHeight="1" x14ac:dyDescent="0.3">
      <c r="B86" s="1" t="s">
        <v>81</v>
      </c>
      <c r="C86" s="2" t="s">
        <v>71</v>
      </c>
      <c r="D86" s="3">
        <v>12</v>
      </c>
      <c r="E86" s="43">
        <v>12</v>
      </c>
      <c r="F86" s="44"/>
      <c r="G86" s="45" t="s">
        <v>82</v>
      </c>
      <c r="H86" s="45"/>
      <c r="I86" s="45"/>
    </row>
    <row r="87" spans="1:9" ht="41.25" customHeight="1" x14ac:dyDescent="0.3">
      <c r="B87" s="1" t="s">
        <v>83</v>
      </c>
      <c r="C87" s="2" t="s">
        <v>79</v>
      </c>
      <c r="D87" s="3">
        <v>12</v>
      </c>
      <c r="E87" s="43">
        <v>12</v>
      </c>
      <c r="F87" s="44"/>
      <c r="G87" s="45" t="s">
        <v>82</v>
      </c>
      <c r="H87" s="45"/>
      <c r="I87" s="45"/>
    </row>
    <row r="88" spans="1:9" ht="41.25" customHeight="1" x14ac:dyDescent="0.3">
      <c r="B88" s="1" t="s">
        <v>84</v>
      </c>
      <c r="C88" s="2" t="s">
        <v>85</v>
      </c>
      <c r="D88" s="3">
        <v>6</v>
      </c>
      <c r="E88" s="43">
        <v>6</v>
      </c>
      <c r="F88" s="44"/>
      <c r="G88" s="45" t="s">
        <v>86</v>
      </c>
      <c r="H88" s="45"/>
      <c r="I88" s="45"/>
    </row>
    <row r="89" spans="1:9" ht="41.25" customHeight="1" x14ac:dyDescent="0.3">
      <c r="B89" s="1" t="s">
        <v>87</v>
      </c>
      <c r="C89" s="2" t="s">
        <v>88</v>
      </c>
      <c r="D89" s="3" t="s">
        <v>89</v>
      </c>
      <c r="E89" s="43">
        <v>8</v>
      </c>
      <c r="F89" s="44"/>
      <c r="G89" s="45" t="s">
        <v>90</v>
      </c>
      <c r="H89" s="45"/>
      <c r="I89" s="45"/>
    </row>
    <row r="90" spans="1:9" ht="41.25" customHeight="1" x14ac:dyDescent="0.3">
      <c r="B90" s="1"/>
      <c r="C90" s="2"/>
      <c r="D90" s="3"/>
      <c r="E90" s="43"/>
      <c r="F90" s="44"/>
      <c r="G90" s="45"/>
      <c r="H90" s="45"/>
      <c r="I90" s="45"/>
    </row>
    <row r="91" spans="1:9" ht="41.25" customHeight="1" x14ac:dyDescent="0.3">
      <c r="B91" s="1"/>
      <c r="C91" s="2"/>
      <c r="D91" s="3"/>
      <c r="E91" s="43"/>
      <c r="F91" s="44"/>
      <c r="G91" s="45"/>
      <c r="H91" s="45"/>
      <c r="I91" s="45"/>
    </row>
    <row r="92" spans="1:9" ht="41.25" customHeight="1" x14ac:dyDescent="0.3">
      <c r="A92" s="35"/>
      <c r="B92" s="1"/>
      <c r="C92" s="2"/>
      <c r="D92" s="3"/>
      <c r="E92" s="43"/>
      <c r="F92" s="44"/>
      <c r="G92" s="45"/>
      <c r="H92" s="45"/>
      <c r="I92" s="45"/>
    </row>
    <row r="93" spans="1:9" ht="41.25" customHeight="1" x14ac:dyDescent="0.3">
      <c r="B93" s="1"/>
      <c r="C93" s="2"/>
      <c r="D93" s="3"/>
      <c r="E93" s="43"/>
      <c r="F93" s="44"/>
      <c r="G93" s="45"/>
      <c r="H93" s="45"/>
      <c r="I93" s="45"/>
    </row>
    <row r="94" spans="1:9" ht="41.25" customHeight="1" x14ac:dyDescent="0.3">
      <c r="B94" s="1"/>
      <c r="C94" s="2"/>
      <c r="D94" s="3"/>
      <c r="E94" s="43"/>
      <c r="F94" s="44"/>
      <c r="G94" s="45"/>
      <c r="H94" s="45"/>
      <c r="I94" s="45"/>
    </row>
    <row r="95" spans="1:9" ht="41.25" customHeight="1" x14ac:dyDescent="0.3">
      <c r="B95" s="1"/>
      <c r="C95" s="2"/>
      <c r="D95" s="3"/>
      <c r="E95" s="43"/>
      <c r="F95" s="44"/>
      <c r="G95" s="45"/>
      <c r="H95" s="45"/>
      <c r="I95" s="45"/>
    </row>
    <row r="96" spans="1:9" ht="41.25" customHeight="1" x14ac:dyDescent="0.3">
      <c r="B96" s="1"/>
      <c r="C96" s="2"/>
      <c r="D96" s="3"/>
      <c r="E96" s="43"/>
      <c r="F96" s="44"/>
      <c r="G96" s="45"/>
      <c r="H96" s="45"/>
      <c r="I96" s="45"/>
    </row>
    <row r="97" spans="2:9" ht="41.25" customHeight="1" x14ac:dyDescent="0.3">
      <c r="B97" s="1"/>
      <c r="C97" s="2"/>
      <c r="D97" s="3"/>
      <c r="E97" s="43"/>
      <c r="F97" s="44"/>
      <c r="G97" s="45"/>
      <c r="H97" s="45"/>
      <c r="I97" s="45"/>
    </row>
    <row r="98" spans="2:9" ht="41.25" customHeight="1" x14ac:dyDescent="0.3">
      <c r="B98" s="1"/>
      <c r="C98" s="2"/>
      <c r="D98" s="3"/>
      <c r="E98" s="43"/>
      <c r="F98" s="44"/>
      <c r="G98" s="45"/>
      <c r="H98" s="45"/>
      <c r="I98" s="45"/>
    </row>
    <row r="99" spans="2:9" ht="41.25" customHeight="1" x14ac:dyDescent="0.3">
      <c r="B99" s="1"/>
      <c r="C99" s="2"/>
      <c r="D99" s="3"/>
      <c r="E99" s="43"/>
      <c r="F99" s="44"/>
      <c r="G99" s="45"/>
      <c r="H99" s="45"/>
      <c r="I99" s="45"/>
    </row>
    <row r="100" spans="2:9" ht="41.25" customHeight="1" x14ac:dyDescent="0.3">
      <c r="B100" s="1"/>
      <c r="C100" s="2"/>
      <c r="D100" s="3"/>
      <c r="E100" s="43"/>
      <c r="F100" s="44"/>
      <c r="G100" s="45"/>
      <c r="H100" s="45"/>
      <c r="I100" s="45"/>
    </row>
    <row r="101" spans="2:9" ht="41.25" customHeight="1" x14ac:dyDescent="0.3">
      <c r="B101" s="1"/>
      <c r="C101" s="2"/>
      <c r="D101" s="3"/>
      <c r="E101" s="43"/>
      <c r="F101" s="44"/>
      <c r="G101" s="45"/>
      <c r="H101" s="45"/>
      <c r="I101" s="45"/>
    </row>
    <row r="102" spans="2:9" ht="41.25" customHeight="1" x14ac:dyDescent="0.3">
      <c r="B102" s="1"/>
      <c r="C102" s="2"/>
      <c r="D102" s="3"/>
      <c r="E102" s="43"/>
      <c r="F102" s="44"/>
      <c r="G102" s="45"/>
      <c r="H102" s="45"/>
      <c r="I102" s="45"/>
    </row>
    <row r="103" spans="2:9" ht="41.25" customHeight="1" x14ac:dyDescent="0.3">
      <c r="B103" s="1"/>
      <c r="C103" s="2"/>
      <c r="D103" s="3"/>
      <c r="E103" s="43"/>
      <c r="F103" s="44"/>
      <c r="G103" s="45"/>
      <c r="H103" s="45"/>
      <c r="I103" s="45"/>
    </row>
    <row r="104" spans="2:9" ht="41.25" customHeight="1" x14ac:dyDescent="0.3">
      <c r="B104" s="1"/>
      <c r="C104" s="2"/>
      <c r="D104" s="3"/>
      <c r="E104" s="43"/>
      <c r="F104" s="44"/>
      <c r="G104" s="45"/>
      <c r="H104" s="45"/>
      <c r="I104" s="45"/>
    </row>
    <row r="105" spans="2:9" ht="41.25" customHeight="1" x14ac:dyDescent="0.3">
      <c r="B105" s="1"/>
      <c r="C105" s="2"/>
      <c r="D105" s="3"/>
      <c r="E105" s="43"/>
      <c r="F105" s="44"/>
      <c r="G105" s="45"/>
      <c r="H105" s="45"/>
      <c r="I105" s="45"/>
    </row>
  </sheetData>
  <sheetProtection algorithmName="SHA-512" hashValue="C4uudIV/MT4V5YeTabTRPEhecGvtHT3ze/l/mFckrmMJWsCun8NIM3+8ttcZ8mlfr/R2aYuo1TJRi6ClBloblg==" saltValue="IW03fd45iSfa0cZt9juC7A==" spinCount="100000" sheet="1" objects="1" scenarios="1" formatCells="0" insertRows="0" deleteRows="0"/>
  <mergeCells count="87">
    <mergeCell ref="G100:I100"/>
    <mergeCell ref="E101:F101"/>
    <mergeCell ref="G101:I101"/>
    <mergeCell ref="G87:I87"/>
    <mergeCell ref="G88:I88"/>
    <mergeCell ref="G89:I89"/>
    <mergeCell ref="G90:I90"/>
    <mergeCell ref="E99:F99"/>
    <mergeCell ref="G99:I99"/>
    <mergeCell ref="E89:F89"/>
    <mergeCell ref="E90:F90"/>
    <mergeCell ref="E91:F91"/>
    <mergeCell ref="G91:I91"/>
    <mergeCell ref="E94:F94"/>
    <mergeCell ref="G94:I94"/>
    <mergeCell ref="G92:I92"/>
    <mergeCell ref="E80:F80"/>
    <mergeCell ref="E81:F81"/>
    <mergeCell ref="E82:F82"/>
    <mergeCell ref="E83:F83"/>
    <mergeCell ref="E100:F100"/>
    <mergeCell ref="E92:F92"/>
    <mergeCell ref="E93:F93"/>
    <mergeCell ref="E98:F98"/>
    <mergeCell ref="G84:I84"/>
    <mergeCell ref="E75:F75"/>
    <mergeCell ref="E76:F76"/>
    <mergeCell ref="E77:F77"/>
    <mergeCell ref="E78:F78"/>
    <mergeCell ref="G75:I75"/>
    <mergeCell ref="G76:I76"/>
    <mergeCell ref="G77:I77"/>
    <mergeCell ref="G78:I78"/>
    <mergeCell ref="G79:I79"/>
    <mergeCell ref="E84:F84"/>
    <mergeCell ref="G80:I80"/>
    <mergeCell ref="G81:I81"/>
    <mergeCell ref="G82:I82"/>
    <mergeCell ref="G83:I83"/>
    <mergeCell ref="E79:F79"/>
    <mergeCell ref="D2:AB2"/>
    <mergeCell ref="U77:Z77"/>
    <mergeCell ref="K75:AI75"/>
    <mergeCell ref="AC6:AI6"/>
    <mergeCell ref="E7:AB7"/>
    <mergeCell ref="AC7:AI7"/>
    <mergeCell ref="E6:AB6"/>
    <mergeCell ref="AC2:AI2"/>
    <mergeCell ref="E3:AB3"/>
    <mergeCell ref="AC3:AI3"/>
    <mergeCell ref="E4:AB4"/>
    <mergeCell ref="AC4:AI5"/>
    <mergeCell ref="E5:AB5"/>
    <mergeCell ref="C11:C12"/>
    <mergeCell ref="D11:D12"/>
    <mergeCell ref="E9:G9"/>
    <mergeCell ref="K73:AI73"/>
    <mergeCell ref="K74:AI74"/>
    <mergeCell ref="H9:N9"/>
    <mergeCell ref="O9:Q9"/>
    <mergeCell ref="R9:V9"/>
    <mergeCell ref="X9:AD9"/>
    <mergeCell ref="AE9:AI9"/>
    <mergeCell ref="E74:F74"/>
    <mergeCell ref="G74:I74"/>
    <mergeCell ref="G93:I93"/>
    <mergeCell ref="G85:I85"/>
    <mergeCell ref="E86:F86"/>
    <mergeCell ref="G86:I86"/>
    <mergeCell ref="E87:F87"/>
    <mergeCell ref="E85:F85"/>
    <mergeCell ref="E88:F88"/>
    <mergeCell ref="G98:I98"/>
    <mergeCell ref="E95:F95"/>
    <mergeCell ref="G95:I95"/>
    <mergeCell ref="E96:F96"/>
    <mergeCell ref="G96:I96"/>
    <mergeCell ref="E97:F97"/>
    <mergeCell ref="G97:I97"/>
    <mergeCell ref="E105:F105"/>
    <mergeCell ref="G105:I105"/>
    <mergeCell ref="E102:F102"/>
    <mergeCell ref="G102:I102"/>
    <mergeCell ref="E103:F103"/>
    <mergeCell ref="G103:I103"/>
    <mergeCell ref="E104:F104"/>
    <mergeCell ref="G104:I104"/>
  </mergeCells>
  <conditionalFormatting sqref="E13:AK72">
    <cfRule type="expression" dxfId="1" priority="3">
      <formula>AND(E13&lt;&gt;"", ISERROR(MATCH(E13,$B$75:$B$105,0)))</formula>
    </cfRule>
  </conditionalFormatting>
  <conditionalFormatting sqref="M11">
    <cfRule type="expression" dxfId="0" priority="2">
      <formula>E$12="S"</formula>
    </cfRule>
  </conditionalFormatting>
  <dataValidations count="1">
    <dataValidation type="list" allowBlank="1" showInputMessage="1" showErrorMessage="1" sqref="E13:AK72" xr:uid="{00000000-0002-0000-0000-000000000000}">
      <formula1>ListaSinBlancos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0-000E-0000-0000-000001000000}">
            <xm:f>IF(OR(E$12="D", E$12="S"), TRUE, AND(E$11&lt;&gt;"", COUNTIF(FESTIVOS!$A$2:$A$17, DATE(2025, MONTH(TEXT($H$9&amp;" 1", "MMM D")), E$11))&gt;0))</xm:f>
            <x14:dxf>
              <fill>
                <patternFill>
                  <bgColor rgb="FF92D050"/>
                </patternFill>
              </fill>
            </x14:dxf>
          </x14:cfRule>
          <xm:sqref>E11:AK72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I9" sqref="I9"/>
    </sheetView>
  </sheetViews>
  <sheetFormatPr baseColWidth="10" defaultColWidth="8.796875" defaultRowHeight="15.6" x14ac:dyDescent="0.3"/>
  <sheetData>
    <row r="1" spans="1:5" ht="21" customHeight="1" x14ac:dyDescent="0.3">
      <c r="A1" s="6" t="s">
        <v>91</v>
      </c>
      <c r="B1">
        <v>1</v>
      </c>
      <c r="C1">
        <v>2</v>
      </c>
      <c r="D1">
        <v>3</v>
      </c>
      <c r="E1">
        <v>4</v>
      </c>
    </row>
    <row r="2" spans="1:5" x14ac:dyDescent="0.3">
      <c r="A2" s="4">
        <v>45658</v>
      </c>
    </row>
    <row r="3" spans="1:5" x14ac:dyDescent="0.3">
      <c r="A3" s="4">
        <v>45663</v>
      </c>
    </row>
    <row r="4" spans="1:5" x14ac:dyDescent="0.3">
      <c r="A4" s="4">
        <v>45740</v>
      </c>
    </row>
    <row r="5" spans="1:5" x14ac:dyDescent="0.3">
      <c r="A5" s="4">
        <v>45764</v>
      </c>
    </row>
    <row r="6" spans="1:5" x14ac:dyDescent="0.3">
      <c r="A6" s="4">
        <v>45765</v>
      </c>
    </row>
    <row r="7" spans="1:5" x14ac:dyDescent="0.3">
      <c r="A7" s="4">
        <v>45778</v>
      </c>
    </row>
    <row r="8" spans="1:5" x14ac:dyDescent="0.3">
      <c r="A8" s="4">
        <v>45810</v>
      </c>
    </row>
    <row r="9" spans="1:5" x14ac:dyDescent="0.3">
      <c r="A9" s="4">
        <v>45831</v>
      </c>
    </row>
    <row r="10" spans="1:5" x14ac:dyDescent="0.3">
      <c r="A10" s="4">
        <v>45838</v>
      </c>
    </row>
    <row r="11" spans="1:5" x14ac:dyDescent="0.3">
      <c r="A11" s="4">
        <v>45876</v>
      </c>
    </row>
    <row r="12" spans="1:5" x14ac:dyDescent="0.3">
      <c r="A12" s="4">
        <v>45887</v>
      </c>
    </row>
    <row r="13" spans="1:5" x14ac:dyDescent="0.3">
      <c r="A13" s="4">
        <v>45943</v>
      </c>
    </row>
    <row r="14" spans="1:5" x14ac:dyDescent="0.3">
      <c r="A14" s="4">
        <v>45964</v>
      </c>
    </row>
    <row r="15" spans="1:5" x14ac:dyDescent="0.3">
      <c r="A15" s="4">
        <v>45978</v>
      </c>
    </row>
    <row r="16" spans="1:5" x14ac:dyDescent="0.3">
      <c r="A16" s="4">
        <v>45999</v>
      </c>
    </row>
    <row r="17" spans="1:1" x14ac:dyDescent="0.3">
      <c r="A17" s="4">
        <v>46016</v>
      </c>
    </row>
    <row r="18" spans="1:1" x14ac:dyDescent="0.3">
      <c r="A18" s="5"/>
    </row>
    <row r="19" spans="1:1" x14ac:dyDescent="0.3">
      <c r="A19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TURNOS</vt:lpstr>
      <vt:lpstr>FESTIVOS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LIDER SUBGERENCIA CIENTIFICA</dc:creator>
  <cp:keywords/>
  <dc:description/>
  <cp:lastModifiedBy>fabian sanchez</cp:lastModifiedBy>
  <dcterms:created xsi:type="dcterms:W3CDTF">2024-12-18T21:33:15Z</dcterms:created>
  <dcterms:modified xsi:type="dcterms:W3CDTF">2025-09-30T21:30:07Z</dcterms:modified>
  <cp:category/>
</cp:coreProperties>
</file>