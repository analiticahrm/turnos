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vano./Documents/Moniquira/Evaluacion de medicos /"/>
    </mc:Choice>
  </mc:AlternateContent>
  <xr:revisionPtr revIDLastSave="0" documentId="8_{CB53D9DF-46F5-744E-A760-9CD677723280}" xr6:coauthVersionLast="47" xr6:coauthVersionMax="47" xr10:uidLastSave="{00000000-0000-0000-0000-000000000000}"/>
  <bookViews>
    <workbookView xWindow="240" yWindow="500" windowWidth="16100" windowHeight="9660" activeTab="2" xr2:uid="{00000000-000D-0000-FFFF-FFFF00000000}"/>
  </bookViews>
  <sheets>
    <sheet name="KPIs_Mensuales" sheetId="1" r:id="rId1"/>
    <sheet name="Documentacion" sheetId="2" r:id="rId2"/>
    <sheet name="Feedback_360" sheetId="3" r:id="rId3"/>
    <sheet name="Observacion_Directa" sheetId="4" r:id="rId4"/>
    <sheet name="Prod_5dias" sheetId="5" r:id="rId5"/>
    <sheet name="Parametr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1" i="5" l="1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X1001" i="1"/>
  <c r="W1001" i="1"/>
  <c r="V1001" i="1"/>
  <c r="U1001" i="1"/>
  <c r="S1001" i="1"/>
  <c r="R1001" i="1"/>
  <c r="Q1001" i="1"/>
  <c r="P1001" i="1"/>
  <c r="O1001" i="1"/>
  <c r="M1001" i="1"/>
  <c r="N1001" i="1" s="1"/>
  <c r="L1001" i="1"/>
  <c r="T1001" i="1" s="1"/>
  <c r="X1000" i="1"/>
  <c r="W1000" i="1"/>
  <c r="V1000" i="1"/>
  <c r="U1000" i="1"/>
  <c r="S1000" i="1"/>
  <c r="R1000" i="1"/>
  <c r="Q1000" i="1"/>
  <c r="P1000" i="1"/>
  <c r="O1000" i="1"/>
  <c r="N1000" i="1"/>
  <c r="M1000" i="1"/>
  <c r="L1000" i="1"/>
  <c r="T1000" i="1" s="1"/>
  <c r="X999" i="1"/>
  <c r="W999" i="1"/>
  <c r="V999" i="1"/>
  <c r="U999" i="1"/>
  <c r="S999" i="1"/>
  <c r="R999" i="1"/>
  <c r="Q999" i="1"/>
  <c r="P999" i="1"/>
  <c r="O999" i="1"/>
  <c r="M999" i="1"/>
  <c r="N999" i="1" s="1"/>
  <c r="L999" i="1"/>
  <c r="T999" i="1" s="1"/>
  <c r="X998" i="1"/>
  <c r="W998" i="1"/>
  <c r="V998" i="1"/>
  <c r="U998" i="1"/>
  <c r="S998" i="1"/>
  <c r="R998" i="1"/>
  <c r="Q998" i="1"/>
  <c r="P998" i="1"/>
  <c r="O998" i="1"/>
  <c r="N998" i="1"/>
  <c r="Y998" i="1" s="1"/>
  <c r="M998" i="1"/>
  <c r="L998" i="1"/>
  <c r="T998" i="1" s="1"/>
  <c r="X997" i="1"/>
  <c r="W997" i="1"/>
  <c r="V997" i="1"/>
  <c r="U997" i="1"/>
  <c r="S997" i="1"/>
  <c r="R997" i="1"/>
  <c r="Q997" i="1"/>
  <c r="P997" i="1"/>
  <c r="O997" i="1"/>
  <c r="M997" i="1"/>
  <c r="N997" i="1" s="1"/>
  <c r="Y997" i="1" s="1"/>
  <c r="L997" i="1"/>
  <c r="T997" i="1" s="1"/>
  <c r="X996" i="1"/>
  <c r="W996" i="1"/>
  <c r="V996" i="1"/>
  <c r="U996" i="1"/>
  <c r="S996" i="1"/>
  <c r="R996" i="1"/>
  <c r="Q996" i="1"/>
  <c r="P996" i="1"/>
  <c r="O996" i="1"/>
  <c r="N996" i="1"/>
  <c r="M996" i="1"/>
  <c r="L996" i="1"/>
  <c r="T996" i="1" s="1"/>
  <c r="X995" i="1"/>
  <c r="W995" i="1"/>
  <c r="V995" i="1"/>
  <c r="U995" i="1"/>
  <c r="S995" i="1"/>
  <c r="R995" i="1"/>
  <c r="Q995" i="1"/>
  <c r="P995" i="1"/>
  <c r="O995" i="1"/>
  <c r="M995" i="1"/>
  <c r="N995" i="1" s="1"/>
  <c r="Y995" i="1" s="1"/>
  <c r="L995" i="1"/>
  <c r="T995" i="1" s="1"/>
  <c r="X994" i="1"/>
  <c r="W994" i="1"/>
  <c r="V994" i="1"/>
  <c r="U994" i="1"/>
  <c r="S994" i="1"/>
  <c r="R994" i="1"/>
  <c r="Q994" i="1"/>
  <c r="P994" i="1"/>
  <c r="O994" i="1"/>
  <c r="N994" i="1"/>
  <c r="M994" i="1"/>
  <c r="L994" i="1"/>
  <c r="T994" i="1" s="1"/>
  <c r="X993" i="1"/>
  <c r="W993" i="1"/>
  <c r="V993" i="1"/>
  <c r="U993" i="1"/>
  <c r="S993" i="1"/>
  <c r="R993" i="1"/>
  <c r="Q993" i="1"/>
  <c r="P993" i="1"/>
  <c r="O993" i="1"/>
  <c r="M993" i="1"/>
  <c r="N993" i="1" s="1"/>
  <c r="L993" i="1"/>
  <c r="T993" i="1" s="1"/>
  <c r="X992" i="1"/>
  <c r="W992" i="1"/>
  <c r="V992" i="1"/>
  <c r="U992" i="1"/>
  <c r="S992" i="1"/>
  <c r="R992" i="1"/>
  <c r="Q992" i="1"/>
  <c r="P992" i="1"/>
  <c r="O992" i="1"/>
  <c r="M992" i="1"/>
  <c r="N992" i="1" s="1"/>
  <c r="L992" i="1"/>
  <c r="T992" i="1" s="1"/>
  <c r="X991" i="1"/>
  <c r="W991" i="1"/>
  <c r="V991" i="1"/>
  <c r="U991" i="1"/>
  <c r="S991" i="1"/>
  <c r="R991" i="1"/>
  <c r="Q991" i="1"/>
  <c r="P991" i="1"/>
  <c r="O991" i="1"/>
  <c r="M991" i="1"/>
  <c r="N991" i="1" s="1"/>
  <c r="Y991" i="1" s="1"/>
  <c r="L991" i="1"/>
  <c r="T991" i="1" s="1"/>
  <c r="X990" i="1"/>
  <c r="W990" i="1"/>
  <c r="V990" i="1"/>
  <c r="U990" i="1"/>
  <c r="S990" i="1"/>
  <c r="R990" i="1"/>
  <c r="Q990" i="1"/>
  <c r="P990" i="1"/>
  <c r="O990" i="1"/>
  <c r="N990" i="1"/>
  <c r="Y990" i="1" s="1"/>
  <c r="M990" i="1"/>
  <c r="L990" i="1"/>
  <c r="T990" i="1" s="1"/>
  <c r="X989" i="1"/>
  <c r="W989" i="1"/>
  <c r="V989" i="1"/>
  <c r="U989" i="1"/>
  <c r="S989" i="1"/>
  <c r="R989" i="1"/>
  <c r="Q989" i="1"/>
  <c r="P989" i="1"/>
  <c r="O989" i="1"/>
  <c r="M989" i="1"/>
  <c r="N989" i="1" s="1"/>
  <c r="L989" i="1"/>
  <c r="T989" i="1" s="1"/>
  <c r="X988" i="1"/>
  <c r="W988" i="1"/>
  <c r="V988" i="1"/>
  <c r="U988" i="1"/>
  <c r="S988" i="1"/>
  <c r="R988" i="1"/>
  <c r="Q988" i="1"/>
  <c r="P988" i="1"/>
  <c r="O988" i="1"/>
  <c r="M988" i="1"/>
  <c r="N988" i="1" s="1"/>
  <c r="L988" i="1"/>
  <c r="T988" i="1" s="1"/>
  <c r="X987" i="1"/>
  <c r="W987" i="1"/>
  <c r="V987" i="1"/>
  <c r="U987" i="1"/>
  <c r="S987" i="1"/>
  <c r="R987" i="1"/>
  <c r="Q987" i="1"/>
  <c r="Y987" i="1" s="1"/>
  <c r="P987" i="1"/>
  <c r="O987" i="1"/>
  <c r="M987" i="1"/>
  <c r="N987" i="1" s="1"/>
  <c r="L987" i="1"/>
  <c r="T987" i="1" s="1"/>
  <c r="X986" i="1"/>
  <c r="W986" i="1"/>
  <c r="V986" i="1"/>
  <c r="U986" i="1"/>
  <c r="S986" i="1"/>
  <c r="R986" i="1"/>
  <c r="Q986" i="1"/>
  <c r="P986" i="1"/>
  <c r="O986" i="1"/>
  <c r="M986" i="1"/>
  <c r="N986" i="1" s="1"/>
  <c r="L986" i="1"/>
  <c r="T986" i="1" s="1"/>
  <c r="X985" i="1"/>
  <c r="W985" i="1"/>
  <c r="V985" i="1"/>
  <c r="U985" i="1"/>
  <c r="S985" i="1"/>
  <c r="R985" i="1"/>
  <c r="Q985" i="1"/>
  <c r="P985" i="1"/>
  <c r="O985" i="1"/>
  <c r="M985" i="1"/>
  <c r="N985" i="1" s="1"/>
  <c r="Y985" i="1" s="1"/>
  <c r="L985" i="1"/>
  <c r="T985" i="1" s="1"/>
  <c r="X984" i="1"/>
  <c r="W984" i="1"/>
  <c r="V984" i="1"/>
  <c r="U984" i="1"/>
  <c r="S984" i="1"/>
  <c r="R984" i="1"/>
  <c r="Q984" i="1"/>
  <c r="P984" i="1"/>
  <c r="O984" i="1"/>
  <c r="M984" i="1"/>
  <c r="N984" i="1" s="1"/>
  <c r="L984" i="1"/>
  <c r="T984" i="1" s="1"/>
  <c r="X983" i="1"/>
  <c r="W983" i="1"/>
  <c r="V983" i="1"/>
  <c r="U983" i="1"/>
  <c r="S983" i="1"/>
  <c r="R983" i="1"/>
  <c r="Q983" i="1"/>
  <c r="Y983" i="1" s="1"/>
  <c r="P983" i="1"/>
  <c r="O983" i="1"/>
  <c r="M983" i="1"/>
  <c r="N983" i="1" s="1"/>
  <c r="L983" i="1"/>
  <c r="T983" i="1" s="1"/>
  <c r="X982" i="1"/>
  <c r="W982" i="1"/>
  <c r="V982" i="1"/>
  <c r="U982" i="1"/>
  <c r="S982" i="1"/>
  <c r="R982" i="1"/>
  <c r="Q982" i="1"/>
  <c r="P982" i="1"/>
  <c r="O982" i="1"/>
  <c r="M982" i="1"/>
  <c r="N982" i="1" s="1"/>
  <c r="L982" i="1"/>
  <c r="T982" i="1" s="1"/>
  <c r="X981" i="1"/>
  <c r="W981" i="1"/>
  <c r="V981" i="1"/>
  <c r="U981" i="1"/>
  <c r="S981" i="1"/>
  <c r="R981" i="1"/>
  <c r="Q981" i="1"/>
  <c r="P981" i="1"/>
  <c r="O981" i="1"/>
  <c r="M981" i="1"/>
  <c r="N981" i="1" s="1"/>
  <c r="Y981" i="1" s="1"/>
  <c r="L981" i="1"/>
  <c r="T981" i="1" s="1"/>
  <c r="X980" i="1"/>
  <c r="W980" i="1"/>
  <c r="V980" i="1"/>
  <c r="U980" i="1"/>
  <c r="S980" i="1"/>
  <c r="R980" i="1"/>
  <c r="Q980" i="1"/>
  <c r="P980" i="1"/>
  <c r="O980" i="1"/>
  <c r="M980" i="1"/>
  <c r="N980" i="1" s="1"/>
  <c r="L980" i="1"/>
  <c r="T980" i="1" s="1"/>
  <c r="X979" i="1"/>
  <c r="W979" i="1"/>
  <c r="V979" i="1"/>
  <c r="U979" i="1"/>
  <c r="S979" i="1"/>
  <c r="R979" i="1"/>
  <c r="Q979" i="1"/>
  <c r="P979" i="1"/>
  <c r="O979" i="1"/>
  <c r="M979" i="1"/>
  <c r="N979" i="1" s="1"/>
  <c r="Y979" i="1" s="1"/>
  <c r="L979" i="1"/>
  <c r="T979" i="1" s="1"/>
  <c r="X978" i="1"/>
  <c r="W978" i="1"/>
  <c r="V978" i="1"/>
  <c r="U978" i="1"/>
  <c r="S978" i="1"/>
  <c r="R978" i="1"/>
  <c r="Q978" i="1"/>
  <c r="P978" i="1"/>
  <c r="O978" i="1"/>
  <c r="M978" i="1"/>
  <c r="N978" i="1" s="1"/>
  <c r="Y978" i="1" s="1"/>
  <c r="L978" i="1"/>
  <c r="T978" i="1" s="1"/>
  <c r="X977" i="1"/>
  <c r="W977" i="1"/>
  <c r="V977" i="1"/>
  <c r="U977" i="1"/>
  <c r="S977" i="1"/>
  <c r="R977" i="1"/>
  <c r="Q977" i="1"/>
  <c r="P977" i="1"/>
  <c r="O977" i="1"/>
  <c r="M977" i="1"/>
  <c r="N977" i="1" s="1"/>
  <c r="Y977" i="1" s="1"/>
  <c r="L977" i="1"/>
  <c r="T977" i="1" s="1"/>
  <c r="X976" i="1"/>
  <c r="W976" i="1"/>
  <c r="V976" i="1"/>
  <c r="U976" i="1"/>
  <c r="S976" i="1"/>
  <c r="R976" i="1"/>
  <c r="Q976" i="1"/>
  <c r="Y976" i="1" s="1"/>
  <c r="P976" i="1"/>
  <c r="O976" i="1"/>
  <c r="M976" i="1"/>
  <c r="N976" i="1" s="1"/>
  <c r="L976" i="1"/>
  <c r="T976" i="1" s="1"/>
  <c r="X975" i="1"/>
  <c r="W975" i="1"/>
  <c r="V975" i="1"/>
  <c r="U975" i="1"/>
  <c r="S975" i="1"/>
  <c r="R975" i="1"/>
  <c r="Q975" i="1"/>
  <c r="P975" i="1"/>
  <c r="O975" i="1"/>
  <c r="M975" i="1"/>
  <c r="N975" i="1" s="1"/>
  <c r="L975" i="1"/>
  <c r="T975" i="1" s="1"/>
  <c r="X974" i="1"/>
  <c r="W974" i="1"/>
  <c r="V974" i="1"/>
  <c r="U974" i="1"/>
  <c r="S974" i="1"/>
  <c r="R974" i="1"/>
  <c r="Q974" i="1"/>
  <c r="P974" i="1"/>
  <c r="O974" i="1"/>
  <c r="M974" i="1"/>
  <c r="N974" i="1" s="1"/>
  <c r="L974" i="1"/>
  <c r="T974" i="1" s="1"/>
  <c r="X973" i="1"/>
  <c r="W973" i="1"/>
  <c r="V973" i="1"/>
  <c r="U973" i="1"/>
  <c r="S973" i="1"/>
  <c r="R973" i="1"/>
  <c r="Q973" i="1"/>
  <c r="P973" i="1"/>
  <c r="O973" i="1"/>
  <c r="M973" i="1"/>
  <c r="N973" i="1" s="1"/>
  <c r="L973" i="1"/>
  <c r="T973" i="1" s="1"/>
  <c r="Y972" i="1"/>
  <c r="X972" i="1"/>
  <c r="W972" i="1"/>
  <c r="V972" i="1"/>
  <c r="U972" i="1"/>
  <c r="S972" i="1"/>
  <c r="R972" i="1"/>
  <c r="Q972" i="1"/>
  <c r="P972" i="1"/>
  <c r="O972" i="1"/>
  <c r="M972" i="1"/>
  <c r="N972" i="1" s="1"/>
  <c r="L972" i="1"/>
  <c r="T972" i="1" s="1"/>
  <c r="X971" i="1"/>
  <c r="W971" i="1"/>
  <c r="V971" i="1"/>
  <c r="U971" i="1"/>
  <c r="S971" i="1"/>
  <c r="R971" i="1"/>
  <c r="Q971" i="1"/>
  <c r="P971" i="1"/>
  <c r="O971" i="1"/>
  <c r="M971" i="1"/>
  <c r="N971" i="1" s="1"/>
  <c r="L971" i="1"/>
  <c r="T971" i="1" s="1"/>
  <c r="X970" i="1"/>
  <c r="W970" i="1"/>
  <c r="V970" i="1"/>
  <c r="U970" i="1"/>
  <c r="S970" i="1"/>
  <c r="R970" i="1"/>
  <c r="Q970" i="1"/>
  <c r="P970" i="1"/>
  <c r="O970" i="1"/>
  <c r="M970" i="1"/>
  <c r="N970" i="1" s="1"/>
  <c r="L970" i="1"/>
  <c r="T970" i="1" s="1"/>
  <c r="X969" i="1"/>
  <c r="W969" i="1"/>
  <c r="V969" i="1"/>
  <c r="U969" i="1"/>
  <c r="S969" i="1"/>
  <c r="R969" i="1"/>
  <c r="Q969" i="1"/>
  <c r="P969" i="1"/>
  <c r="O969" i="1"/>
  <c r="M969" i="1"/>
  <c r="N969" i="1" s="1"/>
  <c r="L969" i="1"/>
  <c r="T969" i="1" s="1"/>
  <c r="X968" i="1"/>
  <c r="W968" i="1"/>
  <c r="V968" i="1"/>
  <c r="U968" i="1"/>
  <c r="S968" i="1"/>
  <c r="R968" i="1"/>
  <c r="Q968" i="1"/>
  <c r="P968" i="1"/>
  <c r="O968" i="1"/>
  <c r="M968" i="1"/>
  <c r="N968" i="1" s="1"/>
  <c r="Y968" i="1" s="1"/>
  <c r="L968" i="1"/>
  <c r="T968" i="1" s="1"/>
  <c r="X967" i="1"/>
  <c r="W967" i="1"/>
  <c r="V967" i="1"/>
  <c r="U967" i="1"/>
  <c r="S967" i="1"/>
  <c r="R967" i="1"/>
  <c r="Q967" i="1"/>
  <c r="Y967" i="1" s="1"/>
  <c r="P967" i="1"/>
  <c r="O967" i="1"/>
  <c r="M967" i="1"/>
  <c r="N967" i="1" s="1"/>
  <c r="L967" i="1"/>
  <c r="T967" i="1" s="1"/>
  <c r="X966" i="1"/>
  <c r="W966" i="1"/>
  <c r="V966" i="1"/>
  <c r="U966" i="1"/>
  <c r="S966" i="1"/>
  <c r="R966" i="1"/>
  <c r="Q966" i="1"/>
  <c r="P966" i="1"/>
  <c r="O966" i="1"/>
  <c r="N966" i="1"/>
  <c r="Y966" i="1" s="1"/>
  <c r="M966" i="1"/>
  <c r="L966" i="1"/>
  <c r="T966" i="1" s="1"/>
  <c r="X965" i="1"/>
  <c r="W965" i="1"/>
  <c r="V965" i="1"/>
  <c r="U965" i="1"/>
  <c r="T965" i="1"/>
  <c r="S965" i="1"/>
  <c r="R965" i="1"/>
  <c r="Q965" i="1"/>
  <c r="Y965" i="1" s="1"/>
  <c r="P965" i="1"/>
  <c r="O965" i="1"/>
  <c r="M965" i="1"/>
  <c r="N965" i="1" s="1"/>
  <c r="L965" i="1"/>
  <c r="Y964" i="1"/>
  <c r="X964" i="1"/>
  <c r="W964" i="1"/>
  <c r="V964" i="1"/>
  <c r="U964" i="1"/>
  <c r="S964" i="1"/>
  <c r="R964" i="1"/>
  <c r="Q964" i="1"/>
  <c r="P964" i="1"/>
  <c r="O964" i="1"/>
  <c r="M964" i="1"/>
  <c r="N964" i="1" s="1"/>
  <c r="L964" i="1"/>
  <c r="T964" i="1" s="1"/>
  <c r="X963" i="1"/>
  <c r="W963" i="1"/>
  <c r="V963" i="1"/>
  <c r="U963" i="1"/>
  <c r="S963" i="1"/>
  <c r="R963" i="1"/>
  <c r="Q963" i="1"/>
  <c r="P963" i="1"/>
  <c r="O963" i="1"/>
  <c r="M963" i="1"/>
  <c r="N963" i="1" s="1"/>
  <c r="L963" i="1"/>
  <c r="T963" i="1" s="1"/>
  <c r="X962" i="1"/>
  <c r="W962" i="1"/>
  <c r="V962" i="1"/>
  <c r="U962" i="1"/>
  <c r="S962" i="1"/>
  <c r="R962" i="1"/>
  <c r="Q962" i="1"/>
  <c r="P962" i="1"/>
  <c r="O962" i="1"/>
  <c r="N962" i="1"/>
  <c r="M962" i="1"/>
  <c r="L962" i="1"/>
  <c r="T962" i="1" s="1"/>
  <c r="X961" i="1"/>
  <c r="W961" i="1"/>
  <c r="V961" i="1"/>
  <c r="U961" i="1"/>
  <c r="S961" i="1"/>
  <c r="R961" i="1"/>
  <c r="Q961" i="1"/>
  <c r="P961" i="1"/>
  <c r="O961" i="1"/>
  <c r="M961" i="1"/>
  <c r="N961" i="1" s="1"/>
  <c r="Y961" i="1" s="1"/>
  <c r="L961" i="1"/>
  <c r="T961" i="1" s="1"/>
  <c r="X960" i="1"/>
  <c r="W960" i="1"/>
  <c r="V960" i="1"/>
  <c r="U960" i="1"/>
  <c r="S960" i="1"/>
  <c r="R960" i="1"/>
  <c r="Q960" i="1"/>
  <c r="Y960" i="1" s="1"/>
  <c r="P960" i="1"/>
  <c r="O960" i="1"/>
  <c r="M960" i="1"/>
  <c r="N960" i="1" s="1"/>
  <c r="L960" i="1"/>
  <c r="T960" i="1" s="1"/>
  <c r="X959" i="1"/>
  <c r="W959" i="1"/>
  <c r="V959" i="1"/>
  <c r="U959" i="1"/>
  <c r="S959" i="1"/>
  <c r="R959" i="1"/>
  <c r="Q959" i="1"/>
  <c r="P959" i="1"/>
  <c r="O959" i="1"/>
  <c r="M959" i="1"/>
  <c r="N959" i="1" s="1"/>
  <c r="L959" i="1"/>
  <c r="T959" i="1" s="1"/>
  <c r="X958" i="1"/>
  <c r="W958" i="1"/>
  <c r="V958" i="1"/>
  <c r="U958" i="1"/>
  <c r="S958" i="1"/>
  <c r="R958" i="1"/>
  <c r="Q958" i="1"/>
  <c r="P958" i="1"/>
  <c r="O958" i="1"/>
  <c r="N958" i="1"/>
  <c r="M958" i="1"/>
  <c r="L958" i="1"/>
  <c r="T958" i="1" s="1"/>
  <c r="X957" i="1"/>
  <c r="W957" i="1"/>
  <c r="V957" i="1"/>
  <c r="U957" i="1"/>
  <c r="S957" i="1"/>
  <c r="R957" i="1"/>
  <c r="Q957" i="1"/>
  <c r="P957" i="1"/>
  <c r="O957" i="1"/>
  <c r="M957" i="1"/>
  <c r="N957" i="1" s="1"/>
  <c r="Y957" i="1" s="1"/>
  <c r="L957" i="1"/>
  <c r="T957" i="1" s="1"/>
  <c r="X956" i="1"/>
  <c r="W956" i="1"/>
  <c r="V956" i="1"/>
  <c r="U956" i="1"/>
  <c r="S956" i="1"/>
  <c r="R956" i="1"/>
  <c r="Q956" i="1"/>
  <c r="P956" i="1"/>
  <c r="O956" i="1"/>
  <c r="M956" i="1"/>
  <c r="N956" i="1" s="1"/>
  <c r="L956" i="1"/>
  <c r="T956" i="1" s="1"/>
  <c r="X955" i="1"/>
  <c r="W955" i="1"/>
  <c r="V955" i="1"/>
  <c r="U955" i="1"/>
  <c r="S955" i="1"/>
  <c r="R955" i="1"/>
  <c r="Q955" i="1"/>
  <c r="P955" i="1"/>
  <c r="O955" i="1"/>
  <c r="M955" i="1"/>
  <c r="N955" i="1" s="1"/>
  <c r="Y955" i="1" s="1"/>
  <c r="L955" i="1"/>
  <c r="T955" i="1" s="1"/>
  <c r="X954" i="1"/>
  <c r="W954" i="1"/>
  <c r="V954" i="1"/>
  <c r="U954" i="1"/>
  <c r="S954" i="1"/>
  <c r="R954" i="1"/>
  <c r="Q954" i="1"/>
  <c r="P954" i="1"/>
  <c r="O954" i="1"/>
  <c r="N954" i="1"/>
  <c r="M954" i="1"/>
  <c r="L954" i="1"/>
  <c r="T954" i="1" s="1"/>
  <c r="X953" i="1"/>
  <c r="W953" i="1"/>
  <c r="V953" i="1"/>
  <c r="U953" i="1"/>
  <c r="S953" i="1"/>
  <c r="R953" i="1"/>
  <c r="Q953" i="1"/>
  <c r="P953" i="1"/>
  <c r="O953" i="1"/>
  <c r="M953" i="1"/>
  <c r="N953" i="1" s="1"/>
  <c r="L953" i="1"/>
  <c r="T953" i="1" s="1"/>
  <c r="X952" i="1"/>
  <c r="W952" i="1"/>
  <c r="V952" i="1"/>
  <c r="U952" i="1"/>
  <c r="S952" i="1"/>
  <c r="R952" i="1"/>
  <c r="Q952" i="1"/>
  <c r="P952" i="1"/>
  <c r="O952" i="1"/>
  <c r="M952" i="1"/>
  <c r="N952" i="1" s="1"/>
  <c r="L952" i="1"/>
  <c r="T952" i="1" s="1"/>
  <c r="X951" i="1"/>
  <c r="W951" i="1"/>
  <c r="V951" i="1"/>
  <c r="U951" i="1"/>
  <c r="S951" i="1"/>
  <c r="R951" i="1"/>
  <c r="Q951" i="1"/>
  <c r="P951" i="1"/>
  <c r="O951" i="1"/>
  <c r="M951" i="1"/>
  <c r="N951" i="1" s="1"/>
  <c r="L951" i="1"/>
  <c r="T951" i="1" s="1"/>
  <c r="X950" i="1"/>
  <c r="W950" i="1"/>
  <c r="V950" i="1"/>
  <c r="U950" i="1"/>
  <c r="S950" i="1"/>
  <c r="R950" i="1"/>
  <c r="Q950" i="1"/>
  <c r="P950" i="1"/>
  <c r="O950" i="1"/>
  <c r="N950" i="1"/>
  <c r="M950" i="1"/>
  <c r="L950" i="1"/>
  <c r="T950" i="1" s="1"/>
  <c r="X949" i="1"/>
  <c r="W949" i="1"/>
  <c r="V949" i="1"/>
  <c r="U949" i="1"/>
  <c r="S949" i="1"/>
  <c r="R949" i="1"/>
  <c r="Q949" i="1"/>
  <c r="P949" i="1"/>
  <c r="O949" i="1"/>
  <c r="M949" i="1"/>
  <c r="N949" i="1" s="1"/>
  <c r="L949" i="1"/>
  <c r="T949" i="1" s="1"/>
  <c r="X948" i="1"/>
  <c r="W948" i="1"/>
  <c r="V948" i="1"/>
  <c r="U948" i="1"/>
  <c r="S948" i="1"/>
  <c r="R948" i="1"/>
  <c r="Q948" i="1"/>
  <c r="Y948" i="1" s="1"/>
  <c r="P948" i="1"/>
  <c r="O948" i="1"/>
  <c r="M948" i="1"/>
  <c r="N948" i="1" s="1"/>
  <c r="L948" i="1"/>
  <c r="T948" i="1" s="1"/>
  <c r="X947" i="1"/>
  <c r="W947" i="1"/>
  <c r="V947" i="1"/>
  <c r="U947" i="1"/>
  <c r="S947" i="1"/>
  <c r="R947" i="1"/>
  <c r="Q947" i="1"/>
  <c r="P947" i="1"/>
  <c r="Y947" i="1" s="1"/>
  <c r="O947" i="1"/>
  <c r="M947" i="1"/>
  <c r="N947" i="1" s="1"/>
  <c r="L947" i="1"/>
  <c r="T947" i="1" s="1"/>
  <c r="X946" i="1"/>
  <c r="W946" i="1"/>
  <c r="V946" i="1"/>
  <c r="U946" i="1"/>
  <c r="S946" i="1"/>
  <c r="R946" i="1"/>
  <c r="Q946" i="1"/>
  <c r="P946" i="1"/>
  <c r="O946" i="1"/>
  <c r="M946" i="1"/>
  <c r="N946" i="1" s="1"/>
  <c r="Y946" i="1" s="1"/>
  <c r="L946" i="1"/>
  <c r="T946" i="1" s="1"/>
  <c r="Y945" i="1"/>
  <c r="X945" i="1"/>
  <c r="W945" i="1"/>
  <c r="V945" i="1"/>
  <c r="U945" i="1"/>
  <c r="S945" i="1"/>
  <c r="R945" i="1"/>
  <c r="Q945" i="1"/>
  <c r="P945" i="1"/>
  <c r="O945" i="1"/>
  <c r="M945" i="1"/>
  <c r="N945" i="1" s="1"/>
  <c r="L945" i="1"/>
  <c r="T945" i="1" s="1"/>
  <c r="X944" i="1"/>
  <c r="W944" i="1"/>
  <c r="V944" i="1"/>
  <c r="U944" i="1"/>
  <c r="S944" i="1"/>
  <c r="R944" i="1"/>
  <c r="Q944" i="1"/>
  <c r="P944" i="1"/>
  <c r="O944" i="1"/>
  <c r="M944" i="1"/>
  <c r="N944" i="1" s="1"/>
  <c r="Y944" i="1" s="1"/>
  <c r="L944" i="1"/>
  <c r="T944" i="1" s="1"/>
  <c r="X943" i="1"/>
  <c r="W943" i="1"/>
  <c r="V943" i="1"/>
  <c r="U943" i="1"/>
  <c r="S943" i="1"/>
  <c r="R943" i="1"/>
  <c r="Q943" i="1"/>
  <c r="P943" i="1"/>
  <c r="O943" i="1"/>
  <c r="M943" i="1"/>
  <c r="N943" i="1" s="1"/>
  <c r="L943" i="1"/>
  <c r="T943" i="1" s="1"/>
  <c r="X942" i="1"/>
  <c r="W942" i="1"/>
  <c r="V942" i="1"/>
  <c r="U942" i="1"/>
  <c r="S942" i="1"/>
  <c r="R942" i="1"/>
  <c r="Q942" i="1"/>
  <c r="P942" i="1"/>
  <c r="O942" i="1"/>
  <c r="M942" i="1"/>
  <c r="N942" i="1" s="1"/>
  <c r="L942" i="1"/>
  <c r="T942" i="1" s="1"/>
  <c r="X941" i="1"/>
  <c r="W941" i="1"/>
  <c r="V941" i="1"/>
  <c r="U941" i="1"/>
  <c r="T941" i="1"/>
  <c r="S941" i="1"/>
  <c r="R941" i="1"/>
  <c r="Q941" i="1"/>
  <c r="Y941" i="1" s="1"/>
  <c r="P941" i="1"/>
  <c r="O941" i="1"/>
  <c r="M941" i="1"/>
  <c r="N941" i="1" s="1"/>
  <c r="L941" i="1"/>
  <c r="X940" i="1"/>
  <c r="W940" i="1"/>
  <c r="V940" i="1"/>
  <c r="U940" i="1"/>
  <c r="S940" i="1"/>
  <c r="R940" i="1"/>
  <c r="Q940" i="1"/>
  <c r="P940" i="1"/>
  <c r="O940" i="1"/>
  <c r="M940" i="1"/>
  <c r="N940" i="1" s="1"/>
  <c r="Y940" i="1" s="1"/>
  <c r="L940" i="1"/>
  <c r="T940" i="1" s="1"/>
  <c r="X939" i="1"/>
  <c r="W939" i="1"/>
  <c r="V939" i="1"/>
  <c r="U939" i="1"/>
  <c r="S939" i="1"/>
  <c r="R939" i="1"/>
  <c r="Q939" i="1"/>
  <c r="P939" i="1"/>
  <c r="Y939" i="1" s="1"/>
  <c r="O939" i="1"/>
  <c r="M939" i="1"/>
  <c r="N939" i="1" s="1"/>
  <c r="L939" i="1"/>
  <c r="T939" i="1" s="1"/>
  <c r="X938" i="1"/>
  <c r="W938" i="1"/>
  <c r="V938" i="1"/>
  <c r="U938" i="1"/>
  <c r="S938" i="1"/>
  <c r="R938" i="1"/>
  <c r="Q938" i="1"/>
  <c r="P938" i="1"/>
  <c r="O938" i="1"/>
  <c r="M938" i="1"/>
  <c r="N938" i="1" s="1"/>
  <c r="Y938" i="1" s="1"/>
  <c r="L938" i="1"/>
  <c r="T938" i="1" s="1"/>
  <c r="X937" i="1"/>
  <c r="W937" i="1"/>
  <c r="V937" i="1"/>
  <c r="U937" i="1"/>
  <c r="T937" i="1"/>
  <c r="S937" i="1"/>
  <c r="R937" i="1"/>
  <c r="Q937" i="1"/>
  <c r="P937" i="1"/>
  <c r="O937" i="1"/>
  <c r="M937" i="1"/>
  <c r="N937" i="1" s="1"/>
  <c r="L937" i="1"/>
  <c r="X936" i="1"/>
  <c r="W936" i="1"/>
  <c r="V936" i="1"/>
  <c r="U936" i="1"/>
  <c r="S936" i="1"/>
  <c r="R936" i="1"/>
  <c r="Q936" i="1"/>
  <c r="P936" i="1"/>
  <c r="O936" i="1"/>
  <c r="Y936" i="1" s="1"/>
  <c r="M936" i="1"/>
  <c r="N936" i="1" s="1"/>
  <c r="L936" i="1"/>
  <c r="T936" i="1" s="1"/>
  <c r="X935" i="1"/>
  <c r="W935" i="1"/>
  <c r="V935" i="1"/>
  <c r="U935" i="1"/>
  <c r="S935" i="1"/>
  <c r="R935" i="1"/>
  <c r="Q935" i="1"/>
  <c r="P935" i="1"/>
  <c r="Y935" i="1" s="1"/>
  <c r="O935" i="1"/>
  <c r="M935" i="1"/>
  <c r="N935" i="1" s="1"/>
  <c r="L935" i="1"/>
  <c r="T935" i="1" s="1"/>
  <c r="X934" i="1"/>
  <c r="W934" i="1"/>
  <c r="V934" i="1"/>
  <c r="U934" i="1"/>
  <c r="S934" i="1"/>
  <c r="R934" i="1"/>
  <c r="Q934" i="1"/>
  <c r="P934" i="1"/>
  <c r="O934" i="1"/>
  <c r="N934" i="1"/>
  <c r="Y934" i="1" s="1"/>
  <c r="M934" i="1"/>
  <c r="L934" i="1"/>
  <c r="T934" i="1" s="1"/>
  <c r="X933" i="1"/>
  <c r="W933" i="1"/>
  <c r="V933" i="1"/>
  <c r="U933" i="1"/>
  <c r="T933" i="1"/>
  <c r="S933" i="1"/>
  <c r="R933" i="1"/>
  <c r="Q933" i="1"/>
  <c r="P933" i="1"/>
  <c r="O933" i="1"/>
  <c r="M933" i="1"/>
  <c r="N933" i="1" s="1"/>
  <c r="L933" i="1"/>
  <c r="Y932" i="1"/>
  <c r="X932" i="1"/>
  <c r="W932" i="1"/>
  <c r="V932" i="1"/>
  <c r="U932" i="1"/>
  <c r="S932" i="1"/>
  <c r="R932" i="1"/>
  <c r="Q932" i="1"/>
  <c r="P932" i="1"/>
  <c r="O932" i="1"/>
  <c r="M932" i="1"/>
  <c r="N932" i="1" s="1"/>
  <c r="L932" i="1"/>
  <c r="T932" i="1" s="1"/>
  <c r="X931" i="1"/>
  <c r="W931" i="1"/>
  <c r="V931" i="1"/>
  <c r="U931" i="1"/>
  <c r="S931" i="1"/>
  <c r="R931" i="1"/>
  <c r="Q931" i="1"/>
  <c r="P931" i="1"/>
  <c r="O931" i="1"/>
  <c r="M931" i="1"/>
  <c r="N931" i="1" s="1"/>
  <c r="Y931" i="1" s="1"/>
  <c r="L931" i="1"/>
  <c r="T931" i="1" s="1"/>
  <c r="X930" i="1"/>
  <c r="W930" i="1"/>
  <c r="V930" i="1"/>
  <c r="U930" i="1"/>
  <c r="S930" i="1"/>
  <c r="R930" i="1"/>
  <c r="Q930" i="1"/>
  <c r="P930" i="1"/>
  <c r="O930" i="1"/>
  <c r="N930" i="1"/>
  <c r="M930" i="1"/>
  <c r="L930" i="1"/>
  <c r="T930" i="1" s="1"/>
  <c r="X929" i="1"/>
  <c r="W929" i="1"/>
  <c r="V929" i="1"/>
  <c r="U929" i="1"/>
  <c r="S929" i="1"/>
  <c r="R929" i="1"/>
  <c r="Q929" i="1"/>
  <c r="P929" i="1"/>
  <c r="O929" i="1"/>
  <c r="M929" i="1"/>
  <c r="N929" i="1" s="1"/>
  <c r="Y929" i="1" s="1"/>
  <c r="L929" i="1"/>
  <c r="T929" i="1" s="1"/>
  <c r="X928" i="1"/>
  <c r="W928" i="1"/>
  <c r="V928" i="1"/>
  <c r="U928" i="1"/>
  <c r="S928" i="1"/>
  <c r="R928" i="1"/>
  <c r="Q928" i="1"/>
  <c r="Y928" i="1" s="1"/>
  <c r="P928" i="1"/>
  <c r="O928" i="1"/>
  <c r="M928" i="1"/>
  <c r="N928" i="1" s="1"/>
  <c r="L928" i="1"/>
  <c r="T928" i="1" s="1"/>
  <c r="X927" i="1"/>
  <c r="W927" i="1"/>
  <c r="V927" i="1"/>
  <c r="U927" i="1"/>
  <c r="S927" i="1"/>
  <c r="R927" i="1"/>
  <c r="Q927" i="1"/>
  <c r="P927" i="1"/>
  <c r="O927" i="1"/>
  <c r="M927" i="1"/>
  <c r="N927" i="1" s="1"/>
  <c r="Y927" i="1" s="1"/>
  <c r="L927" i="1"/>
  <c r="T927" i="1" s="1"/>
  <c r="X926" i="1"/>
  <c r="W926" i="1"/>
  <c r="V926" i="1"/>
  <c r="U926" i="1"/>
  <c r="S926" i="1"/>
  <c r="R926" i="1"/>
  <c r="Q926" i="1"/>
  <c r="Y926" i="1" s="1"/>
  <c r="P926" i="1"/>
  <c r="O926" i="1"/>
  <c r="N926" i="1"/>
  <c r="M926" i="1"/>
  <c r="L926" i="1"/>
  <c r="T926" i="1" s="1"/>
  <c r="X925" i="1"/>
  <c r="W925" i="1"/>
  <c r="V925" i="1"/>
  <c r="U925" i="1"/>
  <c r="S925" i="1"/>
  <c r="R925" i="1"/>
  <c r="Q925" i="1"/>
  <c r="P925" i="1"/>
  <c r="O925" i="1"/>
  <c r="M925" i="1"/>
  <c r="N925" i="1" s="1"/>
  <c r="L925" i="1"/>
  <c r="T925" i="1" s="1"/>
  <c r="X924" i="1"/>
  <c r="W924" i="1"/>
  <c r="V924" i="1"/>
  <c r="U924" i="1"/>
  <c r="S924" i="1"/>
  <c r="R924" i="1"/>
  <c r="Q924" i="1"/>
  <c r="Y924" i="1" s="1"/>
  <c r="P924" i="1"/>
  <c r="O924" i="1"/>
  <c r="M924" i="1"/>
  <c r="N924" i="1" s="1"/>
  <c r="L924" i="1"/>
  <c r="T924" i="1" s="1"/>
  <c r="X923" i="1"/>
  <c r="W923" i="1"/>
  <c r="V923" i="1"/>
  <c r="U923" i="1"/>
  <c r="S923" i="1"/>
  <c r="R923" i="1"/>
  <c r="Q923" i="1"/>
  <c r="P923" i="1"/>
  <c r="O923" i="1"/>
  <c r="M923" i="1"/>
  <c r="N923" i="1" s="1"/>
  <c r="L923" i="1"/>
  <c r="T923" i="1" s="1"/>
  <c r="X922" i="1"/>
  <c r="W922" i="1"/>
  <c r="V922" i="1"/>
  <c r="U922" i="1"/>
  <c r="S922" i="1"/>
  <c r="R922" i="1"/>
  <c r="Q922" i="1"/>
  <c r="P922" i="1"/>
  <c r="O922" i="1"/>
  <c r="M922" i="1"/>
  <c r="N922" i="1" s="1"/>
  <c r="Y922" i="1" s="1"/>
  <c r="L922" i="1"/>
  <c r="T922" i="1" s="1"/>
  <c r="Y921" i="1"/>
  <c r="X921" i="1"/>
  <c r="W921" i="1"/>
  <c r="V921" i="1"/>
  <c r="U921" i="1"/>
  <c r="S921" i="1"/>
  <c r="R921" i="1"/>
  <c r="Q921" i="1"/>
  <c r="P921" i="1"/>
  <c r="O921" i="1"/>
  <c r="M921" i="1"/>
  <c r="N921" i="1" s="1"/>
  <c r="L921" i="1"/>
  <c r="T921" i="1" s="1"/>
  <c r="X920" i="1"/>
  <c r="W920" i="1"/>
  <c r="V920" i="1"/>
  <c r="U920" i="1"/>
  <c r="S920" i="1"/>
  <c r="R920" i="1"/>
  <c r="Q920" i="1"/>
  <c r="P920" i="1"/>
  <c r="O920" i="1"/>
  <c r="M920" i="1"/>
  <c r="N920" i="1" s="1"/>
  <c r="Y920" i="1" s="1"/>
  <c r="L920" i="1"/>
  <c r="T920" i="1" s="1"/>
  <c r="X919" i="1"/>
  <c r="W919" i="1"/>
  <c r="V919" i="1"/>
  <c r="U919" i="1"/>
  <c r="S919" i="1"/>
  <c r="R919" i="1"/>
  <c r="Q919" i="1"/>
  <c r="P919" i="1"/>
  <c r="Y919" i="1" s="1"/>
  <c r="O919" i="1"/>
  <c r="M919" i="1"/>
  <c r="N919" i="1" s="1"/>
  <c r="L919" i="1"/>
  <c r="T919" i="1" s="1"/>
  <c r="X918" i="1"/>
  <c r="W918" i="1"/>
  <c r="V918" i="1"/>
  <c r="U918" i="1"/>
  <c r="S918" i="1"/>
  <c r="R918" i="1"/>
  <c r="Q918" i="1"/>
  <c r="P918" i="1"/>
  <c r="O918" i="1"/>
  <c r="M918" i="1"/>
  <c r="N918" i="1" s="1"/>
  <c r="Y918" i="1" s="1"/>
  <c r="L918" i="1"/>
  <c r="T918" i="1" s="1"/>
  <c r="X917" i="1"/>
  <c r="W917" i="1"/>
  <c r="V917" i="1"/>
  <c r="U917" i="1"/>
  <c r="T917" i="1"/>
  <c r="S917" i="1"/>
  <c r="R917" i="1"/>
  <c r="Q917" i="1"/>
  <c r="Y917" i="1" s="1"/>
  <c r="P917" i="1"/>
  <c r="O917" i="1"/>
  <c r="M917" i="1"/>
  <c r="N917" i="1" s="1"/>
  <c r="L917" i="1"/>
  <c r="X916" i="1"/>
  <c r="W916" i="1"/>
  <c r="V916" i="1"/>
  <c r="U916" i="1"/>
  <c r="S916" i="1"/>
  <c r="R916" i="1"/>
  <c r="Q916" i="1"/>
  <c r="P916" i="1"/>
  <c r="O916" i="1"/>
  <c r="M916" i="1"/>
  <c r="N916" i="1" s="1"/>
  <c r="L916" i="1"/>
  <c r="T916" i="1" s="1"/>
  <c r="X915" i="1"/>
  <c r="W915" i="1"/>
  <c r="V915" i="1"/>
  <c r="U915" i="1"/>
  <c r="S915" i="1"/>
  <c r="R915" i="1"/>
  <c r="Q915" i="1"/>
  <c r="P915" i="1"/>
  <c r="Y915" i="1" s="1"/>
  <c r="O915" i="1"/>
  <c r="M915" i="1"/>
  <c r="N915" i="1" s="1"/>
  <c r="L915" i="1"/>
  <c r="T915" i="1" s="1"/>
  <c r="X914" i="1"/>
  <c r="W914" i="1"/>
  <c r="V914" i="1"/>
  <c r="U914" i="1"/>
  <c r="S914" i="1"/>
  <c r="R914" i="1"/>
  <c r="Q914" i="1"/>
  <c r="P914" i="1"/>
  <c r="O914" i="1"/>
  <c r="N914" i="1"/>
  <c r="M914" i="1"/>
  <c r="L914" i="1"/>
  <c r="T914" i="1" s="1"/>
  <c r="X913" i="1"/>
  <c r="W913" i="1"/>
  <c r="V913" i="1"/>
  <c r="U913" i="1"/>
  <c r="T913" i="1"/>
  <c r="S913" i="1"/>
  <c r="R913" i="1"/>
  <c r="Q913" i="1"/>
  <c r="P913" i="1"/>
  <c r="O913" i="1"/>
  <c r="M913" i="1"/>
  <c r="N913" i="1" s="1"/>
  <c r="L913" i="1"/>
  <c r="Y912" i="1"/>
  <c r="X912" i="1"/>
  <c r="W912" i="1"/>
  <c r="V912" i="1"/>
  <c r="U912" i="1"/>
  <c r="S912" i="1"/>
  <c r="R912" i="1"/>
  <c r="Q912" i="1"/>
  <c r="P912" i="1"/>
  <c r="O912" i="1"/>
  <c r="M912" i="1"/>
  <c r="N912" i="1" s="1"/>
  <c r="L912" i="1"/>
  <c r="T912" i="1" s="1"/>
  <c r="X911" i="1"/>
  <c r="W911" i="1"/>
  <c r="V911" i="1"/>
  <c r="U911" i="1"/>
  <c r="S911" i="1"/>
  <c r="R911" i="1"/>
  <c r="Q911" i="1"/>
  <c r="P911" i="1"/>
  <c r="O911" i="1"/>
  <c r="M911" i="1"/>
  <c r="N911" i="1" s="1"/>
  <c r="Y911" i="1" s="1"/>
  <c r="L911" i="1"/>
  <c r="T911" i="1" s="1"/>
  <c r="Y910" i="1"/>
  <c r="X910" i="1"/>
  <c r="W910" i="1"/>
  <c r="V910" i="1"/>
  <c r="U910" i="1"/>
  <c r="S910" i="1"/>
  <c r="R910" i="1"/>
  <c r="Q910" i="1"/>
  <c r="P910" i="1"/>
  <c r="O910" i="1"/>
  <c r="N910" i="1"/>
  <c r="M910" i="1"/>
  <c r="L910" i="1"/>
  <c r="T910" i="1" s="1"/>
  <c r="X909" i="1"/>
  <c r="W909" i="1"/>
  <c r="V909" i="1"/>
  <c r="U909" i="1"/>
  <c r="T909" i="1"/>
  <c r="S909" i="1"/>
  <c r="R909" i="1"/>
  <c r="Q909" i="1"/>
  <c r="P909" i="1"/>
  <c r="O909" i="1"/>
  <c r="M909" i="1"/>
  <c r="N909" i="1" s="1"/>
  <c r="L909" i="1"/>
  <c r="X908" i="1"/>
  <c r="W908" i="1"/>
  <c r="V908" i="1"/>
  <c r="U908" i="1"/>
  <c r="S908" i="1"/>
  <c r="R908" i="1"/>
  <c r="Q908" i="1"/>
  <c r="P908" i="1"/>
  <c r="O908" i="1"/>
  <c r="M908" i="1"/>
  <c r="N908" i="1" s="1"/>
  <c r="L908" i="1"/>
  <c r="T908" i="1" s="1"/>
  <c r="X907" i="1"/>
  <c r="W907" i="1"/>
  <c r="V907" i="1"/>
  <c r="U907" i="1"/>
  <c r="S907" i="1"/>
  <c r="R907" i="1"/>
  <c r="Q907" i="1"/>
  <c r="P907" i="1"/>
  <c r="O907" i="1"/>
  <c r="M907" i="1"/>
  <c r="N907" i="1" s="1"/>
  <c r="L907" i="1"/>
  <c r="T907" i="1" s="1"/>
  <c r="X906" i="1"/>
  <c r="W906" i="1"/>
  <c r="V906" i="1"/>
  <c r="U906" i="1"/>
  <c r="S906" i="1"/>
  <c r="R906" i="1"/>
  <c r="Q906" i="1"/>
  <c r="P906" i="1"/>
  <c r="O906" i="1"/>
  <c r="M906" i="1"/>
  <c r="N906" i="1" s="1"/>
  <c r="Y906" i="1" s="1"/>
  <c r="L906" i="1"/>
  <c r="T906" i="1" s="1"/>
  <c r="X905" i="1"/>
  <c r="W905" i="1"/>
  <c r="V905" i="1"/>
  <c r="U905" i="1"/>
  <c r="S905" i="1"/>
  <c r="R905" i="1"/>
  <c r="Q905" i="1"/>
  <c r="Y905" i="1" s="1"/>
  <c r="P905" i="1"/>
  <c r="O905" i="1"/>
  <c r="M905" i="1"/>
  <c r="N905" i="1" s="1"/>
  <c r="L905" i="1"/>
  <c r="T905" i="1" s="1"/>
  <c r="X904" i="1"/>
  <c r="W904" i="1"/>
  <c r="V904" i="1"/>
  <c r="U904" i="1"/>
  <c r="S904" i="1"/>
  <c r="R904" i="1"/>
  <c r="Q904" i="1"/>
  <c r="P904" i="1"/>
  <c r="O904" i="1"/>
  <c r="M904" i="1"/>
  <c r="N904" i="1" s="1"/>
  <c r="L904" i="1"/>
  <c r="T904" i="1" s="1"/>
  <c r="X903" i="1"/>
  <c r="W903" i="1"/>
  <c r="V903" i="1"/>
  <c r="U903" i="1"/>
  <c r="S903" i="1"/>
  <c r="R903" i="1"/>
  <c r="Q903" i="1"/>
  <c r="P903" i="1"/>
  <c r="Y903" i="1" s="1"/>
  <c r="O903" i="1"/>
  <c r="M903" i="1"/>
  <c r="N903" i="1" s="1"/>
  <c r="L903" i="1"/>
  <c r="T903" i="1" s="1"/>
  <c r="X902" i="1"/>
  <c r="W902" i="1"/>
  <c r="V902" i="1"/>
  <c r="U902" i="1"/>
  <c r="S902" i="1"/>
  <c r="R902" i="1"/>
  <c r="Q902" i="1"/>
  <c r="P902" i="1"/>
  <c r="O902" i="1"/>
  <c r="M902" i="1"/>
  <c r="N902" i="1" s="1"/>
  <c r="Y902" i="1" s="1"/>
  <c r="L902" i="1"/>
  <c r="T902" i="1" s="1"/>
  <c r="X901" i="1"/>
  <c r="W901" i="1"/>
  <c r="V901" i="1"/>
  <c r="U901" i="1"/>
  <c r="T901" i="1"/>
  <c r="S901" i="1"/>
  <c r="R901" i="1"/>
  <c r="Q901" i="1"/>
  <c r="P901" i="1"/>
  <c r="O901" i="1"/>
  <c r="M901" i="1"/>
  <c r="N901" i="1" s="1"/>
  <c r="L901" i="1"/>
  <c r="X900" i="1"/>
  <c r="W900" i="1"/>
  <c r="V900" i="1"/>
  <c r="U900" i="1"/>
  <c r="S900" i="1"/>
  <c r="R900" i="1"/>
  <c r="Q900" i="1"/>
  <c r="P900" i="1"/>
  <c r="O900" i="1"/>
  <c r="M900" i="1"/>
  <c r="N900" i="1" s="1"/>
  <c r="Y900" i="1" s="1"/>
  <c r="L900" i="1"/>
  <c r="T900" i="1" s="1"/>
  <c r="X899" i="1"/>
  <c r="W899" i="1"/>
  <c r="V899" i="1"/>
  <c r="U899" i="1"/>
  <c r="S899" i="1"/>
  <c r="R899" i="1"/>
  <c r="Q899" i="1"/>
  <c r="P899" i="1"/>
  <c r="O899" i="1"/>
  <c r="M899" i="1"/>
  <c r="N899" i="1" s="1"/>
  <c r="L899" i="1"/>
  <c r="T899" i="1" s="1"/>
  <c r="Y898" i="1"/>
  <c r="X898" i="1"/>
  <c r="W898" i="1"/>
  <c r="V898" i="1"/>
  <c r="U898" i="1"/>
  <c r="S898" i="1"/>
  <c r="R898" i="1"/>
  <c r="Q898" i="1"/>
  <c r="P898" i="1"/>
  <c r="O898" i="1"/>
  <c r="N898" i="1"/>
  <c r="M898" i="1"/>
  <c r="L898" i="1"/>
  <c r="T898" i="1" s="1"/>
  <c r="X897" i="1"/>
  <c r="W897" i="1"/>
  <c r="V897" i="1"/>
  <c r="U897" i="1"/>
  <c r="S897" i="1"/>
  <c r="R897" i="1"/>
  <c r="Q897" i="1"/>
  <c r="P897" i="1"/>
  <c r="O897" i="1"/>
  <c r="M897" i="1"/>
  <c r="N897" i="1" s="1"/>
  <c r="L897" i="1"/>
  <c r="T897" i="1" s="1"/>
  <c r="X896" i="1"/>
  <c r="W896" i="1"/>
  <c r="V896" i="1"/>
  <c r="U896" i="1"/>
  <c r="S896" i="1"/>
  <c r="R896" i="1"/>
  <c r="Q896" i="1"/>
  <c r="P896" i="1"/>
  <c r="O896" i="1"/>
  <c r="M896" i="1"/>
  <c r="N896" i="1" s="1"/>
  <c r="Y896" i="1" s="1"/>
  <c r="L896" i="1"/>
  <c r="T896" i="1" s="1"/>
  <c r="X895" i="1"/>
  <c r="W895" i="1"/>
  <c r="V895" i="1"/>
  <c r="U895" i="1"/>
  <c r="S895" i="1"/>
  <c r="R895" i="1"/>
  <c r="Q895" i="1"/>
  <c r="P895" i="1"/>
  <c r="O895" i="1"/>
  <c r="M895" i="1"/>
  <c r="N895" i="1" s="1"/>
  <c r="L895" i="1"/>
  <c r="T895" i="1" s="1"/>
  <c r="Y894" i="1"/>
  <c r="X894" i="1"/>
  <c r="W894" i="1"/>
  <c r="V894" i="1"/>
  <c r="U894" i="1"/>
  <c r="S894" i="1"/>
  <c r="R894" i="1"/>
  <c r="Q894" i="1"/>
  <c r="P894" i="1"/>
  <c r="O894" i="1"/>
  <c r="N894" i="1"/>
  <c r="M894" i="1"/>
  <c r="L894" i="1"/>
  <c r="T894" i="1" s="1"/>
  <c r="X893" i="1"/>
  <c r="W893" i="1"/>
  <c r="V893" i="1"/>
  <c r="U893" i="1"/>
  <c r="T893" i="1"/>
  <c r="S893" i="1"/>
  <c r="R893" i="1"/>
  <c r="Q893" i="1"/>
  <c r="P893" i="1"/>
  <c r="O893" i="1"/>
  <c r="M893" i="1"/>
  <c r="N893" i="1" s="1"/>
  <c r="L893" i="1"/>
  <c r="Y892" i="1"/>
  <c r="X892" i="1"/>
  <c r="W892" i="1"/>
  <c r="V892" i="1"/>
  <c r="U892" i="1"/>
  <c r="S892" i="1"/>
  <c r="R892" i="1"/>
  <c r="Q892" i="1"/>
  <c r="P892" i="1"/>
  <c r="O892" i="1"/>
  <c r="M892" i="1"/>
  <c r="N892" i="1" s="1"/>
  <c r="L892" i="1"/>
  <c r="T892" i="1" s="1"/>
  <c r="X891" i="1"/>
  <c r="W891" i="1"/>
  <c r="V891" i="1"/>
  <c r="U891" i="1"/>
  <c r="S891" i="1"/>
  <c r="R891" i="1"/>
  <c r="Q891" i="1"/>
  <c r="P891" i="1"/>
  <c r="O891" i="1"/>
  <c r="M891" i="1"/>
  <c r="N891" i="1" s="1"/>
  <c r="Y891" i="1" s="1"/>
  <c r="L891" i="1"/>
  <c r="T891" i="1" s="1"/>
  <c r="Y890" i="1"/>
  <c r="X890" i="1"/>
  <c r="W890" i="1"/>
  <c r="V890" i="1"/>
  <c r="U890" i="1"/>
  <c r="S890" i="1"/>
  <c r="R890" i="1"/>
  <c r="Q890" i="1"/>
  <c r="P890" i="1"/>
  <c r="O890" i="1"/>
  <c r="N890" i="1"/>
  <c r="M890" i="1"/>
  <c r="L890" i="1"/>
  <c r="T890" i="1" s="1"/>
  <c r="X889" i="1"/>
  <c r="W889" i="1"/>
  <c r="V889" i="1"/>
  <c r="U889" i="1"/>
  <c r="T889" i="1"/>
  <c r="S889" i="1"/>
  <c r="R889" i="1"/>
  <c r="Q889" i="1"/>
  <c r="P889" i="1"/>
  <c r="O889" i="1"/>
  <c r="M889" i="1"/>
  <c r="N889" i="1" s="1"/>
  <c r="Y889" i="1" s="1"/>
  <c r="L889" i="1"/>
  <c r="X888" i="1"/>
  <c r="W888" i="1"/>
  <c r="V888" i="1"/>
  <c r="U888" i="1"/>
  <c r="S888" i="1"/>
  <c r="R888" i="1"/>
  <c r="Q888" i="1"/>
  <c r="P888" i="1"/>
  <c r="O888" i="1"/>
  <c r="M888" i="1"/>
  <c r="N888" i="1" s="1"/>
  <c r="L888" i="1"/>
  <c r="T888" i="1" s="1"/>
  <c r="X887" i="1"/>
  <c r="W887" i="1"/>
  <c r="V887" i="1"/>
  <c r="U887" i="1"/>
  <c r="S887" i="1"/>
  <c r="R887" i="1"/>
  <c r="Q887" i="1"/>
  <c r="P887" i="1"/>
  <c r="O887" i="1"/>
  <c r="M887" i="1"/>
  <c r="N887" i="1" s="1"/>
  <c r="Y887" i="1" s="1"/>
  <c r="L887" i="1"/>
  <c r="T887" i="1" s="1"/>
  <c r="X886" i="1"/>
  <c r="W886" i="1"/>
  <c r="V886" i="1"/>
  <c r="U886" i="1"/>
  <c r="S886" i="1"/>
  <c r="R886" i="1"/>
  <c r="Q886" i="1"/>
  <c r="P886" i="1"/>
  <c r="O886" i="1"/>
  <c r="M886" i="1"/>
  <c r="N886" i="1" s="1"/>
  <c r="Y886" i="1" s="1"/>
  <c r="L886" i="1"/>
  <c r="T886" i="1" s="1"/>
  <c r="X885" i="1"/>
  <c r="W885" i="1"/>
  <c r="V885" i="1"/>
  <c r="U885" i="1"/>
  <c r="T885" i="1"/>
  <c r="S885" i="1"/>
  <c r="R885" i="1"/>
  <c r="Q885" i="1"/>
  <c r="P885" i="1"/>
  <c r="O885" i="1"/>
  <c r="M885" i="1"/>
  <c r="N885" i="1" s="1"/>
  <c r="L885" i="1"/>
  <c r="X884" i="1"/>
  <c r="W884" i="1"/>
  <c r="V884" i="1"/>
  <c r="U884" i="1"/>
  <c r="S884" i="1"/>
  <c r="R884" i="1"/>
  <c r="Q884" i="1"/>
  <c r="P884" i="1"/>
  <c r="O884" i="1"/>
  <c r="M884" i="1"/>
  <c r="N884" i="1" s="1"/>
  <c r="Y884" i="1" s="1"/>
  <c r="L884" i="1"/>
  <c r="T884" i="1" s="1"/>
  <c r="X883" i="1"/>
  <c r="W883" i="1"/>
  <c r="V883" i="1"/>
  <c r="U883" i="1"/>
  <c r="S883" i="1"/>
  <c r="R883" i="1"/>
  <c r="Q883" i="1"/>
  <c r="P883" i="1"/>
  <c r="Y883" i="1" s="1"/>
  <c r="O883" i="1"/>
  <c r="M883" i="1"/>
  <c r="N883" i="1" s="1"/>
  <c r="L883" i="1"/>
  <c r="T883" i="1" s="1"/>
  <c r="X882" i="1"/>
  <c r="W882" i="1"/>
  <c r="V882" i="1"/>
  <c r="U882" i="1"/>
  <c r="S882" i="1"/>
  <c r="R882" i="1"/>
  <c r="Q882" i="1"/>
  <c r="P882" i="1"/>
  <c r="O882" i="1"/>
  <c r="N882" i="1"/>
  <c r="Y882" i="1" s="1"/>
  <c r="M882" i="1"/>
  <c r="L882" i="1"/>
  <c r="T882" i="1" s="1"/>
  <c r="X881" i="1"/>
  <c r="W881" i="1"/>
  <c r="V881" i="1"/>
  <c r="U881" i="1"/>
  <c r="T881" i="1"/>
  <c r="S881" i="1"/>
  <c r="R881" i="1"/>
  <c r="Q881" i="1"/>
  <c r="P881" i="1"/>
  <c r="O881" i="1"/>
  <c r="M881" i="1"/>
  <c r="N881" i="1" s="1"/>
  <c r="Y881" i="1" s="1"/>
  <c r="L881" i="1"/>
  <c r="X880" i="1"/>
  <c r="W880" i="1"/>
  <c r="V880" i="1"/>
  <c r="U880" i="1"/>
  <c r="S880" i="1"/>
  <c r="R880" i="1"/>
  <c r="Y880" i="1" s="1"/>
  <c r="Q880" i="1"/>
  <c r="P880" i="1"/>
  <c r="O880" i="1"/>
  <c r="M880" i="1"/>
  <c r="N880" i="1" s="1"/>
  <c r="L880" i="1"/>
  <c r="T880" i="1" s="1"/>
  <c r="X879" i="1"/>
  <c r="W879" i="1"/>
  <c r="V879" i="1"/>
  <c r="U879" i="1"/>
  <c r="S879" i="1"/>
  <c r="R879" i="1"/>
  <c r="Q879" i="1"/>
  <c r="P879" i="1"/>
  <c r="O879" i="1"/>
  <c r="M879" i="1"/>
  <c r="N879" i="1" s="1"/>
  <c r="Y879" i="1" s="1"/>
  <c r="L879" i="1"/>
  <c r="T879" i="1" s="1"/>
  <c r="X878" i="1"/>
  <c r="W878" i="1"/>
  <c r="V878" i="1"/>
  <c r="U878" i="1"/>
  <c r="S878" i="1"/>
  <c r="R878" i="1"/>
  <c r="Q878" i="1"/>
  <c r="P878" i="1"/>
  <c r="O878" i="1"/>
  <c r="N878" i="1"/>
  <c r="Y878" i="1" s="1"/>
  <c r="M878" i="1"/>
  <c r="L878" i="1"/>
  <c r="T878" i="1" s="1"/>
  <c r="X877" i="1"/>
  <c r="W877" i="1"/>
  <c r="V877" i="1"/>
  <c r="U877" i="1"/>
  <c r="T877" i="1"/>
  <c r="S877" i="1"/>
  <c r="R877" i="1"/>
  <c r="Q877" i="1"/>
  <c r="P877" i="1"/>
  <c r="O877" i="1"/>
  <c r="M877" i="1"/>
  <c r="N877" i="1" s="1"/>
  <c r="L877" i="1"/>
  <c r="X876" i="1"/>
  <c r="W876" i="1"/>
  <c r="V876" i="1"/>
  <c r="U876" i="1"/>
  <c r="S876" i="1"/>
  <c r="R876" i="1"/>
  <c r="Q876" i="1"/>
  <c r="P876" i="1"/>
  <c r="O876" i="1"/>
  <c r="M876" i="1"/>
  <c r="N876" i="1" s="1"/>
  <c r="L876" i="1"/>
  <c r="T876" i="1" s="1"/>
  <c r="X875" i="1"/>
  <c r="W875" i="1"/>
  <c r="V875" i="1"/>
  <c r="U875" i="1"/>
  <c r="S875" i="1"/>
  <c r="R875" i="1"/>
  <c r="Q875" i="1"/>
  <c r="P875" i="1"/>
  <c r="O875" i="1"/>
  <c r="M875" i="1"/>
  <c r="N875" i="1" s="1"/>
  <c r="L875" i="1"/>
  <c r="T875" i="1" s="1"/>
  <c r="X874" i="1"/>
  <c r="W874" i="1"/>
  <c r="V874" i="1"/>
  <c r="U874" i="1"/>
  <c r="S874" i="1"/>
  <c r="Y874" i="1" s="1"/>
  <c r="R874" i="1"/>
  <c r="Q874" i="1"/>
  <c r="P874" i="1"/>
  <c r="O874" i="1"/>
  <c r="N874" i="1"/>
  <c r="M874" i="1"/>
  <c r="L874" i="1"/>
  <c r="T874" i="1" s="1"/>
  <c r="X873" i="1"/>
  <c r="W873" i="1"/>
  <c r="V873" i="1"/>
  <c r="U873" i="1"/>
  <c r="T873" i="1"/>
  <c r="S873" i="1"/>
  <c r="R873" i="1"/>
  <c r="Q873" i="1"/>
  <c r="Y873" i="1" s="1"/>
  <c r="P873" i="1"/>
  <c r="O873" i="1"/>
  <c r="M873" i="1"/>
  <c r="N873" i="1" s="1"/>
  <c r="L873" i="1"/>
  <c r="X872" i="1"/>
  <c r="W872" i="1"/>
  <c r="V872" i="1"/>
  <c r="U872" i="1"/>
  <c r="S872" i="1"/>
  <c r="R872" i="1"/>
  <c r="Q872" i="1"/>
  <c r="P872" i="1"/>
  <c r="O872" i="1"/>
  <c r="M872" i="1"/>
  <c r="N872" i="1" s="1"/>
  <c r="L872" i="1"/>
  <c r="T872" i="1" s="1"/>
  <c r="X871" i="1"/>
  <c r="W871" i="1"/>
  <c r="V871" i="1"/>
  <c r="U871" i="1"/>
  <c r="S871" i="1"/>
  <c r="R871" i="1"/>
  <c r="Q871" i="1"/>
  <c r="P871" i="1"/>
  <c r="Y871" i="1" s="1"/>
  <c r="O871" i="1"/>
  <c r="M871" i="1"/>
  <c r="N871" i="1" s="1"/>
  <c r="L871" i="1"/>
  <c r="T871" i="1" s="1"/>
  <c r="X870" i="1"/>
  <c r="W870" i="1"/>
  <c r="V870" i="1"/>
  <c r="U870" i="1"/>
  <c r="S870" i="1"/>
  <c r="R870" i="1"/>
  <c r="Q870" i="1"/>
  <c r="P870" i="1"/>
  <c r="O870" i="1"/>
  <c r="M870" i="1"/>
  <c r="N870" i="1" s="1"/>
  <c r="L870" i="1"/>
  <c r="T870" i="1" s="1"/>
  <c r="X869" i="1"/>
  <c r="W869" i="1"/>
  <c r="V869" i="1"/>
  <c r="U869" i="1"/>
  <c r="T869" i="1"/>
  <c r="S869" i="1"/>
  <c r="R869" i="1"/>
  <c r="Q869" i="1"/>
  <c r="Y869" i="1" s="1"/>
  <c r="P869" i="1"/>
  <c r="O869" i="1"/>
  <c r="M869" i="1"/>
  <c r="N869" i="1" s="1"/>
  <c r="L869" i="1"/>
  <c r="X868" i="1"/>
  <c r="W868" i="1"/>
  <c r="V868" i="1"/>
  <c r="U868" i="1"/>
  <c r="S868" i="1"/>
  <c r="R868" i="1"/>
  <c r="Q868" i="1"/>
  <c r="P868" i="1"/>
  <c r="O868" i="1"/>
  <c r="M868" i="1"/>
  <c r="N868" i="1" s="1"/>
  <c r="L868" i="1"/>
  <c r="T868" i="1" s="1"/>
  <c r="X867" i="1"/>
  <c r="W867" i="1"/>
  <c r="V867" i="1"/>
  <c r="U867" i="1"/>
  <c r="S867" i="1"/>
  <c r="R867" i="1"/>
  <c r="Q867" i="1"/>
  <c r="P867" i="1"/>
  <c r="Y867" i="1" s="1"/>
  <c r="O867" i="1"/>
  <c r="M867" i="1"/>
  <c r="N867" i="1" s="1"/>
  <c r="L867" i="1"/>
  <c r="T867" i="1" s="1"/>
  <c r="X866" i="1"/>
  <c r="W866" i="1"/>
  <c r="V866" i="1"/>
  <c r="U866" i="1"/>
  <c r="S866" i="1"/>
  <c r="R866" i="1"/>
  <c r="Q866" i="1"/>
  <c r="P866" i="1"/>
  <c r="O866" i="1"/>
  <c r="M866" i="1"/>
  <c r="N866" i="1" s="1"/>
  <c r="Y866" i="1" s="1"/>
  <c r="L866" i="1"/>
  <c r="T866" i="1" s="1"/>
  <c r="X865" i="1"/>
  <c r="W865" i="1"/>
  <c r="V865" i="1"/>
  <c r="U865" i="1"/>
  <c r="T865" i="1"/>
  <c r="S865" i="1"/>
  <c r="R865" i="1"/>
  <c r="Q865" i="1"/>
  <c r="P865" i="1"/>
  <c r="O865" i="1"/>
  <c r="M865" i="1"/>
  <c r="N865" i="1" s="1"/>
  <c r="Y865" i="1" s="1"/>
  <c r="L865" i="1"/>
  <c r="X864" i="1"/>
  <c r="W864" i="1"/>
  <c r="V864" i="1"/>
  <c r="U864" i="1"/>
  <c r="S864" i="1"/>
  <c r="R864" i="1"/>
  <c r="Q864" i="1"/>
  <c r="P864" i="1"/>
  <c r="O864" i="1"/>
  <c r="M864" i="1"/>
  <c r="N864" i="1" s="1"/>
  <c r="Y864" i="1" s="1"/>
  <c r="L864" i="1"/>
  <c r="T864" i="1" s="1"/>
  <c r="X863" i="1"/>
  <c r="W863" i="1"/>
  <c r="V863" i="1"/>
  <c r="U863" i="1"/>
  <c r="S863" i="1"/>
  <c r="R863" i="1"/>
  <c r="Q863" i="1"/>
  <c r="P863" i="1"/>
  <c r="O863" i="1"/>
  <c r="M863" i="1"/>
  <c r="N863" i="1" s="1"/>
  <c r="L863" i="1"/>
  <c r="T863" i="1" s="1"/>
  <c r="X862" i="1"/>
  <c r="W862" i="1"/>
  <c r="V862" i="1"/>
  <c r="U862" i="1"/>
  <c r="S862" i="1"/>
  <c r="R862" i="1"/>
  <c r="Q862" i="1"/>
  <c r="P862" i="1"/>
  <c r="O862" i="1"/>
  <c r="N862" i="1"/>
  <c r="Y862" i="1" s="1"/>
  <c r="M862" i="1"/>
  <c r="L862" i="1"/>
  <c r="T862" i="1" s="1"/>
  <c r="X861" i="1"/>
  <c r="W861" i="1"/>
  <c r="V861" i="1"/>
  <c r="U861" i="1"/>
  <c r="T861" i="1"/>
  <c r="S861" i="1"/>
  <c r="R861" i="1"/>
  <c r="Q861" i="1"/>
  <c r="P861" i="1"/>
  <c r="O861" i="1"/>
  <c r="M861" i="1"/>
  <c r="N861" i="1" s="1"/>
  <c r="Y861" i="1" s="1"/>
  <c r="L861" i="1"/>
  <c r="X860" i="1"/>
  <c r="W860" i="1"/>
  <c r="V860" i="1"/>
  <c r="U860" i="1"/>
  <c r="S860" i="1"/>
  <c r="R860" i="1"/>
  <c r="Y860" i="1" s="1"/>
  <c r="Q860" i="1"/>
  <c r="P860" i="1"/>
  <c r="O860" i="1"/>
  <c r="M860" i="1"/>
  <c r="N860" i="1" s="1"/>
  <c r="L860" i="1"/>
  <c r="T860" i="1" s="1"/>
  <c r="X859" i="1"/>
  <c r="W859" i="1"/>
  <c r="V859" i="1"/>
  <c r="U859" i="1"/>
  <c r="S859" i="1"/>
  <c r="R859" i="1"/>
  <c r="Q859" i="1"/>
  <c r="P859" i="1"/>
  <c r="O859" i="1"/>
  <c r="M859" i="1"/>
  <c r="N859" i="1" s="1"/>
  <c r="Y859" i="1" s="1"/>
  <c r="L859" i="1"/>
  <c r="T859" i="1" s="1"/>
  <c r="X858" i="1"/>
  <c r="W858" i="1"/>
  <c r="V858" i="1"/>
  <c r="U858" i="1"/>
  <c r="S858" i="1"/>
  <c r="Y858" i="1" s="1"/>
  <c r="R858" i="1"/>
  <c r="Q858" i="1"/>
  <c r="P858" i="1"/>
  <c r="O858" i="1"/>
  <c r="N858" i="1"/>
  <c r="M858" i="1"/>
  <c r="L858" i="1"/>
  <c r="T858" i="1" s="1"/>
  <c r="X857" i="1"/>
  <c r="W857" i="1"/>
  <c r="V857" i="1"/>
  <c r="U857" i="1"/>
  <c r="T857" i="1"/>
  <c r="S857" i="1"/>
  <c r="R857" i="1"/>
  <c r="Q857" i="1"/>
  <c r="Y857" i="1" s="1"/>
  <c r="P857" i="1"/>
  <c r="O857" i="1"/>
  <c r="M857" i="1"/>
  <c r="N857" i="1" s="1"/>
  <c r="L857" i="1"/>
  <c r="X856" i="1"/>
  <c r="W856" i="1"/>
  <c r="V856" i="1"/>
  <c r="U856" i="1"/>
  <c r="S856" i="1"/>
  <c r="R856" i="1"/>
  <c r="Q856" i="1"/>
  <c r="P856" i="1"/>
  <c r="O856" i="1"/>
  <c r="M856" i="1"/>
  <c r="N856" i="1" s="1"/>
  <c r="L856" i="1"/>
  <c r="T856" i="1" s="1"/>
  <c r="X855" i="1"/>
  <c r="W855" i="1"/>
  <c r="V855" i="1"/>
  <c r="U855" i="1"/>
  <c r="S855" i="1"/>
  <c r="R855" i="1"/>
  <c r="Q855" i="1"/>
  <c r="P855" i="1"/>
  <c r="O855" i="1"/>
  <c r="Y855" i="1" s="1"/>
  <c r="M855" i="1"/>
  <c r="N855" i="1" s="1"/>
  <c r="L855" i="1"/>
  <c r="T855" i="1" s="1"/>
  <c r="X854" i="1"/>
  <c r="W854" i="1"/>
  <c r="V854" i="1"/>
  <c r="U854" i="1"/>
  <c r="S854" i="1"/>
  <c r="R854" i="1"/>
  <c r="Q854" i="1"/>
  <c r="P854" i="1"/>
  <c r="O854" i="1"/>
  <c r="N854" i="1"/>
  <c r="Y854" i="1" s="1"/>
  <c r="M854" i="1"/>
  <c r="L854" i="1"/>
  <c r="T854" i="1" s="1"/>
  <c r="X853" i="1"/>
  <c r="W853" i="1"/>
  <c r="V853" i="1"/>
  <c r="U853" i="1"/>
  <c r="T853" i="1"/>
  <c r="S853" i="1"/>
  <c r="R853" i="1"/>
  <c r="Q853" i="1"/>
  <c r="Y853" i="1" s="1"/>
  <c r="P853" i="1"/>
  <c r="O853" i="1"/>
  <c r="M853" i="1"/>
  <c r="N853" i="1" s="1"/>
  <c r="L853" i="1"/>
  <c r="Y852" i="1"/>
  <c r="X852" i="1"/>
  <c r="W852" i="1"/>
  <c r="V852" i="1"/>
  <c r="U852" i="1"/>
  <c r="S852" i="1"/>
  <c r="R852" i="1"/>
  <c r="Q852" i="1"/>
  <c r="P852" i="1"/>
  <c r="O852" i="1"/>
  <c r="M852" i="1"/>
  <c r="N852" i="1" s="1"/>
  <c r="L852" i="1"/>
  <c r="T852" i="1" s="1"/>
  <c r="X851" i="1"/>
  <c r="W851" i="1"/>
  <c r="V851" i="1"/>
  <c r="U851" i="1"/>
  <c r="S851" i="1"/>
  <c r="R851" i="1"/>
  <c r="Q851" i="1"/>
  <c r="P851" i="1"/>
  <c r="Y851" i="1" s="1"/>
  <c r="O851" i="1"/>
  <c r="M851" i="1"/>
  <c r="N851" i="1" s="1"/>
  <c r="L851" i="1"/>
  <c r="T851" i="1" s="1"/>
  <c r="Y850" i="1"/>
  <c r="X850" i="1"/>
  <c r="W850" i="1"/>
  <c r="V850" i="1"/>
  <c r="U850" i="1"/>
  <c r="S850" i="1"/>
  <c r="R850" i="1"/>
  <c r="Q850" i="1"/>
  <c r="P850" i="1"/>
  <c r="O850" i="1"/>
  <c r="M850" i="1"/>
  <c r="N850" i="1" s="1"/>
  <c r="L850" i="1"/>
  <c r="T850" i="1" s="1"/>
  <c r="X849" i="1"/>
  <c r="W849" i="1"/>
  <c r="V849" i="1"/>
  <c r="U849" i="1"/>
  <c r="S849" i="1"/>
  <c r="R849" i="1"/>
  <c r="Q849" i="1"/>
  <c r="P849" i="1"/>
  <c r="O849" i="1"/>
  <c r="M849" i="1"/>
  <c r="N849" i="1" s="1"/>
  <c r="L849" i="1"/>
  <c r="T849" i="1" s="1"/>
  <c r="X848" i="1"/>
  <c r="W848" i="1"/>
  <c r="V848" i="1"/>
  <c r="U848" i="1"/>
  <c r="S848" i="1"/>
  <c r="R848" i="1"/>
  <c r="Q848" i="1"/>
  <c r="Y848" i="1" s="1"/>
  <c r="P848" i="1"/>
  <c r="O848" i="1"/>
  <c r="M848" i="1"/>
  <c r="N848" i="1" s="1"/>
  <c r="L848" i="1"/>
  <c r="T848" i="1" s="1"/>
  <c r="X847" i="1"/>
  <c r="W847" i="1"/>
  <c r="V847" i="1"/>
  <c r="U847" i="1"/>
  <c r="S847" i="1"/>
  <c r="R847" i="1"/>
  <c r="Q847" i="1"/>
  <c r="P847" i="1"/>
  <c r="O847" i="1"/>
  <c r="M847" i="1"/>
  <c r="N847" i="1" s="1"/>
  <c r="L847" i="1"/>
  <c r="T847" i="1" s="1"/>
  <c r="Y846" i="1"/>
  <c r="X846" i="1"/>
  <c r="W846" i="1"/>
  <c r="V846" i="1"/>
  <c r="U846" i="1"/>
  <c r="S846" i="1"/>
  <c r="R846" i="1"/>
  <c r="Q846" i="1"/>
  <c r="P846" i="1"/>
  <c r="O846" i="1"/>
  <c r="N846" i="1"/>
  <c r="M846" i="1"/>
  <c r="L846" i="1"/>
  <c r="T846" i="1" s="1"/>
  <c r="X845" i="1"/>
  <c r="W845" i="1"/>
  <c r="V845" i="1"/>
  <c r="U845" i="1"/>
  <c r="S845" i="1"/>
  <c r="R845" i="1"/>
  <c r="Q845" i="1"/>
  <c r="P845" i="1"/>
  <c r="O845" i="1"/>
  <c r="M845" i="1"/>
  <c r="N845" i="1" s="1"/>
  <c r="L845" i="1"/>
  <c r="T845" i="1" s="1"/>
  <c r="X844" i="1"/>
  <c r="W844" i="1"/>
  <c r="V844" i="1"/>
  <c r="U844" i="1"/>
  <c r="S844" i="1"/>
  <c r="R844" i="1"/>
  <c r="Q844" i="1"/>
  <c r="Y844" i="1" s="1"/>
  <c r="P844" i="1"/>
  <c r="O844" i="1"/>
  <c r="N844" i="1"/>
  <c r="M844" i="1"/>
  <c r="L844" i="1"/>
  <c r="T844" i="1" s="1"/>
  <c r="X843" i="1"/>
  <c r="W843" i="1"/>
  <c r="V843" i="1"/>
  <c r="U843" i="1"/>
  <c r="T843" i="1"/>
  <c r="S843" i="1"/>
  <c r="R843" i="1"/>
  <c r="Q843" i="1"/>
  <c r="P843" i="1"/>
  <c r="O843" i="1"/>
  <c r="M843" i="1"/>
  <c r="N843" i="1" s="1"/>
  <c r="Y843" i="1" s="1"/>
  <c r="L843" i="1"/>
  <c r="X842" i="1"/>
  <c r="W842" i="1"/>
  <c r="V842" i="1"/>
  <c r="U842" i="1"/>
  <c r="S842" i="1"/>
  <c r="R842" i="1"/>
  <c r="Q842" i="1"/>
  <c r="P842" i="1"/>
  <c r="O842" i="1"/>
  <c r="N842" i="1"/>
  <c r="M842" i="1"/>
  <c r="L842" i="1"/>
  <c r="T842" i="1" s="1"/>
  <c r="X841" i="1"/>
  <c r="W841" i="1"/>
  <c r="V841" i="1"/>
  <c r="U841" i="1"/>
  <c r="T841" i="1"/>
  <c r="S841" i="1"/>
  <c r="R841" i="1"/>
  <c r="Q841" i="1"/>
  <c r="P841" i="1"/>
  <c r="Y841" i="1" s="1"/>
  <c r="O841" i="1"/>
  <c r="M841" i="1"/>
  <c r="N841" i="1" s="1"/>
  <c r="L841" i="1"/>
  <c r="X840" i="1"/>
  <c r="W840" i="1"/>
  <c r="V840" i="1"/>
  <c r="U840" i="1"/>
  <c r="S840" i="1"/>
  <c r="R840" i="1"/>
  <c r="Q840" i="1"/>
  <c r="P840" i="1"/>
  <c r="O840" i="1"/>
  <c r="M840" i="1"/>
  <c r="N840" i="1" s="1"/>
  <c r="L840" i="1"/>
  <c r="T840" i="1" s="1"/>
  <c r="X839" i="1"/>
  <c r="W839" i="1"/>
  <c r="V839" i="1"/>
  <c r="U839" i="1"/>
  <c r="S839" i="1"/>
  <c r="R839" i="1"/>
  <c r="Q839" i="1"/>
  <c r="P839" i="1"/>
  <c r="O839" i="1"/>
  <c r="M839" i="1"/>
  <c r="N839" i="1" s="1"/>
  <c r="L839" i="1"/>
  <c r="T839" i="1" s="1"/>
  <c r="X838" i="1"/>
  <c r="W838" i="1"/>
  <c r="V838" i="1"/>
  <c r="U838" i="1"/>
  <c r="S838" i="1"/>
  <c r="R838" i="1"/>
  <c r="Q838" i="1"/>
  <c r="P838" i="1"/>
  <c r="O838" i="1"/>
  <c r="N838" i="1"/>
  <c r="Y838" i="1" s="1"/>
  <c r="M838" i="1"/>
  <c r="L838" i="1"/>
  <c r="T838" i="1" s="1"/>
  <c r="X837" i="1"/>
  <c r="W837" i="1"/>
  <c r="V837" i="1"/>
  <c r="U837" i="1"/>
  <c r="T837" i="1"/>
  <c r="S837" i="1"/>
  <c r="R837" i="1"/>
  <c r="Q837" i="1"/>
  <c r="P837" i="1"/>
  <c r="O837" i="1"/>
  <c r="M837" i="1"/>
  <c r="N837" i="1" s="1"/>
  <c r="Y837" i="1" s="1"/>
  <c r="L837" i="1"/>
  <c r="X836" i="1"/>
  <c r="W836" i="1"/>
  <c r="V836" i="1"/>
  <c r="U836" i="1"/>
  <c r="S836" i="1"/>
  <c r="R836" i="1"/>
  <c r="Y836" i="1" s="1"/>
  <c r="Q836" i="1"/>
  <c r="P836" i="1"/>
  <c r="O836" i="1"/>
  <c r="N836" i="1"/>
  <c r="M836" i="1"/>
  <c r="L836" i="1"/>
  <c r="T836" i="1" s="1"/>
  <c r="X835" i="1"/>
  <c r="W835" i="1"/>
  <c r="V835" i="1"/>
  <c r="U835" i="1"/>
  <c r="T835" i="1"/>
  <c r="S835" i="1"/>
  <c r="R835" i="1"/>
  <c r="Q835" i="1"/>
  <c r="P835" i="1"/>
  <c r="Y835" i="1" s="1"/>
  <c r="O835" i="1"/>
  <c r="M835" i="1"/>
  <c r="N835" i="1" s="1"/>
  <c r="L835" i="1"/>
  <c r="X834" i="1"/>
  <c r="W834" i="1"/>
  <c r="V834" i="1"/>
  <c r="U834" i="1"/>
  <c r="S834" i="1"/>
  <c r="R834" i="1"/>
  <c r="Q834" i="1"/>
  <c r="P834" i="1"/>
  <c r="O834" i="1"/>
  <c r="N834" i="1"/>
  <c r="Y834" i="1" s="1"/>
  <c r="M834" i="1"/>
  <c r="L834" i="1"/>
  <c r="T834" i="1" s="1"/>
  <c r="X833" i="1"/>
  <c r="W833" i="1"/>
  <c r="V833" i="1"/>
  <c r="U833" i="1"/>
  <c r="T833" i="1"/>
  <c r="S833" i="1"/>
  <c r="R833" i="1"/>
  <c r="Q833" i="1"/>
  <c r="Y833" i="1" s="1"/>
  <c r="P833" i="1"/>
  <c r="O833" i="1"/>
  <c r="M833" i="1"/>
  <c r="N833" i="1" s="1"/>
  <c r="L833" i="1"/>
  <c r="X832" i="1"/>
  <c r="W832" i="1"/>
  <c r="V832" i="1"/>
  <c r="U832" i="1"/>
  <c r="S832" i="1"/>
  <c r="R832" i="1"/>
  <c r="Q832" i="1"/>
  <c r="P832" i="1"/>
  <c r="O832" i="1"/>
  <c r="M832" i="1"/>
  <c r="N832" i="1" s="1"/>
  <c r="Y832" i="1" s="1"/>
  <c r="L832" i="1"/>
  <c r="T832" i="1" s="1"/>
  <c r="X831" i="1"/>
  <c r="W831" i="1"/>
  <c r="V831" i="1"/>
  <c r="U831" i="1"/>
  <c r="S831" i="1"/>
  <c r="R831" i="1"/>
  <c r="Q831" i="1"/>
  <c r="P831" i="1"/>
  <c r="O831" i="1"/>
  <c r="N831" i="1"/>
  <c r="Y831" i="1" s="1"/>
  <c r="M831" i="1"/>
  <c r="L831" i="1"/>
  <c r="T831" i="1" s="1"/>
  <c r="X830" i="1"/>
  <c r="W830" i="1"/>
  <c r="V830" i="1"/>
  <c r="U830" i="1"/>
  <c r="T830" i="1"/>
  <c r="S830" i="1"/>
  <c r="R830" i="1"/>
  <c r="Q830" i="1"/>
  <c r="P830" i="1"/>
  <c r="O830" i="1"/>
  <c r="M830" i="1"/>
  <c r="N830" i="1" s="1"/>
  <c r="L830" i="1"/>
  <c r="X829" i="1"/>
  <c r="W829" i="1"/>
  <c r="V829" i="1"/>
  <c r="U829" i="1"/>
  <c r="S829" i="1"/>
  <c r="R829" i="1"/>
  <c r="Q829" i="1"/>
  <c r="P829" i="1"/>
  <c r="Y829" i="1" s="1"/>
  <c r="O829" i="1"/>
  <c r="M829" i="1"/>
  <c r="N829" i="1" s="1"/>
  <c r="L829" i="1"/>
  <c r="T829" i="1" s="1"/>
  <c r="X828" i="1"/>
  <c r="W828" i="1"/>
  <c r="V828" i="1"/>
  <c r="U828" i="1"/>
  <c r="S828" i="1"/>
  <c r="R828" i="1"/>
  <c r="Q828" i="1"/>
  <c r="P828" i="1"/>
  <c r="O828" i="1"/>
  <c r="M828" i="1"/>
  <c r="N828" i="1" s="1"/>
  <c r="L828" i="1"/>
  <c r="T828" i="1" s="1"/>
  <c r="X827" i="1"/>
  <c r="W827" i="1"/>
  <c r="V827" i="1"/>
  <c r="U827" i="1"/>
  <c r="S827" i="1"/>
  <c r="R827" i="1"/>
  <c r="Q827" i="1"/>
  <c r="P827" i="1"/>
  <c r="O827" i="1"/>
  <c r="M827" i="1"/>
  <c r="N827" i="1" s="1"/>
  <c r="L827" i="1"/>
  <c r="T827" i="1" s="1"/>
  <c r="X826" i="1"/>
  <c r="W826" i="1"/>
  <c r="V826" i="1"/>
  <c r="U826" i="1"/>
  <c r="T826" i="1"/>
  <c r="S826" i="1"/>
  <c r="R826" i="1"/>
  <c r="Q826" i="1"/>
  <c r="P826" i="1"/>
  <c r="O826" i="1"/>
  <c r="M826" i="1"/>
  <c r="N826" i="1" s="1"/>
  <c r="Y826" i="1" s="1"/>
  <c r="L826" i="1"/>
  <c r="X825" i="1"/>
  <c r="W825" i="1"/>
  <c r="V825" i="1"/>
  <c r="U825" i="1"/>
  <c r="S825" i="1"/>
  <c r="R825" i="1"/>
  <c r="Q825" i="1"/>
  <c r="P825" i="1"/>
  <c r="O825" i="1"/>
  <c r="Y825" i="1" s="1"/>
  <c r="M825" i="1"/>
  <c r="N825" i="1" s="1"/>
  <c r="L825" i="1"/>
  <c r="T825" i="1" s="1"/>
  <c r="X824" i="1"/>
  <c r="W824" i="1"/>
  <c r="V824" i="1"/>
  <c r="U824" i="1"/>
  <c r="S824" i="1"/>
  <c r="R824" i="1"/>
  <c r="Q824" i="1"/>
  <c r="P824" i="1"/>
  <c r="O824" i="1"/>
  <c r="N824" i="1"/>
  <c r="M824" i="1"/>
  <c r="L824" i="1"/>
  <c r="T824" i="1" s="1"/>
  <c r="X823" i="1"/>
  <c r="W823" i="1"/>
  <c r="V823" i="1"/>
  <c r="U823" i="1"/>
  <c r="T823" i="1"/>
  <c r="S823" i="1"/>
  <c r="R823" i="1"/>
  <c r="Q823" i="1"/>
  <c r="P823" i="1"/>
  <c r="O823" i="1"/>
  <c r="M823" i="1"/>
  <c r="N823" i="1" s="1"/>
  <c r="Y823" i="1" s="1"/>
  <c r="L823" i="1"/>
  <c r="X822" i="1"/>
  <c r="W822" i="1"/>
  <c r="V822" i="1"/>
  <c r="U822" i="1"/>
  <c r="T822" i="1"/>
  <c r="S822" i="1"/>
  <c r="R822" i="1"/>
  <c r="Q822" i="1"/>
  <c r="Y822" i="1" s="1"/>
  <c r="P822" i="1"/>
  <c r="O822" i="1"/>
  <c r="M822" i="1"/>
  <c r="N822" i="1" s="1"/>
  <c r="L822" i="1"/>
  <c r="X821" i="1"/>
  <c r="W821" i="1"/>
  <c r="V821" i="1"/>
  <c r="U821" i="1"/>
  <c r="S821" i="1"/>
  <c r="R821" i="1"/>
  <c r="Q821" i="1"/>
  <c r="P821" i="1"/>
  <c r="O821" i="1"/>
  <c r="M821" i="1"/>
  <c r="N821" i="1" s="1"/>
  <c r="Y821" i="1" s="1"/>
  <c r="L821" i="1"/>
  <c r="T821" i="1" s="1"/>
  <c r="X820" i="1"/>
  <c r="W820" i="1"/>
  <c r="V820" i="1"/>
  <c r="U820" i="1"/>
  <c r="S820" i="1"/>
  <c r="R820" i="1"/>
  <c r="Q820" i="1"/>
  <c r="P820" i="1"/>
  <c r="O820" i="1"/>
  <c r="N820" i="1"/>
  <c r="M820" i="1"/>
  <c r="L820" i="1"/>
  <c r="T820" i="1" s="1"/>
  <c r="X819" i="1"/>
  <c r="W819" i="1"/>
  <c r="V819" i="1"/>
  <c r="U819" i="1"/>
  <c r="S819" i="1"/>
  <c r="R819" i="1"/>
  <c r="Q819" i="1"/>
  <c r="P819" i="1"/>
  <c r="O819" i="1"/>
  <c r="N819" i="1"/>
  <c r="M819" i="1"/>
  <c r="L819" i="1"/>
  <c r="T819" i="1" s="1"/>
  <c r="X818" i="1"/>
  <c r="W818" i="1"/>
  <c r="V818" i="1"/>
  <c r="U818" i="1"/>
  <c r="T818" i="1"/>
  <c r="S818" i="1"/>
  <c r="R818" i="1"/>
  <c r="Q818" i="1"/>
  <c r="Y818" i="1" s="1"/>
  <c r="P818" i="1"/>
  <c r="O818" i="1"/>
  <c r="M818" i="1"/>
  <c r="N818" i="1" s="1"/>
  <c r="L818" i="1"/>
  <c r="X817" i="1"/>
  <c r="W817" i="1"/>
  <c r="V817" i="1"/>
  <c r="U817" i="1"/>
  <c r="S817" i="1"/>
  <c r="R817" i="1"/>
  <c r="Q817" i="1"/>
  <c r="P817" i="1"/>
  <c r="Y817" i="1" s="1"/>
  <c r="O817" i="1"/>
  <c r="M817" i="1"/>
  <c r="N817" i="1" s="1"/>
  <c r="L817" i="1"/>
  <c r="T817" i="1" s="1"/>
  <c r="X816" i="1"/>
  <c r="W816" i="1"/>
  <c r="V816" i="1"/>
  <c r="U816" i="1"/>
  <c r="S816" i="1"/>
  <c r="R816" i="1"/>
  <c r="Q816" i="1"/>
  <c r="P816" i="1"/>
  <c r="O816" i="1"/>
  <c r="M816" i="1"/>
  <c r="N816" i="1" s="1"/>
  <c r="L816" i="1"/>
  <c r="T816" i="1" s="1"/>
  <c r="X815" i="1"/>
  <c r="W815" i="1"/>
  <c r="V815" i="1"/>
  <c r="U815" i="1"/>
  <c r="S815" i="1"/>
  <c r="R815" i="1"/>
  <c r="Q815" i="1"/>
  <c r="P815" i="1"/>
  <c r="O815" i="1"/>
  <c r="N815" i="1"/>
  <c r="M815" i="1"/>
  <c r="L815" i="1"/>
  <c r="T815" i="1" s="1"/>
  <c r="X814" i="1"/>
  <c r="W814" i="1"/>
  <c r="V814" i="1"/>
  <c r="U814" i="1"/>
  <c r="T814" i="1"/>
  <c r="S814" i="1"/>
  <c r="R814" i="1"/>
  <c r="Q814" i="1"/>
  <c r="P814" i="1"/>
  <c r="O814" i="1"/>
  <c r="M814" i="1"/>
  <c r="N814" i="1" s="1"/>
  <c r="L814" i="1"/>
  <c r="X813" i="1"/>
  <c r="W813" i="1"/>
  <c r="V813" i="1"/>
  <c r="U813" i="1"/>
  <c r="S813" i="1"/>
  <c r="R813" i="1"/>
  <c r="Q813" i="1"/>
  <c r="P813" i="1"/>
  <c r="Y813" i="1" s="1"/>
  <c r="O813" i="1"/>
  <c r="M813" i="1"/>
  <c r="N813" i="1" s="1"/>
  <c r="L813" i="1"/>
  <c r="T813" i="1" s="1"/>
  <c r="X812" i="1"/>
  <c r="W812" i="1"/>
  <c r="V812" i="1"/>
  <c r="U812" i="1"/>
  <c r="S812" i="1"/>
  <c r="R812" i="1"/>
  <c r="Q812" i="1"/>
  <c r="P812" i="1"/>
  <c r="Y812" i="1" s="1"/>
  <c r="O812" i="1"/>
  <c r="M812" i="1"/>
  <c r="N812" i="1" s="1"/>
  <c r="L812" i="1"/>
  <c r="T812" i="1" s="1"/>
  <c r="X811" i="1"/>
  <c r="W811" i="1"/>
  <c r="V811" i="1"/>
  <c r="U811" i="1"/>
  <c r="T811" i="1"/>
  <c r="S811" i="1"/>
  <c r="R811" i="1"/>
  <c r="Q811" i="1"/>
  <c r="P811" i="1"/>
  <c r="O811" i="1"/>
  <c r="M811" i="1"/>
  <c r="N811" i="1" s="1"/>
  <c r="Y811" i="1" s="1"/>
  <c r="L811" i="1"/>
  <c r="X810" i="1"/>
  <c r="W810" i="1"/>
  <c r="V810" i="1"/>
  <c r="U810" i="1"/>
  <c r="T810" i="1"/>
  <c r="S810" i="1"/>
  <c r="R810" i="1"/>
  <c r="Q810" i="1"/>
  <c r="P810" i="1"/>
  <c r="O810" i="1"/>
  <c r="M810" i="1"/>
  <c r="N810" i="1" s="1"/>
  <c r="L810" i="1"/>
  <c r="X809" i="1"/>
  <c r="W809" i="1"/>
  <c r="V809" i="1"/>
  <c r="U809" i="1"/>
  <c r="S809" i="1"/>
  <c r="R809" i="1"/>
  <c r="Q809" i="1"/>
  <c r="P809" i="1"/>
  <c r="O809" i="1"/>
  <c r="M809" i="1"/>
  <c r="N809" i="1" s="1"/>
  <c r="Y809" i="1" s="1"/>
  <c r="L809" i="1"/>
  <c r="T809" i="1" s="1"/>
  <c r="X808" i="1"/>
  <c r="W808" i="1"/>
  <c r="V808" i="1"/>
  <c r="U808" i="1"/>
  <c r="S808" i="1"/>
  <c r="R808" i="1"/>
  <c r="Q808" i="1"/>
  <c r="P808" i="1"/>
  <c r="O808" i="1"/>
  <c r="Y808" i="1" s="1"/>
  <c r="M808" i="1"/>
  <c r="N808" i="1" s="1"/>
  <c r="L808" i="1"/>
  <c r="T808" i="1" s="1"/>
  <c r="X807" i="1"/>
  <c r="W807" i="1"/>
  <c r="V807" i="1"/>
  <c r="U807" i="1"/>
  <c r="S807" i="1"/>
  <c r="R807" i="1"/>
  <c r="Q807" i="1"/>
  <c r="P807" i="1"/>
  <c r="O807" i="1"/>
  <c r="M807" i="1"/>
  <c r="N807" i="1" s="1"/>
  <c r="L807" i="1"/>
  <c r="T807" i="1" s="1"/>
  <c r="X806" i="1"/>
  <c r="W806" i="1"/>
  <c r="V806" i="1"/>
  <c r="U806" i="1"/>
  <c r="S806" i="1"/>
  <c r="R806" i="1"/>
  <c r="Q806" i="1"/>
  <c r="P806" i="1"/>
  <c r="O806" i="1"/>
  <c r="M806" i="1"/>
  <c r="N806" i="1" s="1"/>
  <c r="Y806" i="1" s="1"/>
  <c r="L806" i="1"/>
  <c r="T806" i="1" s="1"/>
  <c r="X805" i="1"/>
  <c r="W805" i="1"/>
  <c r="V805" i="1"/>
  <c r="U805" i="1"/>
  <c r="S805" i="1"/>
  <c r="R805" i="1"/>
  <c r="Q805" i="1"/>
  <c r="P805" i="1"/>
  <c r="O805" i="1"/>
  <c r="M805" i="1"/>
  <c r="N805" i="1" s="1"/>
  <c r="L805" i="1"/>
  <c r="T805" i="1" s="1"/>
  <c r="X804" i="1"/>
  <c r="W804" i="1"/>
  <c r="V804" i="1"/>
  <c r="U804" i="1"/>
  <c r="S804" i="1"/>
  <c r="R804" i="1"/>
  <c r="Q804" i="1"/>
  <c r="P804" i="1"/>
  <c r="O804" i="1"/>
  <c r="N804" i="1"/>
  <c r="Y804" i="1" s="1"/>
  <c r="M804" i="1"/>
  <c r="L804" i="1"/>
  <c r="T804" i="1" s="1"/>
  <c r="X803" i="1"/>
  <c r="W803" i="1"/>
  <c r="V803" i="1"/>
  <c r="U803" i="1"/>
  <c r="S803" i="1"/>
  <c r="R803" i="1"/>
  <c r="Q803" i="1"/>
  <c r="P803" i="1"/>
  <c r="O803" i="1"/>
  <c r="M803" i="1"/>
  <c r="N803" i="1" s="1"/>
  <c r="L803" i="1"/>
  <c r="T803" i="1" s="1"/>
  <c r="X802" i="1"/>
  <c r="W802" i="1"/>
  <c r="V802" i="1"/>
  <c r="U802" i="1"/>
  <c r="S802" i="1"/>
  <c r="R802" i="1"/>
  <c r="Q802" i="1"/>
  <c r="P802" i="1"/>
  <c r="O802" i="1"/>
  <c r="M802" i="1"/>
  <c r="N802" i="1" s="1"/>
  <c r="Y802" i="1" s="1"/>
  <c r="L802" i="1"/>
  <c r="T802" i="1" s="1"/>
  <c r="X801" i="1"/>
  <c r="W801" i="1"/>
  <c r="V801" i="1"/>
  <c r="U801" i="1"/>
  <c r="S801" i="1"/>
  <c r="R801" i="1"/>
  <c r="Q801" i="1"/>
  <c r="P801" i="1"/>
  <c r="O801" i="1"/>
  <c r="M801" i="1"/>
  <c r="N801" i="1" s="1"/>
  <c r="L801" i="1"/>
  <c r="T801" i="1" s="1"/>
  <c r="X800" i="1"/>
  <c r="W800" i="1"/>
  <c r="V800" i="1"/>
  <c r="U800" i="1"/>
  <c r="S800" i="1"/>
  <c r="R800" i="1"/>
  <c r="Q800" i="1"/>
  <c r="P800" i="1"/>
  <c r="O800" i="1"/>
  <c r="M800" i="1"/>
  <c r="N800" i="1" s="1"/>
  <c r="Y800" i="1" s="1"/>
  <c r="L800" i="1"/>
  <c r="T800" i="1" s="1"/>
  <c r="X799" i="1"/>
  <c r="W799" i="1"/>
  <c r="V799" i="1"/>
  <c r="U799" i="1"/>
  <c r="S799" i="1"/>
  <c r="R799" i="1"/>
  <c r="Q799" i="1"/>
  <c r="P799" i="1"/>
  <c r="O799" i="1"/>
  <c r="M799" i="1"/>
  <c r="N799" i="1" s="1"/>
  <c r="Y799" i="1" s="1"/>
  <c r="L799" i="1"/>
  <c r="T799" i="1" s="1"/>
  <c r="X798" i="1"/>
  <c r="W798" i="1"/>
  <c r="V798" i="1"/>
  <c r="U798" i="1"/>
  <c r="T798" i="1"/>
  <c r="S798" i="1"/>
  <c r="R798" i="1"/>
  <c r="Q798" i="1"/>
  <c r="Y798" i="1" s="1"/>
  <c r="P798" i="1"/>
  <c r="O798" i="1"/>
  <c r="M798" i="1"/>
  <c r="N798" i="1" s="1"/>
  <c r="L798" i="1"/>
  <c r="X797" i="1"/>
  <c r="W797" i="1"/>
  <c r="V797" i="1"/>
  <c r="U797" i="1"/>
  <c r="S797" i="1"/>
  <c r="R797" i="1"/>
  <c r="Q797" i="1"/>
  <c r="P797" i="1"/>
  <c r="O797" i="1"/>
  <c r="Y797" i="1" s="1"/>
  <c r="M797" i="1"/>
  <c r="N797" i="1" s="1"/>
  <c r="L797" i="1"/>
  <c r="T797" i="1" s="1"/>
  <c r="X796" i="1"/>
  <c r="W796" i="1"/>
  <c r="V796" i="1"/>
  <c r="U796" i="1"/>
  <c r="S796" i="1"/>
  <c r="R796" i="1"/>
  <c r="Q796" i="1"/>
  <c r="P796" i="1"/>
  <c r="Y796" i="1" s="1"/>
  <c r="O796" i="1"/>
  <c r="M796" i="1"/>
  <c r="N796" i="1" s="1"/>
  <c r="L796" i="1"/>
  <c r="T796" i="1" s="1"/>
  <c r="X795" i="1"/>
  <c r="W795" i="1"/>
  <c r="V795" i="1"/>
  <c r="U795" i="1"/>
  <c r="S795" i="1"/>
  <c r="R795" i="1"/>
  <c r="Q795" i="1"/>
  <c r="P795" i="1"/>
  <c r="O795" i="1"/>
  <c r="N795" i="1"/>
  <c r="M795" i="1"/>
  <c r="L795" i="1"/>
  <c r="T795" i="1" s="1"/>
  <c r="X794" i="1"/>
  <c r="W794" i="1"/>
  <c r="V794" i="1"/>
  <c r="U794" i="1"/>
  <c r="T794" i="1"/>
  <c r="S794" i="1"/>
  <c r="R794" i="1"/>
  <c r="Q794" i="1"/>
  <c r="P794" i="1"/>
  <c r="O794" i="1"/>
  <c r="M794" i="1"/>
  <c r="N794" i="1" s="1"/>
  <c r="Y794" i="1" s="1"/>
  <c r="L794" i="1"/>
  <c r="X793" i="1"/>
  <c r="W793" i="1"/>
  <c r="V793" i="1"/>
  <c r="U793" i="1"/>
  <c r="S793" i="1"/>
  <c r="R793" i="1"/>
  <c r="Q793" i="1"/>
  <c r="P793" i="1"/>
  <c r="O793" i="1"/>
  <c r="Y793" i="1" s="1"/>
  <c r="M793" i="1"/>
  <c r="N793" i="1" s="1"/>
  <c r="L793" i="1"/>
  <c r="T793" i="1" s="1"/>
  <c r="X792" i="1"/>
  <c r="W792" i="1"/>
  <c r="V792" i="1"/>
  <c r="U792" i="1"/>
  <c r="S792" i="1"/>
  <c r="R792" i="1"/>
  <c r="Q792" i="1"/>
  <c r="P792" i="1"/>
  <c r="O792" i="1"/>
  <c r="N792" i="1"/>
  <c r="Y792" i="1" s="1"/>
  <c r="M792" i="1"/>
  <c r="L792" i="1"/>
  <c r="T792" i="1" s="1"/>
  <c r="X791" i="1"/>
  <c r="W791" i="1"/>
  <c r="V791" i="1"/>
  <c r="U791" i="1"/>
  <c r="T791" i="1"/>
  <c r="S791" i="1"/>
  <c r="R791" i="1"/>
  <c r="Q791" i="1"/>
  <c r="P791" i="1"/>
  <c r="O791" i="1"/>
  <c r="M791" i="1"/>
  <c r="N791" i="1" s="1"/>
  <c r="Y791" i="1" s="1"/>
  <c r="L791" i="1"/>
  <c r="X790" i="1"/>
  <c r="W790" i="1"/>
  <c r="V790" i="1"/>
  <c r="U790" i="1"/>
  <c r="T790" i="1"/>
  <c r="S790" i="1"/>
  <c r="R790" i="1"/>
  <c r="Q790" i="1"/>
  <c r="P790" i="1"/>
  <c r="O790" i="1"/>
  <c r="Y790" i="1" s="1"/>
  <c r="M790" i="1"/>
  <c r="N790" i="1" s="1"/>
  <c r="L790" i="1"/>
  <c r="X789" i="1"/>
  <c r="W789" i="1"/>
  <c r="V789" i="1"/>
  <c r="U789" i="1"/>
  <c r="S789" i="1"/>
  <c r="R789" i="1"/>
  <c r="Q789" i="1"/>
  <c r="P789" i="1"/>
  <c r="O789" i="1"/>
  <c r="M789" i="1"/>
  <c r="N789" i="1" s="1"/>
  <c r="L789" i="1"/>
  <c r="T789" i="1" s="1"/>
  <c r="X788" i="1"/>
  <c r="W788" i="1"/>
  <c r="V788" i="1"/>
  <c r="U788" i="1"/>
  <c r="S788" i="1"/>
  <c r="R788" i="1"/>
  <c r="Q788" i="1"/>
  <c r="P788" i="1"/>
  <c r="O788" i="1"/>
  <c r="Y788" i="1" s="1"/>
  <c r="M788" i="1"/>
  <c r="N788" i="1" s="1"/>
  <c r="L788" i="1"/>
  <c r="T788" i="1" s="1"/>
  <c r="X787" i="1"/>
  <c r="W787" i="1"/>
  <c r="V787" i="1"/>
  <c r="U787" i="1"/>
  <c r="S787" i="1"/>
  <c r="R787" i="1"/>
  <c r="Q787" i="1"/>
  <c r="P787" i="1"/>
  <c r="O787" i="1"/>
  <c r="M787" i="1"/>
  <c r="N787" i="1" s="1"/>
  <c r="Y787" i="1" s="1"/>
  <c r="L787" i="1"/>
  <c r="T787" i="1" s="1"/>
  <c r="X786" i="1"/>
  <c r="W786" i="1"/>
  <c r="V786" i="1"/>
  <c r="U786" i="1"/>
  <c r="T786" i="1"/>
  <c r="S786" i="1"/>
  <c r="R786" i="1"/>
  <c r="Q786" i="1"/>
  <c r="P786" i="1"/>
  <c r="O786" i="1"/>
  <c r="M786" i="1"/>
  <c r="N786" i="1" s="1"/>
  <c r="Y786" i="1" s="1"/>
  <c r="L786" i="1"/>
  <c r="X785" i="1"/>
  <c r="W785" i="1"/>
  <c r="V785" i="1"/>
  <c r="U785" i="1"/>
  <c r="S785" i="1"/>
  <c r="R785" i="1"/>
  <c r="Q785" i="1"/>
  <c r="P785" i="1"/>
  <c r="Y785" i="1" s="1"/>
  <c r="O785" i="1"/>
  <c r="M785" i="1"/>
  <c r="N785" i="1" s="1"/>
  <c r="L785" i="1"/>
  <c r="T785" i="1" s="1"/>
  <c r="X784" i="1"/>
  <c r="W784" i="1"/>
  <c r="V784" i="1"/>
  <c r="U784" i="1"/>
  <c r="S784" i="1"/>
  <c r="R784" i="1"/>
  <c r="Q784" i="1"/>
  <c r="P784" i="1"/>
  <c r="O784" i="1"/>
  <c r="N784" i="1"/>
  <c r="M784" i="1"/>
  <c r="L784" i="1"/>
  <c r="T784" i="1" s="1"/>
  <c r="X783" i="1"/>
  <c r="W783" i="1"/>
  <c r="V783" i="1"/>
  <c r="U783" i="1"/>
  <c r="S783" i="1"/>
  <c r="R783" i="1"/>
  <c r="Q783" i="1"/>
  <c r="P783" i="1"/>
  <c r="O783" i="1"/>
  <c r="M783" i="1"/>
  <c r="N783" i="1" s="1"/>
  <c r="L783" i="1"/>
  <c r="T783" i="1" s="1"/>
  <c r="X782" i="1"/>
  <c r="W782" i="1"/>
  <c r="V782" i="1"/>
  <c r="U782" i="1"/>
  <c r="S782" i="1"/>
  <c r="R782" i="1"/>
  <c r="Q782" i="1"/>
  <c r="P782" i="1"/>
  <c r="O782" i="1"/>
  <c r="Y782" i="1" s="1"/>
  <c r="M782" i="1"/>
  <c r="N782" i="1" s="1"/>
  <c r="L782" i="1"/>
  <c r="T782" i="1" s="1"/>
  <c r="X781" i="1"/>
  <c r="W781" i="1"/>
  <c r="V781" i="1"/>
  <c r="U781" i="1"/>
  <c r="S781" i="1"/>
  <c r="R781" i="1"/>
  <c r="Q781" i="1"/>
  <c r="P781" i="1"/>
  <c r="O781" i="1"/>
  <c r="M781" i="1"/>
  <c r="N781" i="1" s="1"/>
  <c r="L781" i="1"/>
  <c r="T781" i="1" s="1"/>
  <c r="X780" i="1"/>
  <c r="W780" i="1"/>
  <c r="V780" i="1"/>
  <c r="U780" i="1"/>
  <c r="S780" i="1"/>
  <c r="R780" i="1"/>
  <c r="Q780" i="1"/>
  <c r="P780" i="1"/>
  <c r="Y780" i="1" s="1"/>
  <c r="O780" i="1"/>
  <c r="M780" i="1"/>
  <c r="N780" i="1" s="1"/>
  <c r="L780" i="1"/>
  <c r="T780" i="1" s="1"/>
  <c r="X779" i="1"/>
  <c r="W779" i="1"/>
  <c r="V779" i="1"/>
  <c r="U779" i="1"/>
  <c r="S779" i="1"/>
  <c r="R779" i="1"/>
  <c r="Q779" i="1"/>
  <c r="P779" i="1"/>
  <c r="O779" i="1"/>
  <c r="M779" i="1"/>
  <c r="N779" i="1" s="1"/>
  <c r="Y779" i="1" s="1"/>
  <c r="L779" i="1"/>
  <c r="T779" i="1" s="1"/>
  <c r="X778" i="1"/>
  <c r="W778" i="1"/>
  <c r="V778" i="1"/>
  <c r="U778" i="1"/>
  <c r="S778" i="1"/>
  <c r="R778" i="1"/>
  <c r="Q778" i="1"/>
  <c r="P778" i="1"/>
  <c r="O778" i="1"/>
  <c r="M778" i="1"/>
  <c r="N778" i="1" s="1"/>
  <c r="L778" i="1"/>
  <c r="T778" i="1" s="1"/>
  <c r="X777" i="1"/>
  <c r="W777" i="1"/>
  <c r="V777" i="1"/>
  <c r="U777" i="1"/>
  <c r="S777" i="1"/>
  <c r="R777" i="1"/>
  <c r="Q777" i="1"/>
  <c r="P777" i="1"/>
  <c r="O777" i="1"/>
  <c r="Y777" i="1" s="1"/>
  <c r="M777" i="1"/>
  <c r="N777" i="1" s="1"/>
  <c r="L777" i="1"/>
  <c r="T777" i="1" s="1"/>
  <c r="X776" i="1"/>
  <c r="W776" i="1"/>
  <c r="V776" i="1"/>
  <c r="U776" i="1"/>
  <c r="S776" i="1"/>
  <c r="R776" i="1"/>
  <c r="Q776" i="1"/>
  <c r="P776" i="1"/>
  <c r="O776" i="1"/>
  <c r="N776" i="1"/>
  <c r="Y776" i="1" s="1"/>
  <c r="M776" i="1"/>
  <c r="L776" i="1"/>
  <c r="T776" i="1" s="1"/>
  <c r="X775" i="1"/>
  <c r="W775" i="1"/>
  <c r="V775" i="1"/>
  <c r="U775" i="1"/>
  <c r="T775" i="1"/>
  <c r="S775" i="1"/>
  <c r="R775" i="1"/>
  <c r="Q775" i="1"/>
  <c r="P775" i="1"/>
  <c r="O775" i="1"/>
  <c r="M775" i="1"/>
  <c r="N775" i="1" s="1"/>
  <c r="Y775" i="1" s="1"/>
  <c r="L775" i="1"/>
  <c r="X774" i="1"/>
  <c r="W774" i="1"/>
  <c r="V774" i="1"/>
  <c r="U774" i="1"/>
  <c r="S774" i="1"/>
  <c r="R774" i="1"/>
  <c r="Y774" i="1" s="1"/>
  <c r="Q774" i="1"/>
  <c r="P774" i="1"/>
  <c r="O774" i="1"/>
  <c r="M774" i="1"/>
  <c r="N774" i="1" s="1"/>
  <c r="L774" i="1"/>
  <c r="T774" i="1" s="1"/>
  <c r="X773" i="1"/>
  <c r="W773" i="1"/>
  <c r="V773" i="1"/>
  <c r="U773" i="1"/>
  <c r="S773" i="1"/>
  <c r="R773" i="1"/>
  <c r="Q773" i="1"/>
  <c r="P773" i="1"/>
  <c r="O773" i="1"/>
  <c r="M773" i="1"/>
  <c r="N773" i="1" s="1"/>
  <c r="L773" i="1"/>
  <c r="T773" i="1" s="1"/>
  <c r="X772" i="1"/>
  <c r="W772" i="1"/>
  <c r="V772" i="1"/>
  <c r="U772" i="1"/>
  <c r="S772" i="1"/>
  <c r="R772" i="1"/>
  <c r="Q772" i="1"/>
  <c r="P772" i="1"/>
  <c r="O772" i="1"/>
  <c r="Y772" i="1" s="1"/>
  <c r="M772" i="1"/>
  <c r="N772" i="1" s="1"/>
  <c r="L772" i="1"/>
  <c r="T772" i="1" s="1"/>
  <c r="X771" i="1"/>
  <c r="W771" i="1"/>
  <c r="V771" i="1"/>
  <c r="U771" i="1"/>
  <c r="S771" i="1"/>
  <c r="R771" i="1"/>
  <c r="Q771" i="1"/>
  <c r="P771" i="1"/>
  <c r="O771" i="1"/>
  <c r="M771" i="1"/>
  <c r="N771" i="1" s="1"/>
  <c r="Y771" i="1" s="1"/>
  <c r="L771" i="1"/>
  <c r="T771" i="1" s="1"/>
  <c r="X770" i="1"/>
  <c r="W770" i="1"/>
  <c r="V770" i="1"/>
  <c r="U770" i="1"/>
  <c r="T770" i="1"/>
  <c r="S770" i="1"/>
  <c r="R770" i="1"/>
  <c r="Q770" i="1"/>
  <c r="P770" i="1"/>
  <c r="O770" i="1"/>
  <c r="M770" i="1"/>
  <c r="N770" i="1" s="1"/>
  <c r="L770" i="1"/>
  <c r="X769" i="1"/>
  <c r="W769" i="1"/>
  <c r="V769" i="1"/>
  <c r="U769" i="1"/>
  <c r="S769" i="1"/>
  <c r="R769" i="1"/>
  <c r="Q769" i="1"/>
  <c r="P769" i="1"/>
  <c r="O769" i="1"/>
  <c r="Y769" i="1" s="1"/>
  <c r="M769" i="1"/>
  <c r="N769" i="1" s="1"/>
  <c r="L769" i="1"/>
  <c r="T769" i="1" s="1"/>
  <c r="X768" i="1"/>
  <c r="W768" i="1"/>
  <c r="V768" i="1"/>
  <c r="U768" i="1"/>
  <c r="S768" i="1"/>
  <c r="R768" i="1"/>
  <c r="Q768" i="1"/>
  <c r="P768" i="1"/>
  <c r="O768" i="1"/>
  <c r="M768" i="1"/>
  <c r="N768" i="1" s="1"/>
  <c r="Y768" i="1" s="1"/>
  <c r="L768" i="1"/>
  <c r="T768" i="1" s="1"/>
  <c r="X767" i="1"/>
  <c r="W767" i="1"/>
  <c r="V767" i="1"/>
  <c r="U767" i="1"/>
  <c r="S767" i="1"/>
  <c r="R767" i="1"/>
  <c r="Q767" i="1"/>
  <c r="P767" i="1"/>
  <c r="O767" i="1"/>
  <c r="M767" i="1"/>
  <c r="N767" i="1" s="1"/>
  <c r="L767" i="1"/>
  <c r="T767" i="1" s="1"/>
  <c r="X766" i="1"/>
  <c r="W766" i="1"/>
  <c r="V766" i="1"/>
  <c r="U766" i="1"/>
  <c r="S766" i="1"/>
  <c r="R766" i="1"/>
  <c r="Q766" i="1"/>
  <c r="P766" i="1"/>
  <c r="O766" i="1"/>
  <c r="M766" i="1"/>
  <c r="N766" i="1" s="1"/>
  <c r="L766" i="1"/>
  <c r="T766" i="1" s="1"/>
  <c r="X765" i="1"/>
  <c r="W765" i="1"/>
  <c r="V765" i="1"/>
  <c r="U765" i="1"/>
  <c r="S765" i="1"/>
  <c r="R765" i="1"/>
  <c r="Q765" i="1"/>
  <c r="P765" i="1"/>
  <c r="O765" i="1"/>
  <c r="M765" i="1"/>
  <c r="N765" i="1" s="1"/>
  <c r="Y765" i="1" s="1"/>
  <c r="L765" i="1"/>
  <c r="T765" i="1" s="1"/>
  <c r="X764" i="1"/>
  <c r="W764" i="1"/>
  <c r="V764" i="1"/>
  <c r="U764" i="1"/>
  <c r="S764" i="1"/>
  <c r="R764" i="1"/>
  <c r="Q764" i="1"/>
  <c r="P764" i="1"/>
  <c r="Y764" i="1" s="1"/>
  <c r="O764" i="1"/>
  <c r="M764" i="1"/>
  <c r="N764" i="1" s="1"/>
  <c r="L764" i="1"/>
  <c r="T764" i="1" s="1"/>
  <c r="X763" i="1"/>
  <c r="W763" i="1"/>
  <c r="V763" i="1"/>
  <c r="U763" i="1"/>
  <c r="S763" i="1"/>
  <c r="R763" i="1"/>
  <c r="Q763" i="1"/>
  <c r="P763" i="1"/>
  <c r="O763" i="1"/>
  <c r="N763" i="1"/>
  <c r="Y763" i="1" s="1"/>
  <c r="M763" i="1"/>
  <c r="L763" i="1"/>
  <c r="T763" i="1" s="1"/>
  <c r="X762" i="1"/>
  <c r="W762" i="1"/>
  <c r="V762" i="1"/>
  <c r="U762" i="1"/>
  <c r="T762" i="1"/>
  <c r="S762" i="1"/>
  <c r="R762" i="1"/>
  <c r="Q762" i="1"/>
  <c r="P762" i="1"/>
  <c r="O762" i="1"/>
  <c r="M762" i="1"/>
  <c r="N762" i="1" s="1"/>
  <c r="L762" i="1"/>
  <c r="X761" i="1"/>
  <c r="W761" i="1"/>
  <c r="V761" i="1"/>
  <c r="U761" i="1"/>
  <c r="S761" i="1"/>
  <c r="R761" i="1"/>
  <c r="Q761" i="1"/>
  <c r="P761" i="1"/>
  <c r="O761" i="1"/>
  <c r="Y761" i="1" s="1"/>
  <c r="M761" i="1"/>
  <c r="N761" i="1" s="1"/>
  <c r="L761" i="1"/>
  <c r="T761" i="1" s="1"/>
  <c r="X760" i="1"/>
  <c r="W760" i="1"/>
  <c r="V760" i="1"/>
  <c r="U760" i="1"/>
  <c r="S760" i="1"/>
  <c r="R760" i="1"/>
  <c r="Q760" i="1"/>
  <c r="P760" i="1"/>
  <c r="O760" i="1"/>
  <c r="N760" i="1"/>
  <c r="M760" i="1"/>
  <c r="L760" i="1"/>
  <c r="T760" i="1" s="1"/>
  <c r="X759" i="1"/>
  <c r="W759" i="1"/>
  <c r="V759" i="1"/>
  <c r="U759" i="1"/>
  <c r="T759" i="1"/>
  <c r="S759" i="1"/>
  <c r="R759" i="1"/>
  <c r="Q759" i="1"/>
  <c r="Y759" i="1" s="1"/>
  <c r="P759" i="1"/>
  <c r="O759" i="1"/>
  <c r="M759" i="1"/>
  <c r="N759" i="1" s="1"/>
  <c r="L759" i="1"/>
  <c r="X758" i="1"/>
  <c r="W758" i="1"/>
  <c r="V758" i="1"/>
  <c r="U758" i="1"/>
  <c r="S758" i="1"/>
  <c r="R758" i="1"/>
  <c r="Y758" i="1" s="1"/>
  <c r="Q758" i="1"/>
  <c r="P758" i="1"/>
  <c r="O758" i="1"/>
  <c r="M758" i="1"/>
  <c r="N758" i="1" s="1"/>
  <c r="L758" i="1"/>
  <c r="T758" i="1" s="1"/>
  <c r="X757" i="1"/>
  <c r="W757" i="1"/>
  <c r="V757" i="1"/>
  <c r="U757" i="1"/>
  <c r="S757" i="1"/>
  <c r="R757" i="1"/>
  <c r="Q757" i="1"/>
  <c r="P757" i="1"/>
  <c r="O757" i="1"/>
  <c r="M757" i="1"/>
  <c r="N757" i="1" s="1"/>
  <c r="L757" i="1"/>
  <c r="T757" i="1" s="1"/>
  <c r="X756" i="1"/>
  <c r="W756" i="1"/>
  <c r="V756" i="1"/>
  <c r="U756" i="1"/>
  <c r="S756" i="1"/>
  <c r="R756" i="1"/>
  <c r="Q756" i="1"/>
  <c r="P756" i="1"/>
  <c r="O756" i="1"/>
  <c r="N756" i="1"/>
  <c r="M756" i="1"/>
  <c r="L756" i="1"/>
  <c r="T756" i="1" s="1"/>
  <c r="Y755" i="1"/>
  <c r="X755" i="1"/>
  <c r="W755" i="1"/>
  <c r="V755" i="1"/>
  <c r="U755" i="1"/>
  <c r="S755" i="1"/>
  <c r="R755" i="1"/>
  <c r="Q755" i="1"/>
  <c r="P755" i="1"/>
  <c r="O755" i="1"/>
  <c r="N755" i="1"/>
  <c r="M755" i="1"/>
  <c r="L755" i="1"/>
  <c r="T755" i="1" s="1"/>
  <c r="X754" i="1"/>
  <c r="W754" i="1"/>
  <c r="V754" i="1"/>
  <c r="U754" i="1"/>
  <c r="S754" i="1"/>
  <c r="R754" i="1"/>
  <c r="Q754" i="1"/>
  <c r="P754" i="1"/>
  <c r="O754" i="1"/>
  <c r="M754" i="1"/>
  <c r="N754" i="1" s="1"/>
  <c r="L754" i="1"/>
  <c r="T754" i="1" s="1"/>
  <c r="X753" i="1"/>
  <c r="W753" i="1"/>
  <c r="V753" i="1"/>
  <c r="U753" i="1"/>
  <c r="S753" i="1"/>
  <c r="R753" i="1"/>
  <c r="Q753" i="1"/>
  <c r="P753" i="1"/>
  <c r="Y753" i="1" s="1"/>
  <c r="O753" i="1"/>
  <c r="M753" i="1"/>
  <c r="N753" i="1" s="1"/>
  <c r="L753" i="1"/>
  <c r="T753" i="1" s="1"/>
  <c r="X752" i="1"/>
  <c r="W752" i="1"/>
  <c r="V752" i="1"/>
  <c r="U752" i="1"/>
  <c r="S752" i="1"/>
  <c r="R752" i="1"/>
  <c r="Q752" i="1"/>
  <c r="P752" i="1"/>
  <c r="O752" i="1"/>
  <c r="M752" i="1"/>
  <c r="N752" i="1" s="1"/>
  <c r="L752" i="1"/>
  <c r="T752" i="1" s="1"/>
  <c r="X751" i="1"/>
  <c r="W751" i="1"/>
  <c r="V751" i="1"/>
  <c r="U751" i="1"/>
  <c r="T751" i="1"/>
  <c r="S751" i="1"/>
  <c r="R751" i="1"/>
  <c r="Q751" i="1"/>
  <c r="Y751" i="1" s="1"/>
  <c r="P751" i="1"/>
  <c r="O751" i="1"/>
  <c r="M751" i="1"/>
  <c r="N751" i="1" s="1"/>
  <c r="L751" i="1"/>
  <c r="X750" i="1"/>
  <c r="W750" i="1"/>
  <c r="V750" i="1"/>
  <c r="U750" i="1"/>
  <c r="S750" i="1"/>
  <c r="R750" i="1"/>
  <c r="Q750" i="1"/>
  <c r="P750" i="1"/>
  <c r="O750" i="1"/>
  <c r="Y750" i="1" s="1"/>
  <c r="M750" i="1"/>
  <c r="N750" i="1" s="1"/>
  <c r="L750" i="1"/>
  <c r="T750" i="1" s="1"/>
  <c r="X749" i="1"/>
  <c r="W749" i="1"/>
  <c r="V749" i="1"/>
  <c r="U749" i="1"/>
  <c r="S749" i="1"/>
  <c r="R749" i="1"/>
  <c r="Q749" i="1"/>
  <c r="P749" i="1"/>
  <c r="O749" i="1"/>
  <c r="M749" i="1"/>
  <c r="N749" i="1" s="1"/>
  <c r="L749" i="1"/>
  <c r="T749" i="1" s="1"/>
  <c r="X748" i="1"/>
  <c r="W748" i="1"/>
  <c r="V748" i="1"/>
  <c r="U748" i="1"/>
  <c r="S748" i="1"/>
  <c r="R748" i="1"/>
  <c r="Q748" i="1"/>
  <c r="P748" i="1"/>
  <c r="O748" i="1"/>
  <c r="Y748" i="1" s="1"/>
  <c r="N748" i="1"/>
  <c r="M748" i="1"/>
  <c r="L748" i="1"/>
  <c r="T748" i="1" s="1"/>
  <c r="X747" i="1"/>
  <c r="W747" i="1"/>
  <c r="V747" i="1"/>
  <c r="U747" i="1"/>
  <c r="S747" i="1"/>
  <c r="R747" i="1"/>
  <c r="Q747" i="1"/>
  <c r="Y747" i="1" s="1"/>
  <c r="P747" i="1"/>
  <c r="O747" i="1"/>
  <c r="N747" i="1"/>
  <c r="M747" i="1"/>
  <c r="L747" i="1"/>
  <c r="T747" i="1" s="1"/>
  <c r="X746" i="1"/>
  <c r="W746" i="1"/>
  <c r="V746" i="1"/>
  <c r="U746" i="1"/>
  <c r="S746" i="1"/>
  <c r="R746" i="1"/>
  <c r="Q746" i="1"/>
  <c r="P746" i="1"/>
  <c r="O746" i="1"/>
  <c r="M746" i="1"/>
  <c r="N746" i="1" s="1"/>
  <c r="L746" i="1"/>
  <c r="T746" i="1" s="1"/>
  <c r="X745" i="1"/>
  <c r="W745" i="1"/>
  <c r="V745" i="1"/>
  <c r="U745" i="1"/>
  <c r="S745" i="1"/>
  <c r="R745" i="1"/>
  <c r="Q745" i="1"/>
  <c r="P745" i="1"/>
  <c r="O745" i="1"/>
  <c r="M745" i="1"/>
  <c r="N745" i="1" s="1"/>
  <c r="L745" i="1"/>
  <c r="T745" i="1" s="1"/>
  <c r="X744" i="1"/>
  <c r="W744" i="1"/>
  <c r="V744" i="1"/>
  <c r="U744" i="1"/>
  <c r="S744" i="1"/>
  <c r="R744" i="1"/>
  <c r="Q744" i="1"/>
  <c r="P744" i="1"/>
  <c r="O744" i="1"/>
  <c r="N744" i="1"/>
  <c r="Y744" i="1" s="1"/>
  <c r="M744" i="1"/>
  <c r="L744" i="1"/>
  <c r="T744" i="1" s="1"/>
  <c r="X743" i="1"/>
  <c r="W743" i="1"/>
  <c r="V743" i="1"/>
  <c r="U743" i="1"/>
  <c r="T743" i="1"/>
  <c r="S743" i="1"/>
  <c r="R743" i="1"/>
  <c r="Q743" i="1"/>
  <c r="P743" i="1"/>
  <c r="O743" i="1"/>
  <c r="M743" i="1"/>
  <c r="N743" i="1" s="1"/>
  <c r="L743" i="1"/>
  <c r="Y742" i="1"/>
  <c r="X742" i="1"/>
  <c r="W742" i="1"/>
  <c r="V742" i="1"/>
  <c r="U742" i="1"/>
  <c r="S742" i="1"/>
  <c r="R742" i="1"/>
  <c r="Q742" i="1"/>
  <c r="P742" i="1"/>
  <c r="O742" i="1"/>
  <c r="M742" i="1"/>
  <c r="N742" i="1" s="1"/>
  <c r="L742" i="1"/>
  <c r="T742" i="1" s="1"/>
  <c r="X741" i="1"/>
  <c r="W741" i="1"/>
  <c r="V741" i="1"/>
  <c r="U741" i="1"/>
  <c r="S741" i="1"/>
  <c r="R741" i="1"/>
  <c r="Q741" i="1"/>
  <c r="P741" i="1"/>
  <c r="O741" i="1"/>
  <c r="M741" i="1"/>
  <c r="N741" i="1" s="1"/>
  <c r="L741" i="1"/>
  <c r="T741" i="1" s="1"/>
  <c r="X740" i="1"/>
  <c r="W740" i="1"/>
  <c r="V740" i="1"/>
  <c r="U740" i="1"/>
  <c r="S740" i="1"/>
  <c r="R740" i="1"/>
  <c r="Q740" i="1"/>
  <c r="P740" i="1"/>
  <c r="O740" i="1"/>
  <c r="Y740" i="1" s="1"/>
  <c r="N740" i="1"/>
  <c r="M740" i="1"/>
  <c r="L740" i="1"/>
  <c r="T740" i="1" s="1"/>
  <c r="X739" i="1"/>
  <c r="W739" i="1"/>
  <c r="V739" i="1"/>
  <c r="U739" i="1"/>
  <c r="S739" i="1"/>
  <c r="R739" i="1"/>
  <c r="Q739" i="1"/>
  <c r="P739" i="1"/>
  <c r="O739" i="1"/>
  <c r="M739" i="1"/>
  <c r="N739" i="1" s="1"/>
  <c r="Y739" i="1" s="1"/>
  <c r="L739" i="1"/>
  <c r="T739" i="1" s="1"/>
  <c r="X738" i="1"/>
  <c r="W738" i="1"/>
  <c r="V738" i="1"/>
  <c r="U738" i="1"/>
  <c r="S738" i="1"/>
  <c r="R738" i="1"/>
  <c r="Q738" i="1"/>
  <c r="P738" i="1"/>
  <c r="O738" i="1"/>
  <c r="M738" i="1"/>
  <c r="N738" i="1" s="1"/>
  <c r="L738" i="1"/>
  <c r="T738" i="1" s="1"/>
  <c r="X737" i="1"/>
  <c r="W737" i="1"/>
  <c r="V737" i="1"/>
  <c r="U737" i="1"/>
  <c r="S737" i="1"/>
  <c r="R737" i="1"/>
  <c r="Q737" i="1"/>
  <c r="P737" i="1"/>
  <c r="O737" i="1"/>
  <c r="Y737" i="1" s="1"/>
  <c r="M737" i="1"/>
  <c r="N737" i="1" s="1"/>
  <c r="L737" i="1"/>
  <c r="T737" i="1" s="1"/>
  <c r="X736" i="1"/>
  <c r="W736" i="1"/>
  <c r="V736" i="1"/>
  <c r="U736" i="1"/>
  <c r="S736" i="1"/>
  <c r="R736" i="1"/>
  <c r="Q736" i="1"/>
  <c r="P736" i="1"/>
  <c r="O736" i="1"/>
  <c r="N736" i="1"/>
  <c r="M736" i="1"/>
  <c r="L736" i="1"/>
  <c r="T736" i="1" s="1"/>
  <c r="X735" i="1"/>
  <c r="W735" i="1"/>
  <c r="V735" i="1"/>
  <c r="U735" i="1"/>
  <c r="S735" i="1"/>
  <c r="R735" i="1"/>
  <c r="Q735" i="1"/>
  <c r="P735" i="1"/>
  <c r="O735" i="1"/>
  <c r="M735" i="1"/>
  <c r="N735" i="1" s="1"/>
  <c r="Y735" i="1" s="1"/>
  <c r="L735" i="1"/>
  <c r="T735" i="1" s="1"/>
  <c r="X734" i="1"/>
  <c r="W734" i="1"/>
  <c r="V734" i="1"/>
  <c r="U734" i="1"/>
  <c r="S734" i="1"/>
  <c r="R734" i="1"/>
  <c r="Q734" i="1"/>
  <c r="Y734" i="1" s="1"/>
  <c r="P734" i="1"/>
  <c r="O734" i="1"/>
  <c r="M734" i="1"/>
  <c r="N734" i="1" s="1"/>
  <c r="L734" i="1"/>
  <c r="T734" i="1" s="1"/>
  <c r="X733" i="1"/>
  <c r="W733" i="1"/>
  <c r="V733" i="1"/>
  <c r="U733" i="1"/>
  <c r="S733" i="1"/>
  <c r="R733" i="1"/>
  <c r="Q733" i="1"/>
  <c r="P733" i="1"/>
  <c r="O733" i="1"/>
  <c r="M733" i="1"/>
  <c r="N733" i="1" s="1"/>
  <c r="L733" i="1"/>
  <c r="T733" i="1" s="1"/>
  <c r="X732" i="1"/>
  <c r="W732" i="1"/>
  <c r="V732" i="1"/>
  <c r="U732" i="1"/>
  <c r="S732" i="1"/>
  <c r="R732" i="1"/>
  <c r="Q732" i="1"/>
  <c r="P732" i="1"/>
  <c r="Y732" i="1" s="1"/>
  <c r="O732" i="1"/>
  <c r="N732" i="1"/>
  <c r="M732" i="1"/>
  <c r="L732" i="1"/>
  <c r="T732" i="1" s="1"/>
  <c r="X731" i="1"/>
  <c r="W731" i="1"/>
  <c r="V731" i="1"/>
  <c r="U731" i="1"/>
  <c r="S731" i="1"/>
  <c r="R731" i="1"/>
  <c r="Q731" i="1"/>
  <c r="P731" i="1"/>
  <c r="O731" i="1"/>
  <c r="N731" i="1"/>
  <c r="Y731" i="1" s="1"/>
  <c r="M731" i="1"/>
  <c r="L731" i="1"/>
  <c r="T731" i="1" s="1"/>
  <c r="X730" i="1"/>
  <c r="W730" i="1"/>
  <c r="V730" i="1"/>
  <c r="U730" i="1"/>
  <c r="T730" i="1"/>
  <c r="S730" i="1"/>
  <c r="R730" i="1"/>
  <c r="Q730" i="1"/>
  <c r="P730" i="1"/>
  <c r="O730" i="1"/>
  <c r="M730" i="1"/>
  <c r="N730" i="1" s="1"/>
  <c r="L730" i="1"/>
  <c r="X729" i="1"/>
  <c r="W729" i="1"/>
  <c r="V729" i="1"/>
  <c r="U729" i="1"/>
  <c r="S729" i="1"/>
  <c r="R729" i="1"/>
  <c r="Q729" i="1"/>
  <c r="P729" i="1"/>
  <c r="O729" i="1"/>
  <c r="Y729" i="1" s="1"/>
  <c r="M729" i="1"/>
  <c r="N729" i="1" s="1"/>
  <c r="L729" i="1"/>
  <c r="T729" i="1" s="1"/>
  <c r="X728" i="1"/>
  <c r="W728" i="1"/>
  <c r="V728" i="1"/>
  <c r="U728" i="1"/>
  <c r="S728" i="1"/>
  <c r="R728" i="1"/>
  <c r="Q728" i="1"/>
  <c r="P728" i="1"/>
  <c r="O728" i="1"/>
  <c r="M728" i="1"/>
  <c r="N728" i="1" s="1"/>
  <c r="Y728" i="1" s="1"/>
  <c r="L728" i="1"/>
  <c r="T728" i="1" s="1"/>
  <c r="X727" i="1"/>
  <c r="W727" i="1"/>
  <c r="V727" i="1"/>
  <c r="U727" i="1"/>
  <c r="S727" i="1"/>
  <c r="R727" i="1"/>
  <c r="Q727" i="1"/>
  <c r="Y727" i="1" s="1"/>
  <c r="P727" i="1"/>
  <c r="O727" i="1"/>
  <c r="M727" i="1"/>
  <c r="N727" i="1" s="1"/>
  <c r="L727" i="1"/>
  <c r="T727" i="1" s="1"/>
  <c r="X726" i="1"/>
  <c r="W726" i="1"/>
  <c r="V726" i="1"/>
  <c r="U726" i="1"/>
  <c r="S726" i="1"/>
  <c r="R726" i="1"/>
  <c r="Q726" i="1"/>
  <c r="P726" i="1"/>
  <c r="O726" i="1"/>
  <c r="Y726" i="1" s="1"/>
  <c r="M726" i="1"/>
  <c r="N726" i="1" s="1"/>
  <c r="L726" i="1"/>
  <c r="T726" i="1" s="1"/>
  <c r="X725" i="1"/>
  <c r="W725" i="1"/>
  <c r="V725" i="1"/>
  <c r="U725" i="1"/>
  <c r="S725" i="1"/>
  <c r="R725" i="1"/>
  <c r="Q725" i="1"/>
  <c r="P725" i="1"/>
  <c r="O725" i="1"/>
  <c r="M725" i="1"/>
  <c r="N725" i="1" s="1"/>
  <c r="L725" i="1"/>
  <c r="T725" i="1" s="1"/>
  <c r="X724" i="1"/>
  <c r="W724" i="1"/>
  <c r="V724" i="1"/>
  <c r="U724" i="1"/>
  <c r="S724" i="1"/>
  <c r="R724" i="1"/>
  <c r="Q724" i="1"/>
  <c r="P724" i="1"/>
  <c r="O724" i="1"/>
  <c r="N724" i="1"/>
  <c r="M724" i="1"/>
  <c r="L724" i="1"/>
  <c r="T724" i="1" s="1"/>
  <c r="Y723" i="1"/>
  <c r="X723" i="1"/>
  <c r="W723" i="1"/>
  <c r="V723" i="1"/>
  <c r="U723" i="1"/>
  <c r="S723" i="1"/>
  <c r="R723" i="1"/>
  <c r="Q723" i="1"/>
  <c r="P723" i="1"/>
  <c r="O723" i="1"/>
  <c r="N723" i="1"/>
  <c r="M723" i="1"/>
  <c r="L723" i="1"/>
  <c r="T723" i="1" s="1"/>
  <c r="X722" i="1"/>
  <c r="W722" i="1"/>
  <c r="V722" i="1"/>
  <c r="U722" i="1"/>
  <c r="S722" i="1"/>
  <c r="R722" i="1"/>
  <c r="Q722" i="1"/>
  <c r="P722" i="1"/>
  <c r="O722" i="1"/>
  <c r="M722" i="1"/>
  <c r="N722" i="1" s="1"/>
  <c r="L722" i="1"/>
  <c r="T722" i="1" s="1"/>
  <c r="X721" i="1"/>
  <c r="W721" i="1"/>
  <c r="V721" i="1"/>
  <c r="U721" i="1"/>
  <c r="S721" i="1"/>
  <c r="R721" i="1"/>
  <c r="Q721" i="1"/>
  <c r="P721" i="1"/>
  <c r="Y721" i="1" s="1"/>
  <c r="O721" i="1"/>
  <c r="M721" i="1"/>
  <c r="N721" i="1" s="1"/>
  <c r="L721" i="1"/>
  <c r="T721" i="1" s="1"/>
  <c r="X720" i="1"/>
  <c r="W720" i="1"/>
  <c r="V720" i="1"/>
  <c r="U720" i="1"/>
  <c r="S720" i="1"/>
  <c r="R720" i="1"/>
  <c r="Q720" i="1"/>
  <c r="P720" i="1"/>
  <c r="O720" i="1"/>
  <c r="M720" i="1"/>
  <c r="N720" i="1" s="1"/>
  <c r="Y720" i="1" s="1"/>
  <c r="L720" i="1"/>
  <c r="T720" i="1" s="1"/>
  <c r="X719" i="1"/>
  <c r="W719" i="1"/>
  <c r="V719" i="1"/>
  <c r="U719" i="1"/>
  <c r="T719" i="1"/>
  <c r="S719" i="1"/>
  <c r="R719" i="1"/>
  <c r="Q719" i="1"/>
  <c r="Y719" i="1" s="1"/>
  <c r="P719" i="1"/>
  <c r="O719" i="1"/>
  <c r="M719" i="1"/>
  <c r="N719" i="1" s="1"/>
  <c r="L719" i="1"/>
  <c r="X718" i="1"/>
  <c r="W718" i="1"/>
  <c r="V718" i="1"/>
  <c r="U718" i="1"/>
  <c r="S718" i="1"/>
  <c r="R718" i="1"/>
  <c r="Q718" i="1"/>
  <c r="P718" i="1"/>
  <c r="O718" i="1"/>
  <c r="M718" i="1"/>
  <c r="N718" i="1" s="1"/>
  <c r="L718" i="1"/>
  <c r="T718" i="1" s="1"/>
  <c r="X717" i="1"/>
  <c r="W717" i="1"/>
  <c r="V717" i="1"/>
  <c r="U717" i="1"/>
  <c r="S717" i="1"/>
  <c r="R717" i="1"/>
  <c r="Q717" i="1"/>
  <c r="P717" i="1"/>
  <c r="O717" i="1"/>
  <c r="M717" i="1"/>
  <c r="N717" i="1" s="1"/>
  <c r="L717" i="1"/>
  <c r="T717" i="1" s="1"/>
  <c r="X716" i="1"/>
  <c r="W716" i="1"/>
  <c r="V716" i="1"/>
  <c r="U716" i="1"/>
  <c r="S716" i="1"/>
  <c r="R716" i="1"/>
  <c r="Q716" i="1"/>
  <c r="P716" i="1"/>
  <c r="O716" i="1"/>
  <c r="Y716" i="1" s="1"/>
  <c r="N716" i="1"/>
  <c r="M716" i="1"/>
  <c r="L716" i="1"/>
  <c r="T716" i="1" s="1"/>
  <c r="X715" i="1"/>
  <c r="W715" i="1"/>
  <c r="V715" i="1"/>
  <c r="U715" i="1"/>
  <c r="S715" i="1"/>
  <c r="R715" i="1"/>
  <c r="Q715" i="1"/>
  <c r="P715" i="1"/>
  <c r="O715" i="1"/>
  <c r="M715" i="1"/>
  <c r="N715" i="1" s="1"/>
  <c r="Y715" i="1" s="1"/>
  <c r="L715" i="1"/>
  <c r="T715" i="1" s="1"/>
  <c r="X714" i="1"/>
  <c r="W714" i="1"/>
  <c r="V714" i="1"/>
  <c r="U714" i="1"/>
  <c r="S714" i="1"/>
  <c r="R714" i="1"/>
  <c r="Q714" i="1"/>
  <c r="P714" i="1"/>
  <c r="O714" i="1"/>
  <c r="M714" i="1"/>
  <c r="N714" i="1" s="1"/>
  <c r="L714" i="1"/>
  <c r="T714" i="1" s="1"/>
  <c r="X713" i="1"/>
  <c r="W713" i="1"/>
  <c r="V713" i="1"/>
  <c r="U713" i="1"/>
  <c r="S713" i="1"/>
  <c r="R713" i="1"/>
  <c r="Q713" i="1"/>
  <c r="P713" i="1"/>
  <c r="Y713" i="1" s="1"/>
  <c r="O713" i="1"/>
  <c r="M713" i="1"/>
  <c r="N713" i="1" s="1"/>
  <c r="L713" i="1"/>
  <c r="T713" i="1" s="1"/>
  <c r="X712" i="1"/>
  <c r="W712" i="1"/>
  <c r="V712" i="1"/>
  <c r="U712" i="1"/>
  <c r="S712" i="1"/>
  <c r="R712" i="1"/>
  <c r="Q712" i="1"/>
  <c r="P712" i="1"/>
  <c r="O712" i="1"/>
  <c r="N712" i="1"/>
  <c r="Y712" i="1" s="1"/>
  <c r="M712" i="1"/>
  <c r="L712" i="1"/>
  <c r="T712" i="1" s="1"/>
  <c r="X711" i="1"/>
  <c r="W711" i="1"/>
  <c r="V711" i="1"/>
  <c r="U711" i="1"/>
  <c r="T711" i="1"/>
  <c r="S711" i="1"/>
  <c r="R711" i="1"/>
  <c r="Q711" i="1"/>
  <c r="P711" i="1"/>
  <c r="O711" i="1"/>
  <c r="M711" i="1"/>
  <c r="N711" i="1" s="1"/>
  <c r="Y711" i="1" s="1"/>
  <c r="L711" i="1"/>
  <c r="Y710" i="1"/>
  <c r="X710" i="1"/>
  <c r="W710" i="1"/>
  <c r="V710" i="1"/>
  <c r="U710" i="1"/>
  <c r="S710" i="1"/>
  <c r="R710" i="1"/>
  <c r="Q710" i="1"/>
  <c r="P710" i="1"/>
  <c r="O710" i="1"/>
  <c r="M710" i="1"/>
  <c r="N710" i="1" s="1"/>
  <c r="L710" i="1"/>
  <c r="T710" i="1" s="1"/>
  <c r="X709" i="1"/>
  <c r="W709" i="1"/>
  <c r="V709" i="1"/>
  <c r="U709" i="1"/>
  <c r="S709" i="1"/>
  <c r="R709" i="1"/>
  <c r="Q709" i="1"/>
  <c r="P709" i="1"/>
  <c r="O709" i="1"/>
  <c r="M709" i="1"/>
  <c r="N709" i="1" s="1"/>
  <c r="L709" i="1"/>
  <c r="T709" i="1" s="1"/>
  <c r="X708" i="1"/>
  <c r="W708" i="1"/>
  <c r="V708" i="1"/>
  <c r="U708" i="1"/>
  <c r="S708" i="1"/>
  <c r="R708" i="1"/>
  <c r="Q708" i="1"/>
  <c r="P708" i="1"/>
  <c r="O708" i="1"/>
  <c r="Y708" i="1" s="1"/>
  <c r="N708" i="1"/>
  <c r="M708" i="1"/>
  <c r="L708" i="1"/>
  <c r="T708" i="1" s="1"/>
  <c r="X707" i="1"/>
  <c r="W707" i="1"/>
  <c r="V707" i="1"/>
  <c r="U707" i="1"/>
  <c r="S707" i="1"/>
  <c r="R707" i="1"/>
  <c r="Q707" i="1"/>
  <c r="P707" i="1"/>
  <c r="O707" i="1"/>
  <c r="M707" i="1"/>
  <c r="N707" i="1" s="1"/>
  <c r="Y707" i="1" s="1"/>
  <c r="L707" i="1"/>
  <c r="T707" i="1" s="1"/>
  <c r="X706" i="1"/>
  <c r="W706" i="1"/>
  <c r="V706" i="1"/>
  <c r="U706" i="1"/>
  <c r="T706" i="1"/>
  <c r="S706" i="1"/>
  <c r="R706" i="1"/>
  <c r="Q706" i="1"/>
  <c r="P706" i="1"/>
  <c r="O706" i="1"/>
  <c r="M706" i="1"/>
  <c r="N706" i="1" s="1"/>
  <c r="L706" i="1"/>
  <c r="X705" i="1"/>
  <c r="W705" i="1"/>
  <c r="V705" i="1"/>
  <c r="U705" i="1"/>
  <c r="S705" i="1"/>
  <c r="R705" i="1"/>
  <c r="Q705" i="1"/>
  <c r="P705" i="1"/>
  <c r="O705" i="1"/>
  <c r="Y705" i="1" s="1"/>
  <c r="M705" i="1"/>
  <c r="N705" i="1" s="1"/>
  <c r="L705" i="1"/>
  <c r="T705" i="1" s="1"/>
  <c r="X704" i="1"/>
  <c r="W704" i="1"/>
  <c r="V704" i="1"/>
  <c r="U704" i="1"/>
  <c r="S704" i="1"/>
  <c r="R704" i="1"/>
  <c r="Q704" i="1"/>
  <c r="P704" i="1"/>
  <c r="O704" i="1"/>
  <c r="N704" i="1"/>
  <c r="M704" i="1"/>
  <c r="L704" i="1"/>
  <c r="T704" i="1" s="1"/>
  <c r="X703" i="1"/>
  <c r="W703" i="1"/>
  <c r="V703" i="1"/>
  <c r="U703" i="1"/>
  <c r="S703" i="1"/>
  <c r="R703" i="1"/>
  <c r="Q703" i="1"/>
  <c r="P703" i="1"/>
  <c r="O703" i="1"/>
  <c r="M703" i="1"/>
  <c r="N703" i="1" s="1"/>
  <c r="L703" i="1"/>
  <c r="T703" i="1" s="1"/>
  <c r="X702" i="1"/>
  <c r="W702" i="1"/>
  <c r="V702" i="1"/>
  <c r="U702" i="1"/>
  <c r="S702" i="1"/>
  <c r="R702" i="1"/>
  <c r="Q702" i="1"/>
  <c r="Y702" i="1" s="1"/>
  <c r="P702" i="1"/>
  <c r="O702" i="1"/>
  <c r="M702" i="1"/>
  <c r="N702" i="1" s="1"/>
  <c r="L702" i="1"/>
  <c r="T702" i="1" s="1"/>
  <c r="X701" i="1"/>
  <c r="W701" i="1"/>
  <c r="V701" i="1"/>
  <c r="U701" i="1"/>
  <c r="S701" i="1"/>
  <c r="R701" i="1"/>
  <c r="Q701" i="1"/>
  <c r="P701" i="1"/>
  <c r="O701" i="1"/>
  <c r="M701" i="1"/>
  <c r="N701" i="1" s="1"/>
  <c r="L701" i="1"/>
  <c r="T701" i="1" s="1"/>
  <c r="X700" i="1"/>
  <c r="W700" i="1"/>
  <c r="V700" i="1"/>
  <c r="U700" i="1"/>
  <c r="S700" i="1"/>
  <c r="R700" i="1"/>
  <c r="Q700" i="1"/>
  <c r="P700" i="1"/>
  <c r="O700" i="1"/>
  <c r="N700" i="1"/>
  <c r="M700" i="1"/>
  <c r="L700" i="1"/>
  <c r="T700" i="1" s="1"/>
  <c r="X699" i="1"/>
  <c r="W699" i="1"/>
  <c r="V699" i="1"/>
  <c r="U699" i="1"/>
  <c r="S699" i="1"/>
  <c r="R699" i="1"/>
  <c r="Q699" i="1"/>
  <c r="P699" i="1"/>
  <c r="O699" i="1"/>
  <c r="N699" i="1"/>
  <c r="Y699" i="1" s="1"/>
  <c r="M699" i="1"/>
  <c r="L699" i="1"/>
  <c r="T699" i="1" s="1"/>
  <c r="X698" i="1"/>
  <c r="W698" i="1"/>
  <c r="V698" i="1"/>
  <c r="U698" i="1"/>
  <c r="T698" i="1"/>
  <c r="S698" i="1"/>
  <c r="R698" i="1"/>
  <c r="Q698" i="1"/>
  <c r="P698" i="1"/>
  <c r="O698" i="1"/>
  <c r="M698" i="1"/>
  <c r="N698" i="1" s="1"/>
  <c r="L698" i="1"/>
  <c r="X697" i="1"/>
  <c r="W697" i="1"/>
  <c r="V697" i="1"/>
  <c r="U697" i="1"/>
  <c r="S697" i="1"/>
  <c r="R697" i="1"/>
  <c r="Q697" i="1"/>
  <c r="P697" i="1"/>
  <c r="O697" i="1"/>
  <c r="Y697" i="1" s="1"/>
  <c r="M697" i="1"/>
  <c r="N697" i="1" s="1"/>
  <c r="L697" i="1"/>
  <c r="T697" i="1" s="1"/>
  <c r="X696" i="1"/>
  <c r="W696" i="1"/>
  <c r="V696" i="1"/>
  <c r="U696" i="1"/>
  <c r="S696" i="1"/>
  <c r="R696" i="1"/>
  <c r="Q696" i="1"/>
  <c r="P696" i="1"/>
  <c r="O696" i="1"/>
  <c r="M696" i="1"/>
  <c r="N696" i="1" s="1"/>
  <c r="L696" i="1"/>
  <c r="T696" i="1" s="1"/>
  <c r="X695" i="1"/>
  <c r="W695" i="1"/>
  <c r="V695" i="1"/>
  <c r="U695" i="1"/>
  <c r="S695" i="1"/>
  <c r="R695" i="1"/>
  <c r="Q695" i="1"/>
  <c r="P695" i="1"/>
  <c r="O695" i="1"/>
  <c r="N695" i="1"/>
  <c r="M695" i="1"/>
  <c r="L695" i="1"/>
  <c r="T695" i="1" s="1"/>
  <c r="X694" i="1"/>
  <c r="W694" i="1"/>
  <c r="V694" i="1"/>
  <c r="U694" i="1"/>
  <c r="S694" i="1"/>
  <c r="R694" i="1"/>
  <c r="Q694" i="1"/>
  <c r="P694" i="1"/>
  <c r="O694" i="1"/>
  <c r="N694" i="1"/>
  <c r="M694" i="1"/>
  <c r="L694" i="1"/>
  <c r="T694" i="1" s="1"/>
  <c r="X693" i="1"/>
  <c r="W693" i="1"/>
  <c r="V693" i="1"/>
  <c r="U693" i="1"/>
  <c r="S693" i="1"/>
  <c r="R693" i="1"/>
  <c r="Q693" i="1"/>
  <c r="P693" i="1"/>
  <c r="Y693" i="1" s="1"/>
  <c r="O693" i="1"/>
  <c r="N693" i="1"/>
  <c r="M693" i="1"/>
  <c r="L693" i="1"/>
  <c r="T693" i="1" s="1"/>
  <c r="X692" i="1"/>
  <c r="W692" i="1"/>
  <c r="V692" i="1"/>
  <c r="U692" i="1"/>
  <c r="S692" i="1"/>
  <c r="R692" i="1"/>
  <c r="Q692" i="1"/>
  <c r="P692" i="1"/>
  <c r="O692" i="1"/>
  <c r="N692" i="1"/>
  <c r="M692" i="1"/>
  <c r="L692" i="1"/>
  <c r="T692" i="1" s="1"/>
  <c r="X691" i="1"/>
  <c r="W691" i="1"/>
  <c r="V691" i="1"/>
  <c r="U691" i="1"/>
  <c r="S691" i="1"/>
  <c r="R691" i="1"/>
  <c r="Q691" i="1"/>
  <c r="P691" i="1"/>
  <c r="O691" i="1"/>
  <c r="M691" i="1"/>
  <c r="N691" i="1" s="1"/>
  <c r="L691" i="1"/>
  <c r="T691" i="1" s="1"/>
  <c r="X690" i="1"/>
  <c r="W690" i="1"/>
  <c r="V690" i="1"/>
  <c r="U690" i="1"/>
  <c r="S690" i="1"/>
  <c r="R690" i="1"/>
  <c r="Q690" i="1"/>
  <c r="P690" i="1"/>
  <c r="O690" i="1"/>
  <c r="N690" i="1"/>
  <c r="M690" i="1"/>
  <c r="L690" i="1"/>
  <c r="T690" i="1" s="1"/>
  <c r="X689" i="1"/>
  <c r="W689" i="1"/>
  <c r="V689" i="1"/>
  <c r="U689" i="1"/>
  <c r="S689" i="1"/>
  <c r="R689" i="1"/>
  <c r="Q689" i="1"/>
  <c r="P689" i="1"/>
  <c r="Y689" i="1" s="1"/>
  <c r="O689" i="1"/>
  <c r="N689" i="1"/>
  <c r="M689" i="1"/>
  <c r="L689" i="1"/>
  <c r="T689" i="1" s="1"/>
  <c r="X688" i="1"/>
  <c r="W688" i="1"/>
  <c r="V688" i="1"/>
  <c r="U688" i="1"/>
  <c r="S688" i="1"/>
  <c r="R688" i="1"/>
  <c r="Q688" i="1"/>
  <c r="P688" i="1"/>
  <c r="O688" i="1"/>
  <c r="M688" i="1"/>
  <c r="N688" i="1" s="1"/>
  <c r="L688" i="1"/>
  <c r="T688" i="1" s="1"/>
  <c r="X687" i="1"/>
  <c r="W687" i="1"/>
  <c r="V687" i="1"/>
  <c r="U687" i="1"/>
  <c r="S687" i="1"/>
  <c r="R687" i="1"/>
  <c r="Q687" i="1"/>
  <c r="P687" i="1"/>
  <c r="O687" i="1"/>
  <c r="M687" i="1"/>
  <c r="N687" i="1" s="1"/>
  <c r="Y687" i="1" s="1"/>
  <c r="L687" i="1"/>
  <c r="T687" i="1" s="1"/>
  <c r="X686" i="1"/>
  <c r="W686" i="1"/>
  <c r="V686" i="1"/>
  <c r="U686" i="1"/>
  <c r="S686" i="1"/>
  <c r="R686" i="1"/>
  <c r="Q686" i="1"/>
  <c r="P686" i="1"/>
  <c r="O686" i="1"/>
  <c r="N686" i="1"/>
  <c r="M686" i="1"/>
  <c r="L686" i="1"/>
  <c r="T686" i="1" s="1"/>
  <c r="X685" i="1"/>
  <c r="W685" i="1"/>
  <c r="V685" i="1"/>
  <c r="U685" i="1"/>
  <c r="S685" i="1"/>
  <c r="R685" i="1"/>
  <c r="Q685" i="1"/>
  <c r="P685" i="1"/>
  <c r="O685" i="1"/>
  <c r="N685" i="1"/>
  <c r="M685" i="1"/>
  <c r="L685" i="1"/>
  <c r="T685" i="1" s="1"/>
  <c r="X684" i="1"/>
  <c r="W684" i="1"/>
  <c r="V684" i="1"/>
  <c r="U684" i="1"/>
  <c r="S684" i="1"/>
  <c r="R684" i="1"/>
  <c r="Q684" i="1"/>
  <c r="P684" i="1"/>
  <c r="O684" i="1"/>
  <c r="M684" i="1"/>
  <c r="N684" i="1" s="1"/>
  <c r="Y684" i="1" s="1"/>
  <c r="L684" i="1"/>
  <c r="T684" i="1" s="1"/>
  <c r="X683" i="1"/>
  <c r="W683" i="1"/>
  <c r="V683" i="1"/>
  <c r="U683" i="1"/>
  <c r="S683" i="1"/>
  <c r="R683" i="1"/>
  <c r="Q683" i="1"/>
  <c r="P683" i="1"/>
  <c r="O683" i="1"/>
  <c r="N683" i="1"/>
  <c r="M683" i="1"/>
  <c r="L683" i="1"/>
  <c r="T683" i="1" s="1"/>
  <c r="X682" i="1"/>
  <c r="W682" i="1"/>
  <c r="V682" i="1"/>
  <c r="U682" i="1"/>
  <c r="S682" i="1"/>
  <c r="R682" i="1"/>
  <c r="Q682" i="1"/>
  <c r="P682" i="1"/>
  <c r="Y682" i="1" s="1"/>
  <c r="O682" i="1"/>
  <c r="N682" i="1"/>
  <c r="M682" i="1"/>
  <c r="L682" i="1"/>
  <c r="T682" i="1" s="1"/>
  <c r="X681" i="1"/>
  <c r="W681" i="1"/>
  <c r="V681" i="1"/>
  <c r="U681" i="1"/>
  <c r="S681" i="1"/>
  <c r="R681" i="1"/>
  <c r="Q681" i="1"/>
  <c r="P681" i="1"/>
  <c r="O681" i="1"/>
  <c r="N681" i="1"/>
  <c r="M681" i="1"/>
  <c r="L681" i="1"/>
  <c r="T681" i="1" s="1"/>
  <c r="X680" i="1"/>
  <c r="W680" i="1"/>
  <c r="V680" i="1"/>
  <c r="U680" i="1"/>
  <c r="S680" i="1"/>
  <c r="R680" i="1"/>
  <c r="Q680" i="1"/>
  <c r="P680" i="1"/>
  <c r="O680" i="1"/>
  <c r="M680" i="1"/>
  <c r="N680" i="1" s="1"/>
  <c r="Y680" i="1" s="1"/>
  <c r="L680" i="1"/>
  <c r="T680" i="1" s="1"/>
  <c r="X679" i="1"/>
  <c r="W679" i="1"/>
  <c r="V679" i="1"/>
  <c r="U679" i="1"/>
  <c r="T679" i="1"/>
  <c r="S679" i="1"/>
  <c r="R679" i="1"/>
  <c r="Q679" i="1"/>
  <c r="P679" i="1"/>
  <c r="O679" i="1"/>
  <c r="M679" i="1"/>
  <c r="N679" i="1" s="1"/>
  <c r="L679" i="1"/>
  <c r="X678" i="1"/>
  <c r="W678" i="1"/>
  <c r="V678" i="1"/>
  <c r="U678" i="1"/>
  <c r="S678" i="1"/>
  <c r="R678" i="1"/>
  <c r="Q678" i="1"/>
  <c r="P678" i="1"/>
  <c r="Y678" i="1" s="1"/>
  <c r="O678" i="1"/>
  <c r="N678" i="1"/>
  <c r="M678" i="1"/>
  <c r="L678" i="1"/>
  <c r="T678" i="1" s="1"/>
  <c r="X677" i="1"/>
  <c r="W677" i="1"/>
  <c r="V677" i="1"/>
  <c r="U677" i="1"/>
  <c r="S677" i="1"/>
  <c r="R677" i="1"/>
  <c r="Q677" i="1"/>
  <c r="P677" i="1"/>
  <c r="O677" i="1"/>
  <c r="Y677" i="1" s="1"/>
  <c r="N677" i="1"/>
  <c r="M677" i="1"/>
  <c r="L677" i="1"/>
  <c r="T677" i="1" s="1"/>
  <c r="X676" i="1"/>
  <c r="W676" i="1"/>
  <c r="V676" i="1"/>
  <c r="U676" i="1"/>
  <c r="T676" i="1"/>
  <c r="S676" i="1"/>
  <c r="R676" i="1"/>
  <c r="Q676" i="1"/>
  <c r="P676" i="1"/>
  <c r="O676" i="1"/>
  <c r="M676" i="1"/>
  <c r="N676" i="1" s="1"/>
  <c r="Y676" i="1" s="1"/>
  <c r="L676" i="1"/>
  <c r="X675" i="1"/>
  <c r="W675" i="1"/>
  <c r="V675" i="1"/>
  <c r="U675" i="1"/>
  <c r="S675" i="1"/>
  <c r="R675" i="1"/>
  <c r="Q675" i="1"/>
  <c r="P675" i="1"/>
  <c r="O675" i="1"/>
  <c r="M675" i="1"/>
  <c r="N675" i="1" s="1"/>
  <c r="L675" i="1"/>
  <c r="T675" i="1" s="1"/>
  <c r="X674" i="1"/>
  <c r="W674" i="1"/>
  <c r="V674" i="1"/>
  <c r="U674" i="1"/>
  <c r="S674" i="1"/>
  <c r="R674" i="1"/>
  <c r="Q674" i="1"/>
  <c r="P674" i="1"/>
  <c r="Y674" i="1" s="1"/>
  <c r="O674" i="1"/>
  <c r="N674" i="1"/>
  <c r="M674" i="1"/>
  <c r="L674" i="1"/>
  <c r="T674" i="1" s="1"/>
  <c r="X673" i="1"/>
  <c r="W673" i="1"/>
  <c r="V673" i="1"/>
  <c r="U673" i="1"/>
  <c r="S673" i="1"/>
  <c r="R673" i="1"/>
  <c r="Q673" i="1"/>
  <c r="P673" i="1"/>
  <c r="O673" i="1"/>
  <c r="M673" i="1"/>
  <c r="N673" i="1" s="1"/>
  <c r="Y673" i="1" s="1"/>
  <c r="L673" i="1"/>
  <c r="T673" i="1" s="1"/>
  <c r="X672" i="1"/>
  <c r="W672" i="1"/>
  <c r="V672" i="1"/>
  <c r="U672" i="1"/>
  <c r="S672" i="1"/>
  <c r="R672" i="1"/>
  <c r="Q672" i="1"/>
  <c r="P672" i="1"/>
  <c r="O672" i="1"/>
  <c r="M672" i="1"/>
  <c r="N672" i="1" s="1"/>
  <c r="Y672" i="1" s="1"/>
  <c r="L672" i="1"/>
  <c r="T672" i="1" s="1"/>
  <c r="X671" i="1"/>
  <c r="W671" i="1"/>
  <c r="V671" i="1"/>
  <c r="U671" i="1"/>
  <c r="S671" i="1"/>
  <c r="R671" i="1"/>
  <c r="Q671" i="1"/>
  <c r="Y671" i="1" s="1"/>
  <c r="P671" i="1"/>
  <c r="O671" i="1"/>
  <c r="N671" i="1"/>
  <c r="M671" i="1"/>
  <c r="L671" i="1"/>
  <c r="T671" i="1" s="1"/>
  <c r="X670" i="1"/>
  <c r="W670" i="1"/>
  <c r="V670" i="1"/>
  <c r="U670" i="1"/>
  <c r="S670" i="1"/>
  <c r="R670" i="1"/>
  <c r="Q670" i="1"/>
  <c r="P670" i="1"/>
  <c r="O670" i="1"/>
  <c r="N670" i="1"/>
  <c r="M670" i="1"/>
  <c r="L670" i="1"/>
  <c r="T670" i="1" s="1"/>
  <c r="X669" i="1"/>
  <c r="W669" i="1"/>
  <c r="V669" i="1"/>
  <c r="U669" i="1"/>
  <c r="S669" i="1"/>
  <c r="R669" i="1"/>
  <c r="Q669" i="1"/>
  <c r="P669" i="1"/>
  <c r="O669" i="1"/>
  <c r="M669" i="1"/>
  <c r="N669" i="1" s="1"/>
  <c r="L669" i="1"/>
  <c r="T669" i="1" s="1"/>
  <c r="X668" i="1"/>
  <c r="W668" i="1"/>
  <c r="V668" i="1"/>
  <c r="U668" i="1"/>
  <c r="S668" i="1"/>
  <c r="R668" i="1"/>
  <c r="Q668" i="1"/>
  <c r="P668" i="1"/>
  <c r="O668" i="1"/>
  <c r="N668" i="1"/>
  <c r="M668" i="1"/>
  <c r="L668" i="1"/>
  <c r="T668" i="1" s="1"/>
  <c r="X667" i="1"/>
  <c r="W667" i="1"/>
  <c r="V667" i="1"/>
  <c r="U667" i="1"/>
  <c r="S667" i="1"/>
  <c r="R667" i="1"/>
  <c r="Q667" i="1"/>
  <c r="P667" i="1"/>
  <c r="O667" i="1"/>
  <c r="N667" i="1"/>
  <c r="M667" i="1"/>
  <c r="L667" i="1"/>
  <c r="T667" i="1" s="1"/>
  <c r="X666" i="1"/>
  <c r="W666" i="1"/>
  <c r="V666" i="1"/>
  <c r="U666" i="1"/>
  <c r="S666" i="1"/>
  <c r="R666" i="1"/>
  <c r="Q666" i="1"/>
  <c r="P666" i="1"/>
  <c r="O666" i="1"/>
  <c r="N666" i="1"/>
  <c r="M666" i="1"/>
  <c r="L666" i="1"/>
  <c r="T666" i="1" s="1"/>
  <c r="X665" i="1"/>
  <c r="W665" i="1"/>
  <c r="V665" i="1"/>
  <c r="U665" i="1"/>
  <c r="S665" i="1"/>
  <c r="R665" i="1"/>
  <c r="Q665" i="1"/>
  <c r="P665" i="1"/>
  <c r="O665" i="1"/>
  <c r="N665" i="1"/>
  <c r="M665" i="1"/>
  <c r="L665" i="1"/>
  <c r="T665" i="1" s="1"/>
  <c r="X664" i="1"/>
  <c r="W664" i="1"/>
  <c r="V664" i="1"/>
  <c r="U664" i="1"/>
  <c r="S664" i="1"/>
  <c r="R664" i="1"/>
  <c r="Q664" i="1"/>
  <c r="P664" i="1"/>
  <c r="O664" i="1"/>
  <c r="N664" i="1"/>
  <c r="Y664" i="1" s="1"/>
  <c r="M664" i="1"/>
  <c r="L664" i="1"/>
  <c r="T664" i="1" s="1"/>
  <c r="X663" i="1"/>
  <c r="W663" i="1"/>
  <c r="V663" i="1"/>
  <c r="U663" i="1"/>
  <c r="S663" i="1"/>
  <c r="R663" i="1"/>
  <c r="Q663" i="1"/>
  <c r="P663" i="1"/>
  <c r="O663" i="1"/>
  <c r="M663" i="1"/>
  <c r="N663" i="1" s="1"/>
  <c r="L663" i="1"/>
  <c r="T663" i="1" s="1"/>
  <c r="X662" i="1"/>
  <c r="W662" i="1"/>
  <c r="V662" i="1"/>
  <c r="U662" i="1"/>
  <c r="S662" i="1"/>
  <c r="R662" i="1"/>
  <c r="Q662" i="1"/>
  <c r="Y662" i="1" s="1"/>
  <c r="P662" i="1"/>
  <c r="O662" i="1"/>
  <c r="N662" i="1"/>
  <c r="M662" i="1"/>
  <c r="L662" i="1"/>
  <c r="T662" i="1" s="1"/>
  <c r="X661" i="1"/>
  <c r="W661" i="1"/>
  <c r="V661" i="1"/>
  <c r="U661" i="1"/>
  <c r="S661" i="1"/>
  <c r="R661" i="1"/>
  <c r="Q661" i="1"/>
  <c r="P661" i="1"/>
  <c r="O661" i="1"/>
  <c r="Y661" i="1" s="1"/>
  <c r="N661" i="1"/>
  <c r="M661" i="1"/>
  <c r="L661" i="1"/>
  <c r="T661" i="1" s="1"/>
  <c r="X660" i="1"/>
  <c r="W660" i="1"/>
  <c r="V660" i="1"/>
  <c r="U660" i="1"/>
  <c r="T660" i="1"/>
  <c r="S660" i="1"/>
  <c r="R660" i="1"/>
  <c r="Q660" i="1"/>
  <c r="P660" i="1"/>
  <c r="O660" i="1"/>
  <c r="M660" i="1"/>
  <c r="N660" i="1" s="1"/>
  <c r="L660" i="1"/>
  <c r="X659" i="1"/>
  <c r="W659" i="1"/>
  <c r="V659" i="1"/>
  <c r="U659" i="1"/>
  <c r="S659" i="1"/>
  <c r="R659" i="1"/>
  <c r="Q659" i="1"/>
  <c r="P659" i="1"/>
  <c r="O659" i="1"/>
  <c r="M659" i="1"/>
  <c r="N659" i="1" s="1"/>
  <c r="L659" i="1"/>
  <c r="T659" i="1" s="1"/>
  <c r="X658" i="1"/>
  <c r="W658" i="1"/>
  <c r="V658" i="1"/>
  <c r="U658" i="1"/>
  <c r="S658" i="1"/>
  <c r="R658" i="1"/>
  <c r="Q658" i="1"/>
  <c r="P658" i="1"/>
  <c r="Y658" i="1" s="1"/>
  <c r="O658" i="1"/>
  <c r="N658" i="1"/>
  <c r="M658" i="1"/>
  <c r="L658" i="1"/>
  <c r="T658" i="1" s="1"/>
  <c r="X657" i="1"/>
  <c r="W657" i="1"/>
  <c r="V657" i="1"/>
  <c r="U657" i="1"/>
  <c r="S657" i="1"/>
  <c r="R657" i="1"/>
  <c r="Q657" i="1"/>
  <c r="P657" i="1"/>
  <c r="O657" i="1"/>
  <c r="M657" i="1"/>
  <c r="N657" i="1" s="1"/>
  <c r="Y657" i="1" s="1"/>
  <c r="L657" i="1"/>
  <c r="T657" i="1" s="1"/>
  <c r="X656" i="1"/>
  <c r="W656" i="1"/>
  <c r="V656" i="1"/>
  <c r="U656" i="1"/>
  <c r="S656" i="1"/>
  <c r="R656" i="1"/>
  <c r="Q656" i="1"/>
  <c r="P656" i="1"/>
  <c r="O656" i="1"/>
  <c r="M656" i="1"/>
  <c r="N656" i="1" s="1"/>
  <c r="L656" i="1"/>
  <c r="T656" i="1" s="1"/>
  <c r="X655" i="1"/>
  <c r="W655" i="1"/>
  <c r="V655" i="1"/>
  <c r="U655" i="1"/>
  <c r="S655" i="1"/>
  <c r="R655" i="1"/>
  <c r="Q655" i="1"/>
  <c r="Y655" i="1" s="1"/>
  <c r="P655" i="1"/>
  <c r="O655" i="1"/>
  <c r="N655" i="1"/>
  <c r="M655" i="1"/>
  <c r="L655" i="1"/>
  <c r="T655" i="1" s="1"/>
  <c r="X654" i="1"/>
  <c r="W654" i="1"/>
  <c r="V654" i="1"/>
  <c r="U654" i="1"/>
  <c r="S654" i="1"/>
  <c r="R654" i="1"/>
  <c r="Q654" i="1"/>
  <c r="P654" i="1"/>
  <c r="O654" i="1"/>
  <c r="Y654" i="1" s="1"/>
  <c r="N654" i="1"/>
  <c r="M654" i="1"/>
  <c r="L654" i="1"/>
  <c r="T654" i="1" s="1"/>
  <c r="X653" i="1"/>
  <c r="W653" i="1"/>
  <c r="V653" i="1"/>
  <c r="U653" i="1"/>
  <c r="S653" i="1"/>
  <c r="R653" i="1"/>
  <c r="Q653" i="1"/>
  <c r="P653" i="1"/>
  <c r="O653" i="1"/>
  <c r="M653" i="1"/>
  <c r="N653" i="1" s="1"/>
  <c r="L653" i="1"/>
  <c r="T653" i="1" s="1"/>
  <c r="X652" i="1"/>
  <c r="W652" i="1"/>
  <c r="V652" i="1"/>
  <c r="U652" i="1"/>
  <c r="S652" i="1"/>
  <c r="R652" i="1"/>
  <c r="Q652" i="1"/>
  <c r="P652" i="1"/>
  <c r="O652" i="1"/>
  <c r="N652" i="1"/>
  <c r="M652" i="1"/>
  <c r="L652" i="1"/>
  <c r="T652" i="1" s="1"/>
  <c r="X651" i="1"/>
  <c r="W651" i="1"/>
  <c r="V651" i="1"/>
  <c r="U651" i="1"/>
  <c r="S651" i="1"/>
  <c r="R651" i="1"/>
  <c r="Q651" i="1"/>
  <c r="P651" i="1"/>
  <c r="O651" i="1"/>
  <c r="M651" i="1"/>
  <c r="N651" i="1" s="1"/>
  <c r="Y651" i="1" s="1"/>
  <c r="L651" i="1"/>
  <c r="T651" i="1" s="1"/>
  <c r="X650" i="1"/>
  <c r="W650" i="1"/>
  <c r="V650" i="1"/>
  <c r="U650" i="1"/>
  <c r="S650" i="1"/>
  <c r="R650" i="1"/>
  <c r="Q650" i="1"/>
  <c r="P650" i="1"/>
  <c r="O650" i="1"/>
  <c r="N650" i="1"/>
  <c r="M650" i="1"/>
  <c r="L650" i="1"/>
  <c r="T650" i="1" s="1"/>
  <c r="X649" i="1"/>
  <c r="W649" i="1"/>
  <c r="V649" i="1"/>
  <c r="U649" i="1"/>
  <c r="S649" i="1"/>
  <c r="R649" i="1"/>
  <c r="Q649" i="1"/>
  <c r="P649" i="1"/>
  <c r="O649" i="1"/>
  <c r="Y649" i="1" s="1"/>
  <c r="N649" i="1"/>
  <c r="M649" i="1"/>
  <c r="L649" i="1"/>
  <c r="T649" i="1" s="1"/>
  <c r="X648" i="1"/>
  <c r="W648" i="1"/>
  <c r="V648" i="1"/>
  <c r="U648" i="1"/>
  <c r="T648" i="1"/>
  <c r="S648" i="1"/>
  <c r="R648" i="1"/>
  <c r="Q648" i="1"/>
  <c r="P648" i="1"/>
  <c r="O648" i="1"/>
  <c r="M648" i="1"/>
  <c r="N648" i="1" s="1"/>
  <c r="L648" i="1"/>
  <c r="X647" i="1"/>
  <c r="W647" i="1"/>
  <c r="V647" i="1"/>
  <c r="U647" i="1"/>
  <c r="S647" i="1"/>
  <c r="R647" i="1"/>
  <c r="Q647" i="1"/>
  <c r="P647" i="1"/>
  <c r="O647" i="1"/>
  <c r="M647" i="1"/>
  <c r="N647" i="1" s="1"/>
  <c r="L647" i="1"/>
  <c r="T647" i="1" s="1"/>
  <c r="X646" i="1"/>
  <c r="W646" i="1"/>
  <c r="V646" i="1"/>
  <c r="U646" i="1"/>
  <c r="S646" i="1"/>
  <c r="R646" i="1"/>
  <c r="Q646" i="1"/>
  <c r="P646" i="1"/>
  <c r="Y646" i="1" s="1"/>
  <c r="O646" i="1"/>
  <c r="N646" i="1"/>
  <c r="M646" i="1"/>
  <c r="L646" i="1"/>
  <c r="T646" i="1" s="1"/>
  <c r="X645" i="1"/>
  <c r="W645" i="1"/>
  <c r="V645" i="1"/>
  <c r="U645" i="1"/>
  <c r="S645" i="1"/>
  <c r="R645" i="1"/>
  <c r="Q645" i="1"/>
  <c r="P645" i="1"/>
  <c r="O645" i="1"/>
  <c r="M645" i="1"/>
  <c r="N645" i="1" s="1"/>
  <c r="Y645" i="1" s="1"/>
  <c r="L645" i="1"/>
  <c r="T645" i="1" s="1"/>
  <c r="X644" i="1"/>
  <c r="W644" i="1"/>
  <c r="V644" i="1"/>
  <c r="U644" i="1"/>
  <c r="S644" i="1"/>
  <c r="R644" i="1"/>
  <c r="Q644" i="1"/>
  <c r="P644" i="1"/>
  <c r="O644" i="1"/>
  <c r="M644" i="1"/>
  <c r="N644" i="1" s="1"/>
  <c r="L644" i="1"/>
  <c r="T644" i="1" s="1"/>
  <c r="X643" i="1"/>
  <c r="W643" i="1"/>
  <c r="V643" i="1"/>
  <c r="U643" i="1"/>
  <c r="S643" i="1"/>
  <c r="R643" i="1"/>
  <c r="Q643" i="1"/>
  <c r="P643" i="1"/>
  <c r="O643" i="1"/>
  <c r="M643" i="1"/>
  <c r="N643" i="1" s="1"/>
  <c r="L643" i="1"/>
  <c r="T643" i="1" s="1"/>
  <c r="X642" i="1"/>
  <c r="W642" i="1"/>
  <c r="V642" i="1"/>
  <c r="U642" i="1"/>
  <c r="S642" i="1"/>
  <c r="R642" i="1"/>
  <c r="Q642" i="1"/>
  <c r="P642" i="1"/>
  <c r="O642" i="1"/>
  <c r="Y642" i="1" s="1"/>
  <c r="N642" i="1"/>
  <c r="M642" i="1"/>
  <c r="L642" i="1"/>
  <c r="T642" i="1" s="1"/>
  <c r="X641" i="1"/>
  <c r="W641" i="1"/>
  <c r="V641" i="1"/>
  <c r="U641" i="1"/>
  <c r="S641" i="1"/>
  <c r="R641" i="1"/>
  <c r="Q641" i="1"/>
  <c r="P641" i="1"/>
  <c r="O641" i="1"/>
  <c r="M641" i="1"/>
  <c r="N641" i="1" s="1"/>
  <c r="Y641" i="1" s="1"/>
  <c r="L641" i="1"/>
  <c r="T641" i="1" s="1"/>
  <c r="X640" i="1"/>
  <c r="W640" i="1"/>
  <c r="V640" i="1"/>
  <c r="U640" i="1"/>
  <c r="S640" i="1"/>
  <c r="R640" i="1"/>
  <c r="Q640" i="1"/>
  <c r="P640" i="1"/>
  <c r="O640" i="1"/>
  <c r="M640" i="1"/>
  <c r="N640" i="1" s="1"/>
  <c r="L640" i="1"/>
  <c r="T640" i="1" s="1"/>
  <c r="X639" i="1"/>
  <c r="W639" i="1"/>
  <c r="V639" i="1"/>
  <c r="U639" i="1"/>
  <c r="S639" i="1"/>
  <c r="R639" i="1"/>
  <c r="Q639" i="1"/>
  <c r="Y639" i="1" s="1"/>
  <c r="P639" i="1"/>
  <c r="O639" i="1"/>
  <c r="N639" i="1"/>
  <c r="M639" i="1"/>
  <c r="L639" i="1"/>
  <c r="T639" i="1" s="1"/>
  <c r="X638" i="1"/>
  <c r="W638" i="1"/>
  <c r="V638" i="1"/>
  <c r="U638" i="1"/>
  <c r="S638" i="1"/>
  <c r="R638" i="1"/>
  <c r="Q638" i="1"/>
  <c r="P638" i="1"/>
  <c r="O638" i="1"/>
  <c r="M638" i="1"/>
  <c r="N638" i="1" s="1"/>
  <c r="L638" i="1"/>
  <c r="T638" i="1" s="1"/>
  <c r="X637" i="1"/>
  <c r="W637" i="1"/>
  <c r="V637" i="1"/>
  <c r="U637" i="1"/>
  <c r="S637" i="1"/>
  <c r="R637" i="1"/>
  <c r="Q637" i="1"/>
  <c r="P637" i="1"/>
  <c r="O637" i="1"/>
  <c r="M637" i="1"/>
  <c r="N637" i="1" s="1"/>
  <c r="Y637" i="1" s="1"/>
  <c r="L637" i="1"/>
  <c r="T637" i="1" s="1"/>
  <c r="X636" i="1"/>
  <c r="W636" i="1"/>
  <c r="V636" i="1"/>
  <c r="U636" i="1"/>
  <c r="S636" i="1"/>
  <c r="R636" i="1"/>
  <c r="Q636" i="1"/>
  <c r="P636" i="1"/>
  <c r="O636" i="1"/>
  <c r="M636" i="1"/>
  <c r="N636" i="1" s="1"/>
  <c r="Y636" i="1" s="1"/>
  <c r="L636" i="1"/>
  <c r="T636" i="1" s="1"/>
  <c r="X635" i="1"/>
  <c r="W635" i="1"/>
  <c r="V635" i="1"/>
  <c r="U635" i="1"/>
  <c r="S635" i="1"/>
  <c r="R635" i="1"/>
  <c r="Q635" i="1"/>
  <c r="P635" i="1"/>
  <c r="O635" i="1"/>
  <c r="M635" i="1"/>
  <c r="N635" i="1" s="1"/>
  <c r="L635" i="1"/>
  <c r="T635" i="1" s="1"/>
  <c r="X634" i="1"/>
  <c r="W634" i="1"/>
  <c r="V634" i="1"/>
  <c r="U634" i="1"/>
  <c r="T634" i="1"/>
  <c r="S634" i="1"/>
  <c r="R634" i="1"/>
  <c r="Q634" i="1"/>
  <c r="Y634" i="1" s="1"/>
  <c r="P634" i="1"/>
  <c r="O634" i="1"/>
  <c r="M634" i="1"/>
  <c r="N634" i="1" s="1"/>
  <c r="L634" i="1"/>
  <c r="X633" i="1"/>
  <c r="W633" i="1"/>
  <c r="V633" i="1"/>
  <c r="U633" i="1"/>
  <c r="S633" i="1"/>
  <c r="R633" i="1"/>
  <c r="Q633" i="1"/>
  <c r="P633" i="1"/>
  <c r="O633" i="1"/>
  <c r="N633" i="1"/>
  <c r="Y633" i="1" s="1"/>
  <c r="M633" i="1"/>
  <c r="L633" i="1"/>
  <c r="T633" i="1" s="1"/>
  <c r="X632" i="1"/>
  <c r="W632" i="1"/>
  <c r="V632" i="1"/>
  <c r="U632" i="1"/>
  <c r="T632" i="1"/>
  <c r="S632" i="1"/>
  <c r="R632" i="1"/>
  <c r="Q632" i="1"/>
  <c r="P632" i="1"/>
  <c r="O632" i="1"/>
  <c r="M632" i="1"/>
  <c r="N632" i="1" s="1"/>
  <c r="L632" i="1"/>
  <c r="Y631" i="1"/>
  <c r="X631" i="1"/>
  <c r="W631" i="1"/>
  <c r="V631" i="1"/>
  <c r="U631" i="1"/>
  <c r="S631" i="1"/>
  <c r="R631" i="1"/>
  <c r="Q631" i="1"/>
  <c r="P631" i="1"/>
  <c r="O631" i="1"/>
  <c r="M631" i="1"/>
  <c r="N631" i="1" s="1"/>
  <c r="L631" i="1"/>
  <c r="T631" i="1" s="1"/>
  <c r="X630" i="1"/>
  <c r="W630" i="1"/>
  <c r="V630" i="1"/>
  <c r="U630" i="1"/>
  <c r="S630" i="1"/>
  <c r="R630" i="1"/>
  <c r="Q630" i="1"/>
  <c r="P630" i="1"/>
  <c r="Y630" i="1" s="1"/>
  <c r="O630" i="1"/>
  <c r="M630" i="1"/>
  <c r="N630" i="1" s="1"/>
  <c r="L630" i="1"/>
  <c r="T630" i="1" s="1"/>
  <c r="X629" i="1"/>
  <c r="W629" i="1"/>
  <c r="V629" i="1"/>
  <c r="U629" i="1"/>
  <c r="S629" i="1"/>
  <c r="R629" i="1"/>
  <c r="Q629" i="1"/>
  <c r="P629" i="1"/>
  <c r="O629" i="1"/>
  <c r="M629" i="1"/>
  <c r="N629" i="1" s="1"/>
  <c r="Y629" i="1" s="1"/>
  <c r="L629" i="1"/>
  <c r="T629" i="1" s="1"/>
  <c r="X628" i="1"/>
  <c r="W628" i="1"/>
  <c r="V628" i="1"/>
  <c r="U628" i="1"/>
  <c r="S628" i="1"/>
  <c r="R628" i="1"/>
  <c r="Q628" i="1"/>
  <c r="P628" i="1"/>
  <c r="O628" i="1"/>
  <c r="N628" i="1"/>
  <c r="M628" i="1"/>
  <c r="L628" i="1"/>
  <c r="T628" i="1" s="1"/>
  <c r="X627" i="1"/>
  <c r="W627" i="1"/>
  <c r="V627" i="1"/>
  <c r="U627" i="1"/>
  <c r="S627" i="1"/>
  <c r="R627" i="1"/>
  <c r="Q627" i="1"/>
  <c r="P627" i="1"/>
  <c r="O627" i="1"/>
  <c r="M627" i="1"/>
  <c r="N627" i="1" s="1"/>
  <c r="L627" i="1"/>
  <c r="T627" i="1" s="1"/>
  <c r="X626" i="1"/>
  <c r="W626" i="1"/>
  <c r="V626" i="1"/>
  <c r="U626" i="1"/>
  <c r="T626" i="1"/>
  <c r="S626" i="1"/>
  <c r="R626" i="1"/>
  <c r="Q626" i="1"/>
  <c r="P626" i="1"/>
  <c r="O626" i="1"/>
  <c r="M626" i="1"/>
  <c r="N626" i="1" s="1"/>
  <c r="L626" i="1"/>
  <c r="X625" i="1"/>
  <c r="W625" i="1"/>
  <c r="V625" i="1"/>
  <c r="U625" i="1"/>
  <c r="S625" i="1"/>
  <c r="R625" i="1"/>
  <c r="Q625" i="1"/>
  <c r="P625" i="1"/>
  <c r="O625" i="1"/>
  <c r="Y625" i="1" s="1"/>
  <c r="N625" i="1"/>
  <c r="M625" i="1"/>
  <c r="L625" i="1"/>
  <c r="T625" i="1" s="1"/>
  <c r="X624" i="1"/>
  <c r="W624" i="1"/>
  <c r="V624" i="1"/>
  <c r="U624" i="1"/>
  <c r="S624" i="1"/>
  <c r="R624" i="1"/>
  <c r="Q624" i="1"/>
  <c r="P624" i="1"/>
  <c r="O624" i="1"/>
  <c r="M624" i="1"/>
  <c r="N624" i="1" s="1"/>
  <c r="L624" i="1"/>
  <c r="T624" i="1" s="1"/>
  <c r="X623" i="1"/>
  <c r="W623" i="1"/>
  <c r="V623" i="1"/>
  <c r="U623" i="1"/>
  <c r="S623" i="1"/>
  <c r="R623" i="1"/>
  <c r="Q623" i="1"/>
  <c r="P623" i="1"/>
  <c r="O623" i="1"/>
  <c r="M623" i="1"/>
  <c r="N623" i="1" s="1"/>
  <c r="L623" i="1"/>
  <c r="T623" i="1" s="1"/>
  <c r="X622" i="1"/>
  <c r="W622" i="1"/>
  <c r="V622" i="1"/>
  <c r="U622" i="1"/>
  <c r="T622" i="1"/>
  <c r="S622" i="1"/>
  <c r="R622" i="1"/>
  <c r="Q622" i="1"/>
  <c r="P622" i="1"/>
  <c r="Y622" i="1" s="1"/>
  <c r="O622" i="1"/>
  <c r="M622" i="1"/>
  <c r="N622" i="1" s="1"/>
  <c r="L622" i="1"/>
  <c r="X621" i="1"/>
  <c r="W621" i="1"/>
  <c r="V621" i="1"/>
  <c r="U621" i="1"/>
  <c r="S621" i="1"/>
  <c r="R621" i="1"/>
  <c r="Q621" i="1"/>
  <c r="P621" i="1"/>
  <c r="O621" i="1"/>
  <c r="N621" i="1"/>
  <c r="Y621" i="1" s="1"/>
  <c r="M621" i="1"/>
  <c r="L621" i="1"/>
  <c r="T621" i="1" s="1"/>
  <c r="X620" i="1"/>
  <c r="W620" i="1"/>
  <c r="V620" i="1"/>
  <c r="U620" i="1"/>
  <c r="S620" i="1"/>
  <c r="R620" i="1"/>
  <c r="Q620" i="1"/>
  <c r="P620" i="1"/>
  <c r="O620" i="1"/>
  <c r="M620" i="1"/>
  <c r="N620" i="1" s="1"/>
  <c r="L620" i="1"/>
  <c r="T620" i="1" s="1"/>
  <c r="X619" i="1"/>
  <c r="W619" i="1"/>
  <c r="V619" i="1"/>
  <c r="U619" i="1"/>
  <c r="S619" i="1"/>
  <c r="R619" i="1"/>
  <c r="Q619" i="1"/>
  <c r="P619" i="1"/>
  <c r="O619" i="1"/>
  <c r="N619" i="1"/>
  <c r="M619" i="1"/>
  <c r="L619" i="1"/>
  <c r="T619" i="1" s="1"/>
  <c r="X618" i="1"/>
  <c r="W618" i="1"/>
  <c r="V618" i="1"/>
  <c r="U618" i="1"/>
  <c r="S618" i="1"/>
  <c r="R618" i="1"/>
  <c r="Q618" i="1"/>
  <c r="P618" i="1"/>
  <c r="O618" i="1"/>
  <c r="M618" i="1"/>
  <c r="N618" i="1" s="1"/>
  <c r="Y618" i="1" s="1"/>
  <c r="L618" i="1"/>
  <c r="T618" i="1" s="1"/>
  <c r="X617" i="1"/>
  <c r="W617" i="1"/>
  <c r="V617" i="1"/>
  <c r="U617" i="1"/>
  <c r="S617" i="1"/>
  <c r="R617" i="1"/>
  <c r="Q617" i="1"/>
  <c r="P617" i="1"/>
  <c r="O617" i="1"/>
  <c r="M617" i="1"/>
  <c r="N617" i="1" s="1"/>
  <c r="L617" i="1"/>
  <c r="T617" i="1" s="1"/>
  <c r="X616" i="1"/>
  <c r="W616" i="1"/>
  <c r="V616" i="1"/>
  <c r="U616" i="1"/>
  <c r="S616" i="1"/>
  <c r="R616" i="1"/>
  <c r="Q616" i="1"/>
  <c r="P616" i="1"/>
  <c r="O616" i="1"/>
  <c r="Y616" i="1" s="1"/>
  <c r="N616" i="1"/>
  <c r="M616" i="1"/>
  <c r="L616" i="1"/>
  <c r="T616" i="1" s="1"/>
  <c r="X615" i="1"/>
  <c r="W615" i="1"/>
  <c r="V615" i="1"/>
  <c r="U615" i="1"/>
  <c r="S615" i="1"/>
  <c r="R615" i="1"/>
  <c r="Q615" i="1"/>
  <c r="P615" i="1"/>
  <c r="O615" i="1"/>
  <c r="M615" i="1"/>
  <c r="N615" i="1" s="1"/>
  <c r="Y615" i="1" s="1"/>
  <c r="L615" i="1"/>
  <c r="T615" i="1" s="1"/>
  <c r="X614" i="1"/>
  <c r="W614" i="1"/>
  <c r="V614" i="1"/>
  <c r="U614" i="1"/>
  <c r="S614" i="1"/>
  <c r="R614" i="1"/>
  <c r="Q614" i="1"/>
  <c r="P614" i="1"/>
  <c r="O614" i="1"/>
  <c r="M614" i="1"/>
  <c r="N614" i="1" s="1"/>
  <c r="L614" i="1"/>
  <c r="T614" i="1" s="1"/>
  <c r="X613" i="1"/>
  <c r="W613" i="1"/>
  <c r="V613" i="1"/>
  <c r="U613" i="1"/>
  <c r="S613" i="1"/>
  <c r="R613" i="1"/>
  <c r="Q613" i="1"/>
  <c r="P613" i="1"/>
  <c r="O613" i="1"/>
  <c r="N613" i="1"/>
  <c r="M613" i="1"/>
  <c r="L613" i="1"/>
  <c r="T613" i="1" s="1"/>
  <c r="X612" i="1"/>
  <c r="W612" i="1"/>
  <c r="V612" i="1"/>
  <c r="U612" i="1"/>
  <c r="S612" i="1"/>
  <c r="R612" i="1"/>
  <c r="Q612" i="1"/>
  <c r="P612" i="1"/>
  <c r="Y612" i="1" s="1"/>
  <c r="O612" i="1"/>
  <c r="N612" i="1"/>
  <c r="M612" i="1"/>
  <c r="L612" i="1"/>
  <c r="T612" i="1" s="1"/>
  <c r="X611" i="1"/>
  <c r="W611" i="1"/>
  <c r="V611" i="1"/>
  <c r="U611" i="1"/>
  <c r="S611" i="1"/>
  <c r="R611" i="1"/>
  <c r="Q611" i="1"/>
  <c r="P611" i="1"/>
  <c r="O611" i="1"/>
  <c r="M611" i="1"/>
  <c r="N611" i="1" s="1"/>
  <c r="L611" i="1"/>
  <c r="T611" i="1" s="1"/>
  <c r="X610" i="1"/>
  <c r="W610" i="1"/>
  <c r="V610" i="1"/>
  <c r="U610" i="1"/>
  <c r="T610" i="1"/>
  <c r="S610" i="1"/>
  <c r="R610" i="1"/>
  <c r="Q610" i="1"/>
  <c r="P610" i="1"/>
  <c r="O610" i="1"/>
  <c r="M610" i="1"/>
  <c r="N610" i="1" s="1"/>
  <c r="L610" i="1"/>
  <c r="X609" i="1"/>
  <c r="W609" i="1"/>
  <c r="V609" i="1"/>
  <c r="U609" i="1"/>
  <c r="S609" i="1"/>
  <c r="R609" i="1"/>
  <c r="Q609" i="1"/>
  <c r="P609" i="1"/>
  <c r="O609" i="1"/>
  <c r="M609" i="1"/>
  <c r="N609" i="1" s="1"/>
  <c r="Y609" i="1" s="1"/>
  <c r="L609" i="1"/>
  <c r="T609" i="1" s="1"/>
  <c r="X608" i="1"/>
  <c r="W608" i="1"/>
  <c r="V608" i="1"/>
  <c r="U608" i="1"/>
  <c r="T608" i="1"/>
  <c r="S608" i="1"/>
  <c r="R608" i="1"/>
  <c r="Q608" i="1"/>
  <c r="P608" i="1"/>
  <c r="O608" i="1"/>
  <c r="M608" i="1"/>
  <c r="N608" i="1" s="1"/>
  <c r="L608" i="1"/>
  <c r="X607" i="1"/>
  <c r="W607" i="1"/>
  <c r="V607" i="1"/>
  <c r="U607" i="1"/>
  <c r="T607" i="1"/>
  <c r="S607" i="1"/>
  <c r="R607" i="1"/>
  <c r="Q607" i="1"/>
  <c r="P607" i="1"/>
  <c r="O607" i="1"/>
  <c r="M607" i="1"/>
  <c r="N607" i="1" s="1"/>
  <c r="L607" i="1"/>
  <c r="X606" i="1"/>
  <c r="W606" i="1"/>
  <c r="V606" i="1"/>
  <c r="U606" i="1"/>
  <c r="T606" i="1"/>
  <c r="S606" i="1"/>
  <c r="R606" i="1"/>
  <c r="Q606" i="1"/>
  <c r="P606" i="1"/>
  <c r="O606" i="1"/>
  <c r="M606" i="1"/>
  <c r="N606" i="1" s="1"/>
  <c r="L606" i="1"/>
  <c r="X605" i="1"/>
  <c r="W605" i="1"/>
  <c r="V605" i="1"/>
  <c r="U605" i="1"/>
  <c r="S605" i="1"/>
  <c r="R605" i="1"/>
  <c r="Q605" i="1"/>
  <c r="P605" i="1"/>
  <c r="O605" i="1"/>
  <c r="M605" i="1"/>
  <c r="N605" i="1" s="1"/>
  <c r="Y605" i="1" s="1"/>
  <c r="L605" i="1"/>
  <c r="T605" i="1" s="1"/>
  <c r="X604" i="1"/>
  <c r="W604" i="1"/>
  <c r="V604" i="1"/>
  <c r="U604" i="1"/>
  <c r="S604" i="1"/>
  <c r="R604" i="1"/>
  <c r="Q604" i="1"/>
  <c r="Y604" i="1" s="1"/>
  <c r="P604" i="1"/>
  <c r="O604" i="1"/>
  <c r="M604" i="1"/>
  <c r="N604" i="1" s="1"/>
  <c r="L604" i="1"/>
  <c r="T604" i="1" s="1"/>
  <c r="X603" i="1"/>
  <c r="W603" i="1"/>
  <c r="V603" i="1"/>
  <c r="U603" i="1"/>
  <c r="S603" i="1"/>
  <c r="R603" i="1"/>
  <c r="Q603" i="1"/>
  <c r="P603" i="1"/>
  <c r="O603" i="1"/>
  <c r="N603" i="1"/>
  <c r="M603" i="1"/>
  <c r="L603" i="1"/>
  <c r="T603" i="1" s="1"/>
  <c r="X602" i="1"/>
  <c r="W602" i="1"/>
  <c r="V602" i="1"/>
  <c r="U602" i="1"/>
  <c r="S602" i="1"/>
  <c r="R602" i="1"/>
  <c r="Q602" i="1"/>
  <c r="P602" i="1"/>
  <c r="O602" i="1"/>
  <c r="M602" i="1"/>
  <c r="N602" i="1" s="1"/>
  <c r="L602" i="1"/>
  <c r="T602" i="1" s="1"/>
  <c r="X601" i="1"/>
  <c r="W601" i="1"/>
  <c r="V601" i="1"/>
  <c r="U601" i="1"/>
  <c r="S601" i="1"/>
  <c r="R601" i="1"/>
  <c r="Q601" i="1"/>
  <c r="P601" i="1"/>
  <c r="O601" i="1"/>
  <c r="M601" i="1"/>
  <c r="N601" i="1" s="1"/>
  <c r="L601" i="1"/>
  <c r="T601" i="1" s="1"/>
  <c r="X600" i="1"/>
  <c r="W600" i="1"/>
  <c r="V600" i="1"/>
  <c r="U600" i="1"/>
  <c r="S600" i="1"/>
  <c r="R600" i="1"/>
  <c r="Q600" i="1"/>
  <c r="P600" i="1"/>
  <c r="Y600" i="1" s="1"/>
  <c r="O600" i="1"/>
  <c r="N600" i="1"/>
  <c r="M600" i="1"/>
  <c r="L600" i="1"/>
  <c r="T600" i="1" s="1"/>
  <c r="X599" i="1"/>
  <c r="W599" i="1"/>
  <c r="V599" i="1"/>
  <c r="U599" i="1"/>
  <c r="S599" i="1"/>
  <c r="R599" i="1"/>
  <c r="Q599" i="1"/>
  <c r="P599" i="1"/>
  <c r="O599" i="1"/>
  <c r="M599" i="1"/>
  <c r="N599" i="1" s="1"/>
  <c r="Y599" i="1" s="1"/>
  <c r="L599" i="1"/>
  <c r="T599" i="1" s="1"/>
  <c r="X598" i="1"/>
  <c r="W598" i="1"/>
  <c r="V598" i="1"/>
  <c r="U598" i="1"/>
  <c r="T598" i="1"/>
  <c r="S598" i="1"/>
  <c r="R598" i="1"/>
  <c r="Q598" i="1"/>
  <c r="P598" i="1"/>
  <c r="O598" i="1"/>
  <c r="M598" i="1"/>
  <c r="N598" i="1" s="1"/>
  <c r="L598" i="1"/>
  <c r="X597" i="1"/>
  <c r="W597" i="1"/>
  <c r="V597" i="1"/>
  <c r="U597" i="1"/>
  <c r="S597" i="1"/>
  <c r="R597" i="1"/>
  <c r="Q597" i="1"/>
  <c r="P597" i="1"/>
  <c r="O597" i="1"/>
  <c r="Y597" i="1" s="1"/>
  <c r="N597" i="1"/>
  <c r="M597" i="1"/>
  <c r="L597" i="1"/>
  <c r="T597" i="1" s="1"/>
  <c r="X596" i="1"/>
  <c r="W596" i="1"/>
  <c r="V596" i="1"/>
  <c r="U596" i="1"/>
  <c r="S596" i="1"/>
  <c r="R596" i="1"/>
  <c r="Q596" i="1"/>
  <c r="P596" i="1"/>
  <c r="O596" i="1"/>
  <c r="M596" i="1"/>
  <c r="N596" i="1" s="1"/>
  <c r="L596" i="1"/>
  <c r="T596" i="1" s="1"/>
  <c r="X595" i="1"/>
  <c r="W595" i="1"/>
  <c r="V595" i="1"/>
  <c r="U595" i="1"/>
  <c r="S595" i="1"/>
  <c r="R595" i="1"/>
  <c r="Q595" i="1"/>
  <c r="P595" i="1"/>
  <c r="O595" i="1"/>
  <c r="N595" i="1"/>
  <c r="M595" i="1"/>
  <c r="L595" i="1"/>
  <c r="T595" i="1" s="1"/>
  <c r="X594" i="1"/>
  <c r="W594" i="1"/>
  <c r="V594" i="1"/>
  <c r="U594" i="1"/>
  <c r="T594" i="1"/>
  <c r="S594" i="1"/>
  <c r="R594" i="1"/>
  <c r="Q594" i="1"/>
  <c r="P594" i="1"/>
  <c r="O594" i="1"/>
  <c r="M594" i="1"/>
  <c r="N594" i="1" s="1"/>
  <c r="Y594" i="1" s="1"/>
  <c r="L594" i="1"/>
  <c r="X593" i="1"/>
  <c r="W593" i="1"/>
  <c r="V593" i="1"/>
  <c r="U593" i="1"/>
  <c r="S593" i="1"/>
  <c r="R593" i="1"/>
  <c r="Q593" i="1"/>
  <c r="P593" i="1"/>
  <c r="O593" i="1"/>
  <c r="N593" i="1"/>
  <c r="M593" i="1"/>
  <c r="L593" i="1"/>
  <c r="T593" i="1" s="1"/>
  <c r="X592" i="1"/>
  <c r="W592" i="1"/>
  <c r="V592" i="1"/>
  <c r="U592" i="1"/>
  <c r="S592" i="1"/>
  <c r="R592" i="1"/>
  <c r="Q592" i="1"/>
  <c r="P592" i="1"/>
  <c r="O592" i="1"/>
  <c r="M592" i="1"/>
  <c r="N592" i="1" s="1"/>
  <c r="L592" i="1"/>
  <c r="T592" i="1" s="1"/>
  <c r="X591" i="1"/>
  <c r="W591" i="1"/>
  <c r="V591" i="1"/>
  <c r="U591" i="1"/>
  <c r="S591" i="1"/>
  <c r="R591" i="1"/>
  <c r="Q591" i="1"/>
  <c r="P591" i="1"/>
  <c r="O591" i="1"/>
  <c r="M591" i="1"/>
  <c r="N591" i="1" s="1"/>
  <c r="L591" i="1"/>
  <c r="T591" i="1" s="1"/>
  <c r="X590" i="1"/>
  <c r="W590" i="1"/>
  <c r="V590" i="1"/>
  <c r="U590" i="1"/>
  <c r="T590" i="1"/>
  <c r="S590" i="1"/>
  <c r="R590" i="1"/>
  <c r="Q590" i="1"/>
  <c r="Y590" i="1" s="1"/>
  <c r="P590" i="1"/>
  <c r="O590" i="1"/>
  <c r="M590" i="1"/>
  <c r="N590" i="1" s="1"/>
  <c r="L590" i="1"/>
  <c r="X589" i="1"/>
  <c r="W589" i="1"/>
  <c r="V589" i="1"/>
  <c r="U589" i="1"/>
  <c r="S589" i="1"/>
  <c r="R589" i="1"/>
  <c r="Q589" i="1"/>
  <c r="P589" i="1"/>
  <c r="O589" i="1"/>
  <c r="N589" i="1"/>
  <c r="M589" i="1"/>
  <c r="L589" i="1"/>
  <c r="T589" i="1" s="1"/>
  <c r="X588" i="1"/>
  <c r="W588" i="1"/>
  <c r="V588" i="1"/>
  <c r="U588" i="1"/>
  <c r="S588" i="1"/>
  <c r="R588" i="1"/>
  <c r="Q588" i="1"/>
  <c r="P588" i="1"/>
  <c r="O588" i="1"/>
  <c r="M588" i="1"/>
  <c r="N588" i="1" s="1"/>
  <c r="Y588" i="1" s="1"/>
  <c r="L588" i="1"/>
  <c r="T588" i="1" s="1"/>
  <c r="X587" i="1"/>
  <c r="W587" i="1"/>
  <c r="V587" i="1"/>
  <c r="U587" i="1"/>
  <c r="S587" i="1"/>
  <c r="R587" i="1"/>
  <c r="Q587" i="1"/>
  <c r="P587" i="1"/>
  <c r="O587" i="1"/>
  <c r="N587" i="1"/>
  <c r="Y587" i="1" s="1"/>
  <c r="M587" i="1"/>
  <c r="L587" i="1"/>
  <c r="T587" i="1" s="1"/>
  <c r="X586" i="1"/>
  <c r="W586" i="1"/>
  <c r="V586" i="1"/>
  <c r="U586" i="1"/>
  <c r="T586" i="1"/>
  <c r="S586" i="1"/>
  <c r="R586" i="1"/>
  <c r="Q586" i="1"/>
  <c r="P586" i="1"/>
  <c r="O586" i="1"/>
  <c r="M586" i="1"/>
  <c r="N586" i="1" s="1"/>
  <c r="Y586" i="1" s="1"/>
  <c r="L586" i="1"/>
  <c r="X585" i="1"/>
  <c r="W585" i="1"/>
  <c r="V585" i="1"/>
  <c r="U585" i="1"/>
  <c r="S585" i="1"/>
  <c r="R585" i="1"/>
  <c r="Q585" i="1"/>
  <c r="P585" i="1"/>
  <c r="Y585" i="1" s="1"/>
  <c r="O585" i="1"/>
  <c r="N585" i="1"/>
  <c r="M585" i="1"/>
  <c r="L585" i="1"/>
  <c r="T585" i="1" s="1"/>
  <c r="X584" i="1"/>
  <c r="W584" i="1"/>
  <c r="V584" i="1"/>
  <c r="U584" i="1"/>
  <c r="S584" i="1"/>
  <c r="R584" i="1"/>
  <c r="Q584" i="1"/>
  <c r="P584" i="1"/>
  <c r="O584" i="1"/>
  <c r="M584" i="1"/>
  <c r="N584" i="1" s="1"/>
  <c r="Y584" i="1" s="1"/>
  <c r="L584" i="1"/>
  <c r="T584" i="1" s="1"/>
  <c r="X583" i="1"/>
  <c r="W583" i="1"/>
  <c r="V583" i="1"/>
  <c r="U583" i="1"/>
  <c r="S583" i="1"/>
  <c r="R583" i="1"/>
  <c r="Q583" i="1"/>
  <c r="P583" i="1"/>
  <c r="O583" i="1"/>
  <c r="M583" i="1"/>
  <c r="N583" i="1" s="1"/>
  <c r="Y583" i="1" s="1"/>
  <c r="L583" i="1"/>
  <c r="T583" i="1" s="1"/>
  <c r="X582" i="1"/>
  <c r="W582" i="1"/>
  <c r="V582" i="1"/>
  <c r="U582" i="1"/>
  <c r="T582" i="1"/>
  <c r="S582" i="1"/>
  <c r="R582" i="1"/>
  <c r="Q582" i="1"/>
  <c r="P582" i="1"/>
  <c r="O582" i="1"/>
  <c r="M582" i="1"/>
  <c r="N582" i="1" s="1"/>
  <c r="L582" i="1"/>
  <c r="X581" i="1"/>
  <c r="W581" i="1"/>
  <c r="V581" i="1"/>
  <c r="U581" i="1"/>
  <c r="S581" i="1"/>
  <c r="R581" i="1"/>
  <c r="Q581" i="1"/>
  <c r="P581" i="1"/>
  <c r="O581" i="1"/>
  <c r="N581" i="1"/>
  <c r="M581" i="1"/>
  <c r="L581" i="1"/>
  <c r="T581" i="1" s="1"/>
  <c r="X580" i="1"/>
  <c r="W580" i="1"/>
  <c r="V580" i="1"/>
  <c r="U580" i="1"/>
  <c r="S580" i="1"/>
  <c r="R580" i="1"/>
  <c r="Q580" i="1"/>
  <c r="P580" i="1"/>
  <c r="O580" i="1"/>
  <c r="M580" i="1"/>
  <c r="N580" i="1" s="1"/>
  <c r="Y580" i="1" s="1"/>
  <c r="L580" i="1"/>
  <c r="T580" i="1" s="1"/>
  <c r="X579" i="1"/>
  <c r="W579" i="1"/>
  <c r="V579" i="1"/>
  <c r="U579" i="1"/>
  <c r="S579" i="1"/>
  <c r="R579" i="1"/>
  <c r="Q579" i="1"/>
  <c r="P579" i="1"/>
  <c r="O579" i="1"/>
  <c r="N579" i="1"/>
  <c r="M579" i="1"/>
  <c r="L579" i="1"/>
  <c r="T579" i="1" s="1"/>
  <c r="X578" i="1"/>
  <c r="W578" i="1"/>
  <c r="V578" i="1"/>
  <c r="U578" i="1"/>
  <c r="T578" i="1"/>
  <c r="S578" i="1"/>
  <c r="R578" i="1"/>
  <c r="Q578" i="1"/>
  <c r="P578" i="1"/>
  <c r="O578" i="1"/>
  <c r="M578" i="1"/>
  <c r="N578" i="1" s="1"/>
  <c r="Y578" i="1" s="1"/>
  <c r="L578" i="1"/>
  <c r="X577" i="1"/>
  <c r="W577" i="1"/>
  <c r="V577" i="1"/>
  <c r="U577" i="1"/>
  <c r="S577" i="1"/>
  <c r="R577" i="1"/>
  <c r="Q577" i="1"/>
  <c r="P577" i="1"/>
  <c r="Y577" i="1" s="1"/>
  <c r="O577" i="1"/>
  <c r="M577" i="1"/>
  <c r="N577" i="1" s="1"/>
  <c r="L577" i="1"/>
  <c r="T577" i="1" s="1"/>
  <c r="X576" i="1"/>
  <c r="W576" i="1"/>
  <c r="V576" i="1"/>
  <c r="U576" i="1"/>
  <c r="S576" i="1"/>
  <c r="R576" i="1"/>
  <c r="Q576" i="1"/>
  <c r="P576" i="1"/>
  <c r="Y576" i="1" s="1"/>
  <c r="O576" i="1"/>
  <c r="N576" i="1"/>
  <c r="M576" i="1"/>
  <c r="L576" i="1"/>
  <c r="T576" i="1" s="1"/>
  <c r="X575" i="1"/>
  <c r="W575" i="1"/>
  <c r="V575" i="1"/>
  <c r="U575" i="1"/>
  <c r="S575" i="1"/>
  <c r="R575" i="1"/>
  <c r="Q575" i="1"/>
  <c r="P575" i="1"/>
  <c r="O575" i="1"/>
  <c r="M575" i="1"/>
  <c r="N575" i="1" s="1"/>
  <c r="L575" i="1"/>
  <c r="T575" i="1" s="1"/>
  <c r="X574" i="1"/>
  <c r="W574" i="1"/>
  <c r="V574" i="1"/>
  <c r="U574" i="1"/>
  <c r="S574" i="1"/>
  <c r="R574" i="1"/>
  <c r="Q574" i="1"/>
  <c r="Y574" i="1" s="1"/>
  <c r="P574" i="1"/>
  <c r="O574" i="1"/>
  <c r="M574" i="1"/>
  <c r="N574" i="1" s="1"/>
  <c r="L574" i="1"/>
  <c r="T574" i="1" s="1"/>
  <c r="X573" i="1"/>
  <c r="W573" i="1"/>
  <c r="V573" i="1"/>
  <c r="U573" i="1"/>
  <c r="S573" i="1"/>
  <c r="R573" i="1"/>
  <c r="Q573" i="1"/>
  <c r="P573" i="1"/>
  <c r="O573" i="1"/>
  <c r="M573" i="1"/>
  <c r="N573" i="1" s="1"/>
  <c r="Y573" i="1" s="1"/>
  <c r="L573" i="1"/>
  <c r="T573" i="1" s="1"/>
  <c r="X572" i="1"/>
  <c r="W572" i="1"/>
  <c r="V572" i="1"/>
  <c r="U572" i="1"/>
  <c r="S572" i="1"/>
  <c r="R572" i="1"/>
  <c r="Q572" i="1"/>
  <c r="P572" i="1"/>
  <c r="O572" i="1"/>
  <c r="Y572" i="1" s="1"/>
  <c r="N572" i="1"/>
  <c r="M572" i="1"/>
  <c r="L572" i="1"/>
  <c r="T572" i="1" s="1"/>
  <c r="X571" i="1"/>
  <c r="W571" i="1"/>
  <c r="V571" i="1"/>
  <c r="U571" i="1"/>
  <c r="S571" i="1"/>
  <c r="R571" i="1"/>
  <c r="Q571" i="1"/>
  <c r="P571" i="1"/>
  <c r="O571" i="1"/>
  <c r="N571" i="1"/>
  <c r="M571" i="1"/>
  <c r="L571" i="1"/>
  <c r="T571" i="1" s="1"/>
  <c r="X570" i="1"/>
  <c r="W570" i="1"/>
  <c r="V570" i="1"/>
  <c r="U570" i="1"/>
  <c r="S570" i="1"/>
  <c r="R570" i="1"/>
  <c r="Q570" i="1"/>
  <c r="P570" i="1"/>
  <c r="O570" i="1"/>
  <c r="M570" i="1"/>
  <c r="N570" i="1" s="1"/>
  <c r="L570" i="1"/>
  <c r="T570" i="1" s="1"/>
  <c r="X569" i="1"/>
  <c r="W569" i="1"/>
  <c r="V569" i="1"/>
  <c r="U569" i="1"/>
  <c r="S569" i="1"/>
  <c r="R569" i="1"/>
  <c r="Q569" i="1"/>
  <c r="P569" i="1"/>
  <c r="O569" i="1"/>
  <c r="M569" i="1"/>
  <c r="N569" i="1" s="1"/>
  <c r="Y569" i="1" s="1"/>
  <c r="L569" i="1"/>
  <c r="T569" i="1" s="1"/>
  <c r="X568" i="1"/>
  <c r="W568" i="1"/>
  <c r="V568" i="1"/>
  <c r="U568" i="1"/>
  <c r="S568" i="1"/>
  <c r="R568" i="1"/>
  <c r="Q568" i="1"/>
  <c r="P568" i="1"/>
  <c r="O568" i="1"/>
  <c r="N568" i="1"/>
  <c r="Y568" i="1" s="1"/>
  <c r="M568" i="1"/>
  <c r="L568" i="1"/>
  <c r="T568" i="1" s="1"/>
  <c r="X567" i="1"/>
  <c r="W567" i="1"/>
  <c r="V567" i="1"/>
  <c r="U567" i="1"/>
  <c r="S567" i="1"/>
  <c r="R567" i="1"/>
  <c r="Q567" i="1"/>
  <c r="P567" i="1"/>
  <c r="O567" i="1"/>
  <c r="N567" i="1"/>
  <c r="M567" i="1"/>
  <c r="L567" i="1"/>
  <c r="T567" i="1" s="1"/>
  <c r="X566" i="1"/>
  <c r="W566" i="1"/>
  <c r="V566" i="1"/>
  <c r="U566" i="1"/>
  <c r="S566" i="1"/>
  <c r="R566" i="1"/>
  <c r="Q566" i="1"/>
  <c r="Y566" i="1" s="1"/>
  <c r="P566" i="1"/>
  <c r="O566" i="1"/>
  <c r="M566" i="1"/>
  <c r="N566" i="1" s="1"/>
  <c r="L566" i="1"/>
  <c r="T566" i="1" s="1"/>
  <c r="X565" i="1"/>
  <c r="W565" i="1"/>
  <c r="V565" i="1"/>
  <c r="U565" i="1"/>
  <c r="S565" i="1"/>
  <c r="R565" i="1"/>
  <c r="Q565" i="1"/>
  <c r="P565" i="1"/>
  <c r="O565" i="1"/>
  <c r="M565" i="1"/>
  <c r="N565" i="1" s="1"/>
  <c r="L565" i="1"/>
  <c r="T565" i="1" s="1"/>
  <c r="X564" i="1"/>
  <c r="W564" i="1"/>
  <c r="V564" i="1"/>
  <c r="U564" i="1"/>
  <c r="S564" i="1"/>
  <c r="R564" i="1"/>
  <c r="Q564" i="1"/>
  <c r="P564" i="1"/>
  <c r="Y564" i="1" s="1"/>
  <c r="O564" i="1"/>
  <c r="M564" i="1"/>
  <c r="N564" i="1" s="1"/>
  <c r="L564" i="1"/>
  <c r="T564" i="1" s="1"/>
  <c r="X563" i="1"/>
  <c r="W563" i="1"/>
  <c r="V563" i="1"/>
  <c r="U563" i="1"/>
  <c r="S563" i="1"/>
  <c r="R563" i="1"/>
  <c r="Q563" i="1"/>
  <c r="P563" i="1"/>
  <c r="O563" i="1"/>
  <c r="N563" i="1"/>
  <c r="M563" i="1"/>
  <c r="L563" i="1"/>
  <c r="T563" i="1" s="1"/>
  <c r="X562" i="1"/>
  <c r="W562" i="1"/>
  <c r="V562" i="1"/>
  <c r="U562" i="1"/>
  <c r="T562" i="1"/>
  <c r="S562" i="1"/>
  <c r="R562" i="1"/>
  <c r="Q562" i="1"/>
  <c r="Y562" i="1" s="1"/>
  <c r="P562" i="1"/>
  <c r="O562" i="1"/>
  <c r="M562" i="1"/>
  <c r="N562" i="1" s="1"/>
  <c r="L562" i="1"/>
  <c r="X561" i="1"/>
  <c r="W561" i="1"/>
  <c r="V561" i="1"/>
  <c r="U561" i="1"/>
  <c r="S561" i="1"/>
  <c r="R561" i="1"/>
  <c r="Q561" i="1"/>
  <c r="P561" i="1"/>
  <c r="O561" i="1"/>
  <c r="M561" i="1"/>
  <c r="N561" i="1" s="1"/>
  <c r="Y561" i="1" s="1"/>
  <c r="L561" i="1"/>
  <c r="T561" i="1" s="1"/>
  <c r="X560" i="1"/>
  <c r="W560" i="1"/>
  <c r="V560" i="1"/>
  <c r="U560" i="1"/>
  <c r="S560" i="1"/>
  <c r="R560" i="1"/>
  <c r="Q560" i="1"/>
  <c r="P560" i="1"/>
  <c r="Y560" i="1" s="1"/>
  <c r="O560" i="1"/>
  <c r="N560" i="1"/>
  <c r="M560" i="1"/>
  <c r="L560" i="1"/>
  <c r="T560" i="1" s="1"/>
  <c r="X559" i="1"/>
  <c r="W559" i="1"/>
  <c r="V559" i="1"/>
  <c r="U559" i="1"/>
  <c r="S559" i="1"/>
  <c r="R559" i="1"/>
  <c r="Q559" i="1"/>
  <c r="P559" i="1"/>
  <c r="O559" i="1"/>
  <c r="M559" i="1"/>
  <c r="N559" i="1" s="1"/>
  <c r="L559" i="1"/>
  <c r="T559" i="1" s="1"/>
  <c r="X558" i="1"/>
  <c r="W558" i="1"/>
  <c r="V558" i="1"/>
  <c r="U558" i="1"/>
  <c r="S558" i="1"/>
  <c r="R558" i="1"/>
  <c r="Q558" i="1"/>
  <c r="P558" i="1"/>
  <c r="O558" i="1"/>
  <c r="M558" i="1"/>
  <c r="N558" i="1" s="1"/>
  <c r="Y558" i="1" s="1"/>
  <c r="L558" i="1"/>
  <c r="T558" i="1" s="1"/>
  <c r="X557" i="1"/>
  <c r="W557" i="1"/>
  <c r="V557" i="1"/>
  <c r="U557" i="1"/>
  <c r="S557" i="1"/>
  <c r="R557" i="1"/>
  <c r="Q557" i="1"/>
  <c r="P557" i="1"/>
  <c r="O557" i="1"/>
  <c r="M557" i="1"/>
  <c r="N557" i="1" s="1"/>
  <c r="L557" i="1"/>
  <c r="T557" i="1" s="1"/>
  <c r="X556" i="1"/>
  <c r="W556" i="1"/>
  <c r="V556" i="1"/>
  <c r="U556" i="1"/>
  <c r="S556" i="1"/>
  <c r="R556" i="1"/>
  <c r="Q556" i="1"/>
  <c r="P556" i="1"/>
  <c r="O556" i="1"/>
  <c r="N556" i="1"/>
  <c r="Y556" i="1" s="1"/>
  <c r="M556" i="1"/>
  <c r="L556" i="1"/>
  <c r="T556" i="1" s="1"/>
  <c r="X555" i="1"/>
  <c r="W555" i="1"/>
  <c r="V555" i="1"/>
  <c r="U555" i="1"/>
  <c r="S555" i="1"/>
  <c r="R555" i="1"/>
  <c r="Q555" i="1"/>
  <c r="P555" i="1"/>
  <c r="O555" i="1"/>
  <c r="N555" i="1"/>
  <c r="M555" i="1"/>
  <c r="L555" i="1"/>
  <c r="T555" i="1" s="1"/>
  <c r="Y554" i="1"/>
  <c r="X554" i="1"/>
  <c r="W554" i="1"/>
  <c r="V554" i="1"/>
  <c r="U554" i="1"/>
  <c r="S554" i="1"/>
  <c r="R554" i="1"/>
  <c r="Q554" i="1"/>
  <c r="P554" i="1"/>
  <c r="O554" i="1"/>
  <c r="M554" i="1"/>
  <c r="N554" i="1" s="1"/>
  <c r="L554" i="1"/>
  <c r="T554" i="1" s="1"/>
  <c r="X553" i="1"/>
  <c r="W553" i="1"/>
  <c r="V553" i="1"/>
  <c r="U553" i="1"/>
  <c r="S553" i="1"/>
  <c r="R553" i="1"/>
  <c r="Q553" i="1"/>
  <c r="P553" i="1"/>
  <c r="O553" i="1"/>
  <c r="M553" i="1"/>
  <c r="N553" i="1" s="1"/>
  <c r="L553" i="1"/>
  <c r="T553" i="1" s="1"/>
  <c r="X552" i="1"/>
  <c r="W552" i="1"/>
  <c r="V552" i="1"/>
  <c r="U552" i="1"/>
  <c r="S552" i="1"/>
  <c r="R552" i="1"/>
  <c r="Q552" i="1"/>
  <c r="P552" i="1"/>
  <c r="Y552" i="1" s="1"/>
  <c r="O552" i="1"/>
  <c r="N552" i="1"/>
  <c r="M552" i="1"/>
  <c r="L552" i="1"/>
  <c r="T552" i="1" s="1"/>
  <c r="X551" i="1"/>
  <c r="W551" i="1"/>
  <c r="V551" i="1"/>
  <c r="U551" i="1"/>
  <c r="S551" i="1"/>
  <c r="R551" i="1"/>
  <c r="Q551" i="1"/>
  <c r="P551" i="1"/>
  <c r="O551" i="1"/>
  <c r="M551" i="1"/>
  <c r="N551" i="1" s="1"/>
  <c r="L551" i="1"/>
  <c r="T551" i="1" s="1"/>
  <c r="X550" i="1"/>
  <c r="W550" i="1"/>
  <c r="V550" i="1"/>
  <c r="U550" i="1"/>
  <c r="T550" i="1"/>
  <c r="S550" i="1"/>
  <c r="R550" i="1"/>
  <c r="Q550" i="1"/>
  <c r="Y550" i="1" s="1"/>
  <c r="P550" i="1"/>
  <c r="O550" i="1"/>
  <c r="M550" i="1"/>
  <c r="N550" i="1" s="1"/>
  <c r="L550" i="1"/>
  <c r="X549" i="1"/>
  <c r="W549" i="1"/>
  <c r="V549" i="1"/>
  <c r="U549" i="1"/>
  <c r="S549" i="1"/>
  <c r="R549" i="1"/>
  <c r="Q549" i="1"/>
  <c r="P549" i="1"/>
  <c r="O549" i="1"/>
  <c r="M549" i="1"/>
  <c r="N549" i="1" s="1"/>
  <c r="L549" i="1"/>
  <c r="T549" i="1" s="1"/>
  <c r="X548" i="1"/>
  <c r="W548" i="1"/>
  <c r="V548" i="1"/>
  <c r="U548" i="1"/>
  <c r="S548" i="1"/>
  <c r="R548" i="1"/>
  <c r="Q548" i="1"/>
  <c r="P548" i="1"/>
  <c r="O548" i="1"/>
  <c r="M548" i="1"/>
  <c r="N548" i="1" s="1"/>
  <c r="Y548" i="1" s="1"/>
  <c r="L548" i="1"/>
  <c r="T548" i="1" s="1"/>
  <c r="X547" i="1"/>
  <c r="W547" i="1"/>
  <c r="V547" i="1"/>
  <c r="U547" i="1"/>
  <c r="S547" i="1"/>
  <c r="R547" i="1"/>
  <c r="Q547" i="1"/>
  <c r="P547" i="1"/>
  <c r="O547" i="1"/>
  <c r="N547" i="1"/>
  <c r="M547" i="1"/>
  <c r="L547" i="1"/>
  <c r="T547" i="1" s="1"/>
  <c r="X546" i="1"/>
  <c r="W546" i="1"/>
  <c r="V546" i="1"/>
  <c r="U546" i="1"/>
  <c r="T546" i="1"/>
  <c r="S546" i="1"/>
  <c r="R546" i="1"/>
  <c r="Q546" i="1"/>
  <c r="P546" i="1"/>
  <c r="O546" i="1"/>
  <c r="M546" i="1"/>
  <c r="N546" i="1" s="1"/>
  <c r="Y546" i="1" s="1"/>
  <c r="L546" i="1"/>
  <c r="X545" i="1"/>
  <c r="W545" i="1"/>
  <c r="V545" i="1"/>
  <c r="U545" i="1"/>
  <c r="S545" i="1"/>
  <c r="R545" i="1"/>
  <c r="Q545" i="1"/>
  <c r="P545" i="1"/>
  <c r="Y545" i="1" s="1"/>
  <c r="O545" i="1"/>
  <c r="M545" i="1"/>
  <c r="N545" i="1" s="1"/>
  <c r="L545" i="1"/>
  <c r="T545" i="1" s="1"/>
  <c r="X544" i="1"/>
  <c r="W544" i="1"/>
  <c r="V544" i="1"/>
  <c r="U544" i="1"/>
  <c r="S544" i="1"/>
  <c r="R544" i="1"/>
  <c r="Q544" i="1"/>
  <c r="P544" i="1"/>
  <c r="Y544" i="1" s="1"/>
  <c r="O544" i="1"/>
  <c r="N544" i="1"/>
  <c r="M544" i="1"/>
  <c r="L544" i="1"/>
  <c r="T544" i="1" s="1"/>
  <c r="X543" i="1"/>
  <c r="W543" i="1"/>
  <c r="V543" i="1"/>
  <c r="U543" i="1"/>
  <c r="S543" i="1"/>
  <c r="R543" i="1"/>
  <c r="Q543" i="1"/>
  <c r="P543" i="1"/>
  <c r="O543" i="1"/>
  <c r="M543" i="1"/>
  <c r="N543" i="1" s="1"/>
  <c r="L543" i="1"/>
  <c r="T543" i="1" s="1"/>
  <c r="X542" i="1"/>
  <c r="W542" i="1"/>
  <c r="V542" i="1"/>
  <c r="U542" i="1"/>
  <c r="S542" i="1"/>
  <c r="R542" i="1"/>
  <c r="Q542" i="1"/>
  <c r="Y542" i="1" s="1"/>
  <c r="P542" i="1"/>
  <c r="O542" i="1"/>
  <c r="M542" i="1"/>
  <c r="N542" i="1" s="1"/>
  <c r="L542" i="1"/>
  <c r="T542" i="1" s="1"/>
  <c r="X541" i="1"/>
  <c r="W541" i="1"/>
  <c r="V541" i="1"/>
  <c r="U541" i="1"/>
  <c r="S541" i="1"/>
  <c r="R541" i="1"/>
  <c r="Q541" i="1"/>
  <c r="P541" i="1"/>
  <c r="O541" i="1"/>
  <c r="M541" i="1"/>
  <c r="N541" i="1" s="1"/>
  <c r="Y541" i="1" s="1"/>
  <c r="L541" i="1"/>
  <c r="T541" i="1" s="1"/>
  <c r="X540" i="1"/>
  <c r="W540" i="1"/>
  <c r="V540" i="1"/>
  <c r="U540" i="1"/>
  <c r="S540" i="1"/>
  <c r="R540" i="1"/>
  <c r="Q540" i="1"/>
  <c r="P540" i="1"/>
  <c r="O540" i="1"/>
  <c r="Y540" i="1" s="1"/>
  <c r="N540" i="1"/>
  <c r="M540" i="1"/>
  <c r="L540" i="1"/>
  <c r="T540" i="1" s="1"/>
  <c r="X539" i="1"/>
  <c r="W539" i="1"/>
  <c r="V539" i="1"/>
  <c r="U539" i="1"/>
  <c r="S539" i="1"/>
  <c r="R539" i="1"/>
  <c r="Q539" i="1"/>
  <c r="P539" i="1"/>
  <c r="O539" i="1"/>
  <c r="N539" i="1"/>
  <c r="M539" i="1"/>
  <c r="L539" i="1"/>
  <c r="T539" i="1" s="1"/>
  <c r="X538" i="1"/>
  <c r="W538" i="1"/>
  <c r="V538" i="1"/>
  <c r="U538" i="1"/>
  <c r="T538" i="1"/>
  <c r="S538" i="1"/>
  <c r="R538" i="1"/>
  <c r="Q538" i="1"/>
  <c r="P538" i="1"/>
  <c r="O538" i="1"/>
  <c r="M538" i="1"/>
  <c r="N538" i="1" s="1"/>
  <c r="L538" i="1"/>
  <c r="X537" i="1"/>
  <c r="W537" i="1"/>
  <c r="V537" i="1"/>
  <c r="U537" i="1"/>
  <c r="S537" i="1"/>
  <c r="R537" i="1"/>
  <c r="Q537" i="1"/>
  <c r="P537" i="1"/>
  <c r="O537" i="1"/>
  <c r="M537" i="1"/>
  <c r="N537" i="1" s="1"/>
  <c r="Y537" i="1" s="1"/>
  <c r="L537" i="1"/>
  <c r="T537" i="1" s="1"/>
  <c r="X536" i="1"/>
  <c r="W536" i="1"/>
  <c r="V536" i="1"/>
  <c r="U536" i="1"/>
  <c r="S536" i="1"/>
  <c r="R536" i="1"/>
  <c r="Q536" i="1"/>
  <c r="P536" i="1"/>
  <c r="O536" i="1"/>
  <c r="N536" i="1"/>
  <c r="Y536" i="1" s="1"/>
  <c r="M536" i="1"/>
  <c r="L536" i="1"/>
  <c r="T536" i="1" s="1"/>
  <c r="X535" i="1"/>
  <c r="W535" i="1"/>
  <c r="V535" i="1"/>
  <c r="U535" i="1"/>
  <c r="S535" i="1"/>
  <c r="R535" i="1"/>
  <c r="Q535" i="1"/>
  <c r="P535" i="1"/>
  <c r="O535" i="1"/>
  <c r="N535" i="1"/>
  <c r="M535" i="1"/>
  <c r="L535" i="1"/>
  <c r="T535" i="1" s="1"/>
  <c r="X534" i="1"/>
  <c r="W534" i="1"/>
  <c r="V534" i="1"/>
  <c r="U534" i="1"/>
  <c r="S534" i="1"/>
  <c r="R534" i="1"/>
  <c r="Q534" i="1"/>
  <c r="Y534" i="1" s="1"/>
  <c r="P534" i="1"/>
  <c r="O534" i="1"/>
  <c r="M534" i="1"/>
  <c r="N534" i="1" s="1"/>
  <c r="L534" i="1"/>
  <c r="T534" i="1" s="1"/>
  <c r="X533" i="1"/>
  <c r="W533" i="1"/>
  <c r="V533" i="1"/>
  <c r="U533" i="1"/>
  <c r="S533" i="1"/>
  <c r="R533" i="1"/>
  <c r="Q533" i="1"/>
  <c r="P533" i="1"/>
  <c r="O533" i="1"/>
  <c r="M533" i="1"/>
  <c r="N533" i="1" s="1"/>
  <c r="L533" i="1"/>
  <c r="T533" i="1" s="1"/>
  <c r="X532" i="1"/>
  <c r="W532" i="1"/>
  <c r="V532" i="1"/>
  <c r="U532" i="1"/>
  <c r="S532" i="1"/>
  <c r="R532" i="1"/>
  <c r="Q532" i="1"/>
  <c r="P532" i="1"/>
  <c r="Y532" i="1" s="1"/>
  <c r="O532" i="1"/>
  <c r="M532" i="1"/>
  <c r="N532" i="1" s="1"/>
  <c r="L532" i="1"/>
  <c r="T532" i="1" s="1"/>
  <c r="X531" i="1"/>
  <c r="W531" i="1"/>
  <c r="V531" i="1"/>
  <c r="U531" i="1"/>
  <c r="S531" i="1"/>
  <c r="R531" i="1"/>
  <c r="Q531" i="1"/>
  <c r="P531" i="1"/>
  <c r="O531" i="1"/>
  <c r="M531" i="1"/>
  <c r="N531" i="1" s="1"/>
  <c r="L531" i="1"/>
  <c r="T531" i="1" s="1"/>
  <c r="X530" i="1"/>
  <c r="W530" i="1"/>
  <c r="V530" i="1"/>
  <c r="U530" i="1"/>
  <c r="T530" i="1"/>
  <c r="S530" i="1"/>
  <c r="R530" i="1"/>
  <c r="Q530" i="1"/>
  <c r="Y530" i="1" s="1"/>
  <c r="P530" i="1"/>
  <c r="O530" i="1"/>
  <c r="M530" i="1"/>
  <c r="N530" i="1" s="1"/>
  <c r="L530" i="1"/>
  <c r="X529" i="1"/>
  <c r="W529" i="1"/>
  <c r="V529" i="1"/>
  <c r="U529" i="1"/>
  <c r="S529" i="1"/>
  <c r="R529" i="1"/>
  <c r="Q529" i="1"/>
  <c r="P529" i="1"/>
  <c r="O529" i="1"/>
  <c r="M529" i="1"/>
  <c r="N529" i="1" s="1"/>
  <c r="Y529" i="1" s="1"/>
  <c r="L529" i="1"/>
  <c r="T529" i="1" s="1"/>
  <c r="X528" i="1"/>
  <c r="W528" i="1"/>
  <c r="V528" i="1"/>
  <c r="U528" i="1"/>
  <c r="S528" i="1"/>
  <c r="R528" i="1"/>
  <c r="Q528" i="1"/>
  <c r="P528" i="1"/>
  <c r="Y528" i="1" s="1"/>
  <c r="O528" i="1"/>
  <c r="N528" i="1"/>
  <c r="M528" i="1"/>
  <c r="L528" i="1"/>
  <c r="T528" i="1" s="1"/>
  <c r="X527" i="1"/>
  <c r="W527" i="1"/>
  <c r="V527" i="1"/>
  <c r="U527" i="1"/>
  <c r="S527" i="1"/>
  <c r="R527" i="1"/>
  <c r="Q527" i="1"/>
  <c r="P527" i="1"/>
  <c r="O527" i="1"/>
  <c r="M527" i="1"/>
  <c r="N527" i="1" s="1"/>
  <c r="L527" i="1"/>
  <c r="T527" i="1" s="1"/>
  <c r="X526" i="1"/>
  <c r="W526" i="1"/>
  <c r="V526" i="1"/>
  <c r="U526" i="1"/>
  <c r="S526" i="1"/>
  <c r="R526" i="1"/>
  <c r="Q526" i="1"/>
  <c r="P526" i="1"/>
  <c r="O526" i="1"/>
  <c r="M526" i="1"/>
  <c r="N526" i="1" s="1"/>
  <c r="Y526" i="1" s="1"/>
  <c r="L526" i="1"/>
  <c r="T526" i="1" s="1"/>
  <c r="X525" i="1"/>
  <c r="W525" i="1"/>
  <c r="V525" i="1"/>
  <c r="U525" i="1"/>
  <c r="S525" i="1"/>
  <c r="R525" i="1"/>
  <c r="Q525" i="1"/>
  <c r="P525" i="1"/>
  <c r="O525" i="1"/>
  <c r="M525" i="1"/>
  <c r="N525" i="1" s="1"/>
  <c r="L525" i="1"/>
  <c r="T525" i="1" s="1"/>
  <c r="X524" i="1"/>
  <c r="W524" i="1"/>
  <c r="V524" i="1"/>
  <c r="U524" i="1"/>
  <c r="S524" i="1"/>
  <c r="R524" i="1"/>
  <c r="Q524" i="1"/>
  <c r="P524" i="1"/>
  <c r="O524" i="1"/>
  <c r="N524" i="1"/>
  <c r="Y524" i="1" s="1"/>
  <c r="M524" i="1"/>
  <c r="L524" i="1"/>
  <c r="T524" i="1" s="1"/>
  <c r="X523" i="1"/>
  <c r="W523" i="1"/>
  <c r="V523" i="1"/>
  <c r="U523" i="1"/>
  <c r="S523" i="1"/>
  <c r="R523" i="1"/>
  <c r="Q523" i="1"/>
  <c r="P523" i="1"/>
  <c r="O523" i="1"/>
  <c r="N523" i="1"/>
  <c r="M523" i="1"/>
  <c r="L523" i="1"/>
  <c r="T523" i="1" s="1"/>
  <c r="Y522" i="1"/>
  <c r="X522" i="1"/>
  <c r="W522" i="1"/>
  <c r="V522" i="1"/>
  <c r="U522" i="1"/>
  <c r="S522" i="1"/>
  <c r="R522" i="1"/>
  <c r="Q522" i="1"/>
  <c r="P522" i="1"/>
  <c r="O522" i="1"/>
  <c r="M522" i="1"/>
  <c r="N522" i="1" s="1"/>
  <c r="L522" i="1"/>
  <c r="T522" i="1" s="1"/>
  <c r="X521" i="1"/>
  <c r="W521" i="1"/>
  <c r="V521" i="1"/>
  <c r="U521" i="1"/>
  <c r="S521" i="1"/>
  <c r="R521" i="1"/>
  <c r="Q521" i="1"/>
  <c r="P521" i="1"/>
  <c r="O521" i="1"/>
  <c r="M521" i="1"/>
  <c r="N521" i="1" s="1"/>
  <c r="L521" i="1"/>
  <c r="T521" i="1" s="1"/>
  <c r="X520" i="1"/>
  <c r="W520" i="1"/>
  <c r="V520" i="1"/>
  <c r="U520" i="1"/>
  <c r="S520" i="1"/>
  <c r="R520" i="1"/>
  <c r="Q520" i="1"/>
  <c r="P520" i="1"/>
  <c r="Y520" i="1" s="1"/>
  <c r="O520" i="1"/>
  <c r="N520" i="1"/>
  <c r="M520" i="1"/>
  <c r="L520" i="1"/>
  <c r="T520" i="1" s="1"/>
  <c r="X519" i="1"/>
  <c r="W519" i="1"/>
  <c r="V519" i="1"/>
  <c r="U519" i="1"/>
  <c r="S519" i="1"/>
  <c r="R519" i="1"/>
  <c r="Q519" i="1"/>
  <c r="P519" i="1"/>
  <c r="O519" i="1"/>
  <c r="M519" i="1"/>
  <c r="N519" i="1" s="1"/>
  <c r="Y519" i="1" s="1"/>
  <c r="L519" i="1"/>
  <c r="T519" i="1" s="1"/>
  <c r="X518" i="1"/>
  <c r="W518" i="1"/>
  <c r="V518" i="1"/>
  <c r="U518" i="1"/>
  <c r="T518" i="1"/>
  <c r="S518" i="1"/>
  <c r="R518" i="1"/>
  <c r="Q518" i="1"/>
  <c r="Y518" i="1" s="1"/>
  <c r="P518" i="1"/>
  <c r="O518" i="1"/>
  <c r="M518" i="1"/>
  <c r="N518" i="1" s="1"/>
  <c r="L518" i="1"/>
  <c r="X517" i="1"/>
  <c r="W517" i="1"/>
  <c r="V517" i="1"/>
  <c r="U517" i="1"/>
  <c r="S517" i="1"/>
  <c r="R517" i="1"/>
  <c r="Q517" i="1"/>
  <c r="P517" i="1"/>
  <c r="O517" i="1"/>
  <c r="Y517" i="1" s="1"/>
  <c r="M517" i="1"/>
  <c r="N517" i="1" s="1"/>
  <c r="L517" i="1"/>
  <c r="T517" i="1" s="1"/>
  <c r="X516" i="1"/>
  <c r="W516" i="1"/>
  <c r="V516" i="1"/>
  <c r="U516" i="1"/>
  <c r="S516" i="1"/>
  <c r="R516" i="1"/>
  <c r="Q516" i="1"/>
  <c r="P516" i="1"/>
  <c r="O516" i="1"/>
  <c r="M516" i="1"/>
  <c r="N516" i="1" s="1"/>
  <c r="Y516" i="1" s="1"/>
  <c r="L516" i="1"/>
  <c r="T516" i="1" s="1"/>
  <c r="X515" i="1"/>
  <c r="W515" i="1"/>
  <c r="V515" i="1"/>
  <c r="U515" i="1"/>
  <c r="S515" i="1"/>
  <c r="R515" i="1"/>
  <c r="Q515" i="1"/>
  <c r="P515" i="1"/>
  <c r="O515" i="1"/>
  <c r="N515" i="1"/>
  <c r="M515" i="1"/>
  <c r="L515" i="1"/>
  <c r="T515" i="1" s="1"/>
  <c r="X514" i="1"/>
  <c r="W514" i="1"/>
  <c r="V514" i="1"/>
  <c r="U514" i="1"/>
  <c r="T514" i="1"/>
  <c r="S514" i="1"/>
  <c r="R514" i="1"/>
  <c r="Q514" i="1"/>
  <c r="P514" i="1"/>
  <c r="O514" i="1"/>
  <c r="M514" i="1"/>
  <c r="N514" i="1" s="1"/>
  <c r="Y514" i="1" s="1"/>
  <c r="L514" i="1"/>
  <c r="X513" i="1"/>
  <c r="W513" i="1"/>
  <c r="V513" i="1"/>
  <c r="U513" i="1"/>
  <c r="S513" i="1"/>
  <c r="R513" i="1"/>
  <c r="Q513" i="1"/>
  <c r="P513" i="1"/>
  <c r="Y513" i="1" s="1"/>
  <c r="O513" i="1"/>
  <c r="M513" i="1"/>
  <c r="N513" i="1" s="1"/>
  <c r="L513" i="1"/>
  <c r="T513" i="1" s="1"/>
  <c r="X512" i="1"/>
  <c r="W512" i="1"/>
  <c r="V512" i="1"/>
  <c r="U512" i="1"/>
  <c r="S512" i="1"/>
  <c r="R512" i="1"/>
  <c r="Q512" i="1"/>
  <c r="P512" i="1"/>
  <c r="Y512" i="1" s="1"/>
  <c r="O512" i="1"/>
  <c r="N512" i="1"/>
  <c r="M512" i="1"/>
  <c r="L512" i="1"/>
  <c r="T512" i="1" s="1"/>
  <c r="X511" i="1"/>
  <c r="W511" i="1"/>
  <c r="V511" i="1"/>
  <c r="U511" i="1"/>
  <c r="S511" i="1"/>
  <c r="R511" i="1"/>
  <c r="Q511" i="1"/>
  <c r="P511" i="1"/>
  <c r="O511" i="1"/>
  <c r="M511" i="1"/>
  <c r="N511" i="1" s="1"/>
  <c r="L511" i="1"/>
  <c r="T511" i="1" s="1"/>
  <c r="X510" i="1"/>
  <c r="W510" i="1"/>
  <c r="V510" i="1"/>
  <c r="U510" i="1"/>
  <c r="S510" i="1"/>
  <c r="R510" i="1"/>
  <c r="Q510" i="1"/>
  <c r="Y510" i="1" s="1"/>
  <c r="P510" i="1"/>
  <c r="O510" i="1"/>
  <c r="M510" i="1"/>
  <c r="N510" i="1" s="1"/>
  <c r="L510" i="1"/>
  <c r="T510" i="1" s="1"/>
  <c r="X509" i="1"/>
  <c r="W509" i="1"/>
  <c r="V509" i="1"/>
  <c r="U509" i="1"/>
  <c r="S509" i="1"/>
  <c r="R509" i="1"/>
  <c r="Q509" i="1"/>
  <c r="P509" i="1"/>
  <c r="O509" i="1"/>
  <c r="M509" i="1"/>
  <c r="N509" i="1" s="1"/>
  <c r="L509" i="1"/>
  <c r="T509" i="1" s="1"/>
  <c r="X508" i="1"/>
  <c r="W508" i="1"/>
  <c r="V508" i="1"/>
  <c r="U508" i="1"/>
  <c r="S508" i="1"/>
  <c r="R508" i="1"/>
  <c r="Q508" i="1"/>
  <c r="P508" i="1"/>
  <c r="O508" i="1"/>
  <c r="Y508" i="1" s="1"/>
  <c r="N508" i="1"/>
  <c r="M508" i="1"/>
  <c r="L508" i="1"/>
  <c r="T508" i="1" s="1"/>
  <c r="X507" i="1"/>
  <c r="W507" i="1"/>
  <c r="V507" i="1"/>
  <c r="U507" i="1"/>
  <c r="S507" i="1"/>
  <c r="R507" i="1"/>
  <c r="Q507" i="1"/>
  <c r="P507" i="1"/>
  <c r="O507" i="1"/>
  <c r="N507" i="1"/>
  <c r="M507" i="1"/>
  <c r="L507" i="1"/>
  <c r="T507" i="1" s="1"/>
  <c r="X506" i="1"/>
  <c r="W506" i="1"/>
  <c r="V506" i="1"/>
  <c r="U506" i="1"/>
  <c r="T506" i="1"/>
  <c r="S506" i="1"/>
  <c r="R506" i="1"/>
  <c r="Q506" i="1"/>
  <c r="P506" i="1"/>
  <c r="O506" i="1"/>
  <c r="M506" i="1"/>
  <c r="N506" i="1" s="1"/>
  <c r="L506" i="1"/>
  <c r="X505" i="1"/>
  <c r="W505" i="1"/>
  <c r="V505" i="1"/>
  <c r="U505" i="1"/>
  <c r="S505" i="1"/>
  <c r="R505" i="1"/>
  <c r="Q505" i="1"/>
  <c r="P505" i="1"/>
  <c r="O505" i="1"/>
  <c r="M505" i="1"/>
  <c r="N505" i="1" s="1"/>
  <c r="Y505" i="1" s="1"/>
  <c r="L505" i="1"/>
  <c r="T505" i="1" s="1"/>
  <c r="X504" i="1"/>
  <c r="W504" i="1"/>
  <c r="V504" i="1"/>
  <c r="U504" i="1"/>
  <c r="S504" i="1"/>
  <c r="R504" i="1"/>
  <c r="Q504" i="1"/>
  <c r="P504" i="1"/>
  <c r="O504" i="1"/>
  <c r="N504" i="1"/>
  <c r="Y504" i="1" s="1"/>
  <c r="M504" i="1"/>
  <c r="L504" i="1"/>
  <c r="T504" i="1" s="1"/>
  <c r="X503" i="1"/>
  <c r="W503" i="1"/>
  <c r="V503" i="1"/>
  <c r="U503" i="1"/>
  <c r="S503" i="1"/>
  <c r="R503" i="1"/>
  <c r="Q503" i="1"/>
  <c r="P503" i="1"/>
  <c r="O503" i="1"/>
  <c r="N503" i="1"/>
  <c r="M503" i="1"/>
  <c r="L503" i="1"/>
  <c r="T503" i="1" s="1"/>
  <c r="X502" i="1"/>
  <c r="W502" i="1"/>
  <c r="V502" i="1"/>
  <c r="U502" i="1"/>
  <c r="S502" i="1"/>
  <c r="R502" i="1"/>
  <c r="Q502" i="1"/>
  <c r="Y502" i="1" s="1"/>
  <c r="P502" i="1"/>
  <c r="O502" i="1"/>
  <c r="M502" i="1"/>
  <c r="N502" i="1" s="1"/>
  <c r="L502" i="1"/>
  <c r="T502" i="1" s="1"/>
  <c r="X501" i="1"/>
  <c r="W501" i="1"/>
  <c r="V501" i="1"/>
  <c r="U501" i="1"/>
  <c r="S501" i="1"/>
  <c r="R501" i="1"/>
  <c r="Q501" i="1"/>
  <c r="P501" i="1"/>
  <c r="O501" i="1"/>
  <c r="M501" i="1"/>
  <c r="N501" i="1" s="1"/>
  <c r="L501" i="1"/>
  <c r="T501" i="1" s="1"/>
  <c r="X500" i="1"/>
  <c r="W500" i="1"/>
  <c r="V500" i="1"/>
  <c r="U500" i="1"/>
  <c r="S500" i="1"/>
  <c r="R500" i="1"/>
  <c r="Q500" i="1"/>
  <c r="P500" i="1"/>
  <c r="Y500" i="1" s="1"/>
  <c r="O500" i="1"/>
  <c r="N500" i="1"/>
  <c r="M500" i="1"/>
  <c r="L500" i="1"/>
  <c r="T500" i="1" s="1"/>
  <c r="X499" i="1"/>
  <c r="W499" i="1"/>
  <c r="V499" i="1"/>
  <c r="U499" i="1"/>
  <c r="S499" i="1"/>
  <c r="R499" i="1"/>
  <c r="Q499" i="1"/>
  <c r="P499" i="1"/>
  <c r="O499" i="1"/>
  <c r="M499" i="1"/>
  <c r="N499" i="1" s="1"/>
  <c r="Y499" i="1" s="1"/>
  <c r="L499" i="1"/>
  <c r="T499" i="1" s="1"/>
  <c r="X498" i="1"/>
  <c r="W498" i="1"/>
  <c r="V498" i="1"/>
  <c r="U498" i="1"/>
  <c r="T498" i="1"/>
  <c r="S498" i="1"/>
  <c r="R498" i="1"/>
  <c r="Q498" i="1"/>
  <c r="P498" i="1"/>
  <c r="O498" i="1"/>
  <c r="M498" i="1"/>
  <c r="N498" i="1" s="1"/>
  <c r="L498" i="1"/>
  <c r="X497" i="1"/>
  <c r="W497" i="1"/>
  <c r="V497" i="1"/>
  <c r="U497" i="1"/>
  <c r="S497" i="1"/>
  <c r="R497" i="1"/>
  <c r="Q497" i="1"/>
  <c r="P497" i="1"/>
  <c r="O497" i="1"/>
  <c r="Y497" i="1" s="1"/>
  <c r="M497" i="1"/>
  <c r="N497" i="1" s="1"/>
  <c r="L497" i="1"/>
  <c r="T497" i="1" s="1"/>
  <c r="X496" i="1"/>
  <c r="W496" i="1"/>
  <c r="V496" i="1"/>
  <c r="U496" i="1"/>
  <c r="S496" i="1"/>
  <c r="R496" i="1"/>
  <c r="Q496" i="1"/>
  <c r="P496" i="1"/>
  <c r="Y496" i="1" s="1"/>
  <c r="O496" i="1"/>
  <c r="N496" i="1"/>
  <c r="M496" i="1"/>
  <c r="L496" i="1"/>
  <c r="T496" i="1" s="1"/>
  <c r="X495" i="1"/>
  <c r="W495" i="1"/>
  <c r="V495" i="1"/>
  <c r="U495" i="1"/>
  <c r="S495" i="1"/>
  <c r="R495" i="1"/>
  <c r="Q495" i="1"/>
  <c r="P495" i="1"/>
  <c r="O495" i="1"/>
  <c r="M495" i="1"/>
  <c r="N495" i="1" s="1"/>
  <c r="L495" i="1"/>
  <c r="T495" i="1" s="1"/>
  <c r="X494" i="1"/>
  <c r="W494" i="1"/>
  <c r="V494" i="1"/>
  <c r="U494" i="1"/>
  <c r="T494" i="1"/>
  <c r="S494" i="1"/>
  <c r="R494" i="1"/>
  <c r="Q494" i="1"/>
  <c r="P494" i="1"/>
  <c r="O494" i="1"/>
  <c r="M494" i="1"/>
  <c r="N494" i="1" s="1"/>
  <c r="L494" i="1"/>
  <c r="X493" i="1"/>
  <c r="W493" i="1"/>
  <c r="V493" i="1"/>
  <c r="U493" i="1"/>
  <c r="S493" i="1"/>
  <c r="R493" i="1"/>
  <c r="Q493" i="1"/>
  <c r="P493" i="1"/>
  <c r="Y493" i="1" s="1"/>
  <c r="O493" i="1"/>
  <c r="M493" i="1"/>
  <c r="N493" i="1" s="1"/>
  <c r="L493" i="1"/>
  <c r="T493" i="1" s="1"/>
  <c r="X492" i="1"/>
  <c r="W492" i="1"/>
  <c r="V492" i="1"/>
  <c r="U492" i="1"/>
  <c r="S492" i="1"/>
  <c r="R492" i="1"/>
  <c r="Q492" i="1"/>
  <c r="P492" i="1"/>
  <c r="O492" i="1"/>
  <c r="M492" i="1"/>
  <c r="N492" i="1" s="1"/>
  <c r="Y492" i="1" s="1"/>
  <c r="L492" i="1"/>
  <c r="T492" i="1" s="1"/>
  <c r="X491" i="1"/>
  <c r="W491" i="1"/>
  <c r="V491" i="1"/>
  <c r="U491" i="1"/>
  <c r="S491" i="1"/>
  <c r="R491" i="1"/>
  <c r="Q491" i="1"/>
  <c r="P491" i="1"/>
  <c r="O491" i="1"/>
  <c r="N491" i="1"/>
  <c r="M491" i="1"/>
  <c r="L491" i="1"/>
  <c r="T491" i="1" s="1"/>
  <c r="X490" i="1"/>
  <c r="W490" i="1"/>
  <c r="V490" i="1"/>
  <c r="U490" i="1"/>
  <c r="S490" i="1"/>
  <c r="R490" i="1"/>
  <c r="Q490" i="1"/>
  <c r="P490" i="1"/>
  <c r="O490" i="1"/>
  <c r="M490" i="1"/>
  <c r="N490" i="1" s="1"/>
  <c r="Y490" i="1" s="1"/>
  <c r="L490" i="1"/>
  <c r="T490" i="1" s="1"/>
  <c r="X489" i="1"/>
  <c r="W489" i="1"/>
  <c r="V489" i="1"/>
  <c r="U489" i="1"/>
  <c r="S489" i="1"/>
  <c r="R489" i="1"/>
  <c r="Q489" i="1"/>
  <c r="P489" i="1"/>
  <c r="O489" i="1"/>
  <c r="M489" i="1"/>
  <c r="N489" i="1" s="1"/>
  <c r="Y489" i="1" s="1"/>
  <c r="L489" i="1"/>
  <c r="T489" i="1" s="1"/>
  <c r="X488" i="1"/>
  <c r="W488" i="1"/>
  <c r="V488" i="1"/>
  <c r="U488" i="1"/>
  <c r="S488" i="1"/>
  <c r="R488" i="1"/>
  <c r="Q488" i="1"/>
  <c r="P488" i="1"/>
  <c r="O488" i="1"/>
  <c r="N488" i="1"/>
  <c r="Y488" i="1" s="1"/>
  <c r="M488" i="1"/>
  <c r="L488" i="1"/>
  <c r="T488" i="1" s="1"/>
  <c r="X487" i="1"/>
  <c r="W487" i="1"/>
  <c r="V487" i="1"/>
  <c r="U487" i="1"/>
  <c r="S487" i="1"/>
  <c r="R487" i="1"/>
  <c r="Q487" i="1"/>
  <c r="P487" i="1"/>
  <c r="O487" i="1"/>
  <c r="N487" i="1"/>
  <c r="M487" i="1"/>
  <c r="L487" i="1"/>
  <c r="T487" i="1" s="1"/>
  <c r="X486" i="1"/>
  <c r="W486" i="1"/>
  <c r="V486" i="1"/>
  <c r="U486" i="1"/>
  <c r="S486" i="1"/>
  <c r="R486" i="1"/>
  <c r="Q486" i="1"/>
  <c r="P486" i="1"/>
  <c r="O486" i="1"/>
  <c r="M486" i="1"/>
  <c r="N486" i="1" s="1"/>
  <c r="L486" i="1"/>
  <c r="T486" i="1" s="1"/>
  <c r="X485" i="1"/>
  <c r="W485" i="1"/>
  <c r="V485" i="1"/>
  <c r="U485" i="1"/>
  <c r="S485" i="1"/>
  <c r="R485" i="1"/>
  <c r="Q485" i="1"/>
  <c r="P485" i="1"/>
  <c r="Y485" i="1" s="1"/>
  <c r="O485" i="1"/>
  <c r="M485" i="1"/>
  <c r="N485" i="1" s="1"/>
  <c r="L485" i="1"/>
  <c r="T485" i="1" s="1"/>
  <c r="X484" i="1"/>
  <c r="W484" i="1"/>
  <c r="V484" i="1"/>
  <c r="U484" i="1"/>
  <c r="S484" i="1"/>
  <c r="R484" i="1"/>
  <c r="Q484" i="1"/>
  <c r="P484" i="1"/>
  <c r="O484" i="1"/>
  <c r="M484" i="1"/>
  <c r="N484" i="1" s="1"/>
  <c r="Y484" i="1" s="1"/>
  <c r="L484" i="1"/>
  <c r="T484" i="1" s="1"/>
  <c r="X483" i="1"/>
  <c r="W483" i="1"/>
  <c r="V483" i="1"/>
  <c r="U483" i="1"/>
  <c r="S483" i="1"/>
  <c r="R483" i="1"/>
  <c r="Q483" i="1"/>
  <c r="P483" i="1"/>
  <c r="O483" i="1"/>
  <c r="N483" i="1"/>
  <c r="M483" i="1"/>
  <c r="L483" i="1"/>
  <c r="T483" i="1" s="1"/>
  <c r="X482" i="1"/>
  <c r="W482" i="1"/>
  <c r="V482" i="1"/>
  <c r="U482" i="1"/>
  <c r="T482" i="1"/>
  <c r="S482" i="1"/>
  <c r="R482" i="1"/>
  <c r="Q482" i="1"/>
  <c r="P482" i="1"/>
  <c r="O482" i="1"/>
  <c r="M482" i="1"/>
  <c r="N482" i="1" s="1"/>
  <c r="Y482" i="1" s="1"/>
  <c r="L482" i="1"/>
  <c r="X481" i="1"/>
  <c r="W481" i="1"/>
  <c r="V481" i="1"/>
  <c r="U481" i="1"/>
  <c r="S481" i="1"/>
  <c r="R481" i="1"/>
  <c r="Q481" i="1"/>
  <c r="P481" i="1"/>
  <c r="Y481" i="1" s="1"/>
  <c r="O481" i="1"/>
  <c r="M481" i="1"/>
  <c r="N481" i="1" s="1"/>
  <c r="L481" i="1"/>
  <c r="T481" i="1" s="1"/>
  <c r="X480" i="1"/>
  <c r="W480" i="1"/>
  <c r="V480" i="1"/>
  <c r="U480" i="1"/>
  <c r="S480" i="1"/>
  <c r="R480" i="1"/>
  <c r="Q480" i="1"/>
  <c r="P480" i="1"/>
  <c r="O480" i="1"/>
  <c r="N480" i="1"/>
  <c r="Y480" i="1" s="1"/>
  <c r="M480" i="1"/>
  <c r="L480" i="1"/>
  <c r="T480" i="1" s="1"/>
  <c r="X479" i="1"/>
  <c r="W479" i="1"/>
  <c r="V479" i="1"/>
  <c r="U479" i="1"/>
  <c r="T479" i="1"/>
  <c r="S479" i="1"/>
  <c r="R479" i="1"/>
  <c r="Q479" i="1"/>
  <c r="P479" i="1"/>
  <c r="O479" i="1"/>
  <c r="M479" i="1"/>
  <c r="N479" i="1" s="1"/>
  <c r="L479" i="1"/>
  <c r="X478" i="1"/>
  <c r="W478" i="1"/>
  <c r="V478" i="1"/>
  <c r="U478" i="1"/>
  <c r="S478" i="1"/>
  <c r="R478" i="1"/>
  <c r="Q478" i="1"/>
  <c r="P478" i="1"/>
  <c r="O478" i="1"/>
  <c r="M478" i="1"/>
  <c r="N478" i="1" s="1"/>
  <c r="L478" i="1"/>
  <c r="T478" i="1" s="1"/>
  <c r="Y478" i="1" s="1"/>
  <c r="X477" i="1"/>
  <c r="W477" i="1"/>
  <c r="V477" i="1"/>
  <c r="U477" i="1"/>
  <c r="S477" i="1"/>
  <c r="R477" i="1"/>
  <c r="Q477" i="1"/>
  <c r="P477" i="1"/>
  <c r="O477" i="1"/>
  <c r="M477" i="1"/>
  <c r="N477" i="1" s="1"/>
  <c r="L477" i="1"/>
  <c r="T477" i="1" s="1"/>
  <c r="X476" i="1"/>
  <c r="W476" i="1"/>
  <c r="V476" i="1"/>
  <c r="U476" i="1"/>
  <c r="S476" i="1"/>
  <c r="R476" i="1"/>
  <c r="Q476" i="1"/>
  <c r="P476" i="1"/>
  <c r="O476" i="1"/>
  <c r="Y476" i="1" s="1"/>
  <c r="N476" i="1"/>
  <c r="M476" i="1"/>
  <c r="L476" i="1"/>
  <c r="T476" i="1" s="1"/>
  <c r="X475" i="1"/>
  <c r="W475" i="1"/>
  <c r="V475" i="1"/>
  <c r="U475" i="1"/>
  <c r="S475" i="1"/>
  <c r="R475" i="1"/>
  <c r="Q475" i="1"/>
  <c r="P475" i="1"/>
  <c r="O475" i="1"/>
  <c r="M475" i="1"/>
  <c r="N475" i="1" s="1"/>
  <c r="L475" i="1"/>
  <c r="T475" i="1" s="1"/>
  <c r="X474" i="1"/>
  <c r="W474" i="1"/>
  <c r="V474" i="1"/>
  <c r="U474" i="1"/>
  <c r="S474" i="1"/>
  <c r="R474" i="1"/>
  <c r="Q474" i="1"/>
  <c r="P474" i="1"/>
  <c r="O474" i="1"/>
  <c r="M474" i="1"/>
  <c r="N474" i="1" s="1"/>
  <c r="L474" i="1"/>
  <c r="T474" i="1" s="1"/>
  <c r="X473" i="1"/>
  <c r="W473" i="1"/>
  <c r="V473" i="1"/>
  <c r="U473" i="1"/>
  <c r="S473" i="1"/>
  <c r="R473" i="1"/>
  <c r="Q473" i="1"/>
  <c r="P473" i="1"/>
  <c r="O473" i="1"/>
  <c r="M473" i="1"/>
  <c r="N473" i="1" s="1"/>
  <c r="Y473" i="1" s="1"/>
  <c r="L473" i="1"/>
  <c r="T473" i="1" s="1"/>
  <c r="X472" i="1"/>
  <c r="W472" i="1"/>
  <c r="V472" i="1"/>
  <c r="U472" i="1"/>
  <c r="S472" i="1"/>
  <c r="R472" i="1"/>
  <c r="Q472" i="1"/>
  <c r="P472" i="1"/>
  <c r="O472" i="1"/>
  <c r="M472" i="1"/>
  <c r="N472" i="1" s="1"/>
  <c r="Y472" i="1" s="1"/>
  <c r="L472" i="1"/>
  <c r="T472" i="1" s="1"/>
  <c r="X471" i="1"/>
  <c r="W471" i="1"/>
  <c r="V471" i="1"/>
  <c r="U471" i="1"/>
  <c r="S471" i="1"/>
  <c r="R471" i="1"/>
  <c r="Q471" i="1"/>
  <c r="Y471" i="1" s="1"/>
  <c r="P471" i="1"/>
  <c r="O471" i="1"/>
  <c r="N471" i="1"/>
  <c r="M471" i="1"/>
  <c r="L471" i="1"/>
  <c r="T471" i="1" s="1"/>
  <c r="X470" i="1"/>
  <c r="W470" i="1"/>
  <c r="V470" i="1"/>
  <c r="U470" i="1"/>
  <c r="S470" i="1"/>
  <c r="R470" i="1"/>
  <c r="Y470" i="1" s="1"/>
  <c r="Q470" i="1"/>
  <c r="P470" i="1"/>
  <c r="O470" i="1"/>
  <c r="M470" i="1"/>
  <c r="N470" i="1" s="1"/>
  <c r="L470" i="1"/>
  <c r="T470" i="1" s="1"/>
  <c r="X469" i="1"/>
  <c r="W469" i="1"/>
  <c r="V469" i="1"/>
  <c r="U469" i="1"/>
  <c r="S469" i="1"/>
  <c r="R469" i="1"/>
  <c r="Q469" i="1"/>
  <c r="P469" i="1"/>
  <c r="O469" i="1"/>
  <c r="M469" i="1"/>
  <c r="N469" i="1" s="1"/>
  <c r="L469" i="1"/>
  <c r="T469" i="1" s="1"/>
  <c r="X468" i="1"/>
  <c r="W468" i="1"/>
  <c r="V468" i="1"/>
  <c r="U468" i="1"/>
  <c r="S468" i="1"/>
  <c r="R468" i="1"/>
  <c r="Q468" i="1"/>
  <c r="P468" i="1"/>
  <c r="O468" i="1"/>
  <c r="N468" i="1"/>
  <c r="M468" i="1"/>
  <c r="L468" i="1"/>
  <c r="T468" i="1" s="1"/>
  <c r="X467" i="1"/>
  <c r="W467" i="1"/>
  <c r="V467" i="1"/>
  <c r="U467" i="1"/>
  <c r="S467" i="1"/>
  <c r="R467" i="1"/>
  <c r="Q467" i="1"/>
  <c r="P467" i="1"/>
  <c r="O467" i="1"/>
  <c r="N467" i="1"/>
  <c r="Y467" i="1" s="1"/>
  <c r="M467" i="1"/>
  <c r="L467" i="1"/>
  <c r="T467" i="1" s="1"/>
  <c r="X466" i="1"/>
  <c r="W466" i="1"/>
  <c r="V466" i="1"/>
  <c r="U466" i="1"/>
  <c r="T466" i="1"/>
  <c r="S466" i="1"/>
  <c r="R466" i="1"/>
  <c r="Q466" i="1"/>
  <c r="P466" i="1"/>
  <c r="O466" i="1"/>
  <c r="M466" i="1"/>
  <c r="N466" i="1" s="1"/>
  <c r="L466" i="1"/>
  <c r="X465" i="1"/>
  <c r="W465" i="1"/>
  <c r="V465" i="1"/>
  <c r="U465" i="1"/>
  <c r="S465" i="1"/>
  <c r="R465" i="1"/>
  <c r="Q465" i="1"/>
  <c r="P465" i="1"/>
  <c r="O465" i="1"/>
  <c r="Y465" i="1" s="1"/>
  <c r="M465" i="1"/>
  <c r="N465" i="1" s="1"/>
  <c r="L465" i="1"/>
  <c r="T465" i="1" s="1"/>
  <c r="X464" i="1"/>
  <c r="W464" i="1"/>
  <c r="V464" i="1"/>
  <c r="U464" i="1"/>
  <c r="S464" i="1"/>
  <c r="R464" i="1"/>
  <c r="Q464" i="1"/>
  <c r="P464" i="1"/>
  <c r="O464" i="1"/>
  <c r="M464" i="1"/>
  <c r="N464" i="1" s="1"/>
  <c r="Y464" i="1" s="1"/>
  <c r="L464" i="1"/>
  <c r="T464" i="1" s="1"/>
  <c r="X463" i="1"/>
  <c r="W463" i="1"/>
  <c r="V463" i="1"/>
  <c r="U463" i="1"/>
  <c r="S463" i="1"/>
  <c r="R463" i="1"/>
  <c r="Q463" i="1"/>
  <c r="P463" i="1"/>
  <c r="O463" i="1"/>
  <c r="M463" i="1"/>
  <c r="N463" i="1" s="1"/>
  <c r="L463" i="1"/>
  <c r="T463" i="1" s="1"/>
  <c r="X462" i="1"/>
  <c r="W462" i="1"/>
  <c r="V462" i="1"/>
  <c r="U462" i="1"/>
  <c r="S462" i="1"/>
  <c r="R462" i="1"/>
  <c r="Q462" i="1"/>
  <c r="P462" i="1"/>
  <c r="O462" i="1"/>
  <c r="M462" i="1"/>
  <c r="N462" i="1" s="1"/>
  <c r="Y462" i="1" s="1"/>
  <c r="L462" i="1"/>
  <c r="T462" i="1" s="1"/>
  <c r="X461" i="1"/>
  <c r="W461" i="1"/>
  <c r="V461" i="1"/>
  <c r="U461" i="1"/>
  <c r="S461" i="1"/>
  <c r="R461" i="1"/>
  <c r="Q461" i="1"/>
  <c r="P461" i="1"/>
  <c r="O461" i="1"/>
  <c r="M461" i="1"/>
  <c r="N461" i="1" s="1"/>
  <c r="L461" i="1"/>
  <c r="T461" i="1" s="1"/>
  <c r="X460" i="1"/>
  <c r="W460" i="1"/>
  <c r="V460" i="1"/>
  <c r="U460" i="1"/>
  <c r="S460" i="1"/>
  <c r="R460" i="1"/>
  <c r="Q460" i="1"/>
  <c r="P460" i="1"/>
  <c r="O460" i="1"/>
  <c r="M460" i="1"/>
  <c r="N460" i="1" s="1"/>
  <c r="Y460" i="1" s="1"/>
  <c r="L460" i="1"/>
  <c r="T460" i="1" s="1"/>
  <c r="X459" i="1"/>
  <c r="W459" i="1"/>
  <c r="V459" i="1"/>
  <c r="U459" i="1"/>
  <c r="S459" i="1"/>
  <c r="R459" i="1"/>
  <c r="Q459" i="1"/>
  <c r="P459" i="1"/>
  <c r="O459" i="1"/>
  <c r="N459" i="1"/>
  <c r="Y459" i="1" s="1"/>
  <c r="M459" i="1"/>
  <c r="L459" i="1"/>
  <c r="T459" i="1" s="1"/>
  <c r="X458" i="1"/>
  <c r="W458" i="1"/>
  <c r="V458" i="1"/>
  <c r="U458" i="1"/>
  <c r="T458" i="1"/>
  <c r="S458" i="1"/>
  <c r="R458" i="1"/>
  <c r="Q458" i="1"/>
  <c r="P458" i="1"/>
  <c r="O458" i="1"/>
  <c r="M458" i="1"/>
  <c r="N458" i="1" s="1"/>
  <c r="Y458" i="1" s="1"/>
  <c r="L458" i="1"/>
  <c r="X457" i="1"/>
  <c r="W457" i="1"/>
  <c r="V457" i="1"/>
  <c r="U457" i="1"/>
  <c r="S457" i="1"/>
  <c r="R457" i="1"/>
  <c r="Q457" i="1"/>
  <c r="P457" i="1"/>
  <c r="O457" i="1"/>
  <c r="M457" i="1"/>
  <c r="N457" i="1" s="1"/>
  <c r="L457" i="1"/>
  <c r="T457" i="1" s="1"/>
  <c r="X456" i="1"/>
  <c r="W456" i="1"/>
  <c r="V456" i="1"/>
  <c r="U456" i="1"/>
  <c r="S456" i="1"/>
  <c r="R456" i="1"/>
  <c r="Q456" i="1"/>
  <c r="P456" i="1"/>
  <c r="O456" i="1"/>
  <c r="M456" i="1"/>
  <c r="N456" i="1" s="1"/>
  <c r="L456" i="1"/>
  <c r="T456" i="1" s="1"/>
  <c r="X455" i="1"/>
  <c r="W455" i="1"/>
  <c r="V455" i="1"/>
  <c r="U455" i="1"/>
  <c r="S455" i="1"/>
  <c r="R455" i="1"/>
  <c r="Q455" i="1"/>
  <c r="Y455" i="1" s="1"/>
  <c r="P455" i="1"/>
  <c r="O455" i="1"/>
  <c r="M455" i="1"/>
  <c r="N455" i="1" s="1"/>
  <c r="L455" i="1"/>
  <c r="T455" i="1" s="1"/>
  <c r="X454" i="1"/>
  <c r="W454" i="1"/>
  <c r="V454" i="1"/>
  <c r="U454" i="1"/>
  <c r="S454" i="1"/>
  <c r="R454" i="1"/>
  <c r="Q454" i="1"/>
  <c r="P454" i="1"/>
  <c r="O454" i="1"/>
  <c r="M454" i="1"/>
  <c r="N454" i="1" s="1"/>
  <c r="L454" i="1"/>
  <c r="T454" i="1" s="1"/>
  <c r="X453" i="1"/>
  <c r="W453" i="1"/>
  <c r="V453" i="1"/>
  <c r="U453" i="1"/>
  <c r="S453" i="1"/>
  <c r="R453" i="1"/>
  <c r="Q453" i="1"/>
  <c r="P453" i="1"/>
  <c r="O453" i="1"/>
  <c r="M453" i="1"/>
  <c r="N453" i="1" s="1"/>
  <c r="L453" i="1"/>
  <c r="T453" i="1" s="1"/>
  <c r="X452" i="1"/>
  <c r="W452" i="1"/>
  <c r="V452" i="1"/>
  <c r="U452" i="1"/>
  <c r="S452" i="1"/>
  <c r="R452" i="1"/>
  <c r="Q452" i="1"/>
  <c r="P452" i="1"/>
  <c r="O452" i="1"/>
  <c r="N452" i="1"/>
  <c r="Y452" i="1" s="1"/>
  <c r="M452" i="1"/>
  <c r="L452" i="1"/>
  <c r="T452" i="1" s="1"/>
  <c r="X451" i="1"/>
  <c r="W451" i="1"/>
  <c r="V451" i="1"/>
  <c r="U451" i="1"/>
  <c r="S451" i="1"/>
  <c r="R451" i="1"/>
  <c r="Q451" i="1"/>
  <c r="P451" i="1"/>
  <c r="O451" i="1"/>
  <c r="M451" i="1"/>
  <c r="N451" i="1" s="1"/>
  <c r="Y451" i="1" s="1"/>
  <c r="L451" i="1"/>
  <c r="T451" i="1" s="1"/>
  <c r="X450" i="1"/>
  <c r="W450" i="1"/>
  <c r="V450" i="1"/>
  <c r="U450" i="1"/>
  <c r="S450" i="1"/>
  <c r="R450" i="1"/>
  <c r="Q450" i="1"/>
  <c r="Y450" i="1" s="1"/>
  <c r="P450" i="1"/>
  <c r="O450" i="1"/>
  <c r="M450" i="1"/>
  <c r="N450" i="1" s="1"/>
  <c r="L450" i="1"/>
  <c r="T450" i="1" s="1"/>
  <c r="X449" i="1"/>
  <c r="W449" i="1"/>
  <c r="V449" i="1"/>
  <c r="U449" i="1"/>
  <c r="S449" i="1"/>
  <c r="R449" i="1"/>
  <c r="Q449" i="1"/>
  <c r="P449" i="1"/>
  <c r="O449" i="1"/>
  <c r="M449" i="1"/>
  <c r="N449" i="1" s="1"/>
  <c r="L449" i="1"/>
  <c r="T449" i="1" s="1"/>
  <c r="X448" i="1"/>
  <c r="W448" i="1"/>
  <c r="V448" i="1"/>
  <c r="U448" i="1"/>
  <c r="S448" i="1"/>
  <c r="R448" i="1"/>
  <c r="Q448" i="1"/>
  <c r="P448" i="1"/>
  <c r="O448" i="1"/>
  <c r="N448" i="1"/>
  <c r="Y448" i="1" s="1"/>
  <c r="M448" i="1"/>
  <c r="L448" i="1"/>
  <c r="T448" i="1" s="1"/>
  <c r="X447" i="1"/>
  <c r="W447" i="1"/>
  <c r="V447" i="1"/>
  <c r="U447" i="1"/>
  <c r="T447" i="1"/>
  <c r="S447" i="1"/>
  <c r="R447" i="1"/>
  <c r="Q447" i="1"/>
  <c r="P447" i="1"/>
  <c r="O447" i="1"/>
  <c r="M447" i="1"/>
  <c r="N447" i="1" s="1"/>
  <c r="L447" i="1"/>
  <c r="Y446" i="1"/>
  <c r="X446" i="1"/>
  <c r="W446" i="1"/>
  <c r="V446" i="1"/>
  <c r="U446" i="1"/>
  <c r="S446" i="1"/>
  <c r="R446" i="1"/>
  <c r="Q446" i="1"/>
  <c r="P446" i="1"/>
  <c r="O446" i="1"/>
  <c r="M446" i="1"/>
  <c r="N446" i="1" s="1"/>
  <c r="L446" i="1"/>
  <c r="T446" i="1" s="1"/>
  <c r="X445" i="1"/>
  <c r="W445" i="1"/>
  <c r="V445" i="1"/>
  <c r="U445" i="1"/>
  <c r="S445" i="1"/>
  <c r="R445" i="1"/>
  <c r="Q445" i="1"/>
  <c r="P445" i="1"/>
  <c r="O445" i="1"/>
  <c r="M445" i="1"/>
  <c r="N445" i="1" s="1"/>
  <c r="L445" i="1"/>
  <c r="T445" i="1" s="1"/>
  <c r="X444" i="1"/>
  <c r="W444" i="1"/>
  <c r="V444" i="1"/>
  <c r="U444" i="1"/>
  <c r="S444" i="1"/>
  <c r="R444" i="1"/>
  <c r="Q444" i="1"/>
  <c r="P444" i="1"/>
  <c r="O444" i="1"/>
  <c r="Y444" i="1" s="1"/>
  <c r="N444" i="1"/>
  <c r="M444" i="1"/>
  <c r="L444" i="1"/>
  <c r="T444" i="1" s="1"/>
  <c r="X443" i="1"/>
  <c r="W443" i="1"/>
  <c r="V443" i="1"/>
  <c r="U443" i="1"/>
  <c r="S443" i="1"/>
  <c r="R443" i="1"/>
  <c r="Q443" i="1"/>
  <c r="P443" i="1"/>
  <c r="O443" i="1"/>
  <c r="N443" i="1"/>
  <c r="M443" i="1"/>
  <c r="L443" i="1"/>
  <c r="T443" i="1" s="1"/>
  <c r="X442" i="1"/>
  <c r="W442" i="1"/>
  <c r="V442" i="1"/>
  <c r="U442" i="1"/>
  <c r="T442" i="1"/>
  <c r="S442" i="1"/>
  <c r="R442" i="1"/>
  <c r="Q442" i="1"/>
  <c r="P442" i="1"/>
  <c r="O442" i="1"/>
  <c r="M442" i="1"/>
  <c r="N442" i="1" s="1"/>
  <c r="L442" i="1"/>
  <c r="X441" i="1"/>
  <c r="W441" i="1"/>
  <c r="V441" i="1"/>
  <c r="U441" i="1"/>
  <c r="S441" i="1"/>
  <c r="R441" i="1"/>
  <c r="Q441" i="1"/>
  <c r="P441" i="1"/>
  <c r="O441" i="1"/>
  <c r="M441" i="1"/>
  <c r="N441" i="1" s="1"/>
  <c r="Y441" i="1" s="1"/>
  <c r="L441" i="1"/>
  <c r="T441" i="1" s="1"/>
  <c r="X440" i="1"/>
  <c r="W440" i="1"/>
  <c r="V440" i="1"/>
  <c r="U440" i="1"/>
  <c r="S440" i="1"/>
  <c r="R440" i="1"/>
  <c r="Q440" i="1"/>
  <c r="P440" i="1"/>
  <c r="O440" i="1"/>
  <c r="M440" i="1"/>
  <c r="N440" i="1" s="1"/>
  <c r="L440" i="1"/>
  <c r="T440" i="1" s="1"/>
  <c r="X439" i="1"/>
  <c r="W439" i="1"/>
  <c r="V439" i="1"/>
  <c r="U439" i="1"/>
  <c r="S439" i="1"/>
  <c r="R439" i="1"/>
  <c r="Q439" i="1"/>
  <c r="P439" i="1"/>
  <c r="O439" i="1"/>
  <c r="Y439" i="1" s="1"/>
  <c r="M439" i="1"/>
  <c r="N439" i="1" s="1"/>
  <c r="L439" i="1"/>
  <c r="T439" i="1" s="1"/>
  <c r="X438" i="1"/>
  <c r="W438" i="1"/>
  <c r="V438" i="1"/>
  <c r="U438" i="1"/>
  <c r="S438" i="1"/>
  <c r="R438" i="1"/>
  <c r="Q438" i="1"/>
  <c r="P438" i="1"/>
  <c r="O438" i="1"/>
  <c r="M438" i="1"/>
  <c r="N438" i="1" s="1"/>
  <c r="L438" i="1"/>
  <c r="T438" i="1" s="1"/>
  <c r="X437" i="1"/>
  <c r="W437" i="1"/>
  <c r="V437" i="1"/>
  <c r="U437" i="1"/>
  <c r="S437" i="1"/>
  <c r="R437" i="1"/>
  <c r="Q437" i="1"/>
  <c r="P437" i="1"/>
  <c r="O437" i="1"/>
  <c r="M437" i="1"/>
  <c r="N437" i="1" s="1"/>
  <c r="L437" i="1"/>
  <c r="T437" i="1" s="1"/>
  <c r="X436" i="1"/>
  <c r="W436" i="1"/>
  <c r="V436" i="1"/>
  <c r="U436" i="1"/>
  <c r="S436" i="1"/>
  <c r="R436" i="1"/>
  <c r="Q436" i="1"/>
  <c r="P436" i="1"/>
  <c r="O436" i="1"/>
  <c r="N436" i="1"/>
  <c r="Y436" i="1" s="1"/>
  <c r="M436" i="1"/>
  <c r="L436" i="1"/>
  <c r="T436" i="1" s="1"/>
  <c r="X435" i="1"/>
  <c r="W435" i="1"/>
  <c r="V435" i="1"/>
  <c r="U435" i="1"/>
  <c r="S435" i="1"/>
  <c r="R435" i="1"/>
  <c r="Q435" i="1"/>
  <c r="P435" i="1"/>
  <c r="O435" i="1"/>
  <c r="N435" i="1"/>
  <c r="M435" i="1"/>
  <c r="L435" i="1"/>
  <c r="T435" i="1" s="1"/>
  <c r="X434" i="1"/>
  <c r="W434" i="1"/>
  <c r="V434" i="1"/>
  <c r="U434" i="1"/>
  <c r="S434" i="1"/>
  <c r="R434" i="1"/>
  <c r="Q434" i="1"/>
  <c r="P434" i="1"/>
  <c r="O434" i="1"/>
  <c r="M434" i="1"/>
  <c r="N434" i="1" s="1"/>
  <c r="L434" i="1"/>
  <c r="T434" i="1" s="1"/>
  <c r="Y434" i="1" s="1"/>
  <c r="X433" i="1"/>
  <c r="W433" i="1"/>
  <c r="V433" i="1"/>
  <c r="U433" i="1"/>
  <c r="S433" i="1"/>
  <c r="R433" i="1"/>
  <c r="Q433" i="1"/>
  <c r="P433" i="1"/>
  <c r="O433" i="1"/>
  <c r="M433" i="1"/>
  <c r="N433" i="1" s="1"/>
  <c r="L433" i="1"/>
  <c r="T433" i="1" s="1"/>
  <c r="X432" i="1"/>
  <c r="W432" i="1"/>
  <c r="V432" i="1"/>
  <c r="U432" i="1"/>
  <c r="S432" i="1"/>
  <c r="R432" i="1"/>
  <c r="Q432" i="1"/>
  <c r="P432" i="1"/>
  <c r="O432" i="1"/>
  <c r="N432" i="1"/>
  <c r="M432" i="1"/>
  <c r="L432" i="1"/>
  <c r="T432" i="1" s="1"/>
  <c r="X431" i="1"/>
  <c r="W431" i="1"/>
  <c r="V431" i="1"/>
  <c r="U431" i="1"/>
  <c r="T431" i="1"/>
  <c r="S431" i="1"/>
  <c r="R431" i="1"/>
  <c r="Q431" i="1"/>
  <c r="P431" i="1"/>
  <c r="O431" i="1"/>
  <c r="M431" i="1"/>
  <c r="N431" i="1" s="1"/>
  <c r="Y431" i="1" s="1"/>
  <c r="L431" i="1"/>
  <c r="X430" i="1"/>
  <c r="W430" i="1"/>
  <c r="V430" i="1"/>
  <c r="U430" i="1"/>
  <c r="S430" i="1"/>
  <c r="R430" i="1"/>
  <c r="Q430" i="1"/>
  <c r="P430" i="1"/>
  <c r="O430" i="1"/>
  <c r="M430" i="1"/>
  <c r="N430" i="1" s="1"/>
  <c r="Y430" i="1" s="1"/>
  <c r="L430" i="1"/>
  <c r="T430" i="1" s="1"/>
  <c r="X429" i="1"/>
  <c r="W429" i="1"/>
  <c r="V429" i="1"/>
  <c r="U429" i="1"/>
  <c r="S429" i="1"/>
  <c r="R429" i="1"/>
  <c r="Q429" i="1"/>
  <c r="P429" i="1"/>
  <c r="O429" i="1"/>
  <c r="M429" i="1"/>
  <c r="N429" i="1" s="1"/>
  <c r="L429" i="1"/>
  <c r="T429" i="1" s="1"/>
  <c r="X428" i="1"/>
  <c r="W428" i="1"/>
  <c r="V428" i="1"/>
  <c r="U428" i="1"/>
  <c r="S428" i="1"/>
  <c r="R428" i="1"/>
  <c r="Q428" i="1"/>
  <c r="P428" i="1"/>
  <c r="O428" i="1"/>
  <c r="M428" i="1"/>
  <c r="N428" i="1" s="1"/>
  <c r="Y428" i="1" s="1"/>
  <c r="L428" i="1"/>
  <c r="T428" i="1" s="1"/>
  <c r="X427" i="1"/>
  <c r="W427" i="1"/>
  <c r="V427" i="1"/>
  <c r="U427" i="1"/>
  <c r="S427" i="1"/>
  <c r="R427" i="1"/>
  <c r="Q427" i="1"/>
  <c r="P427" i="1"/>
  <c r="O427" i="1"/>
  <c r="N427" i="1"/>
  <c r="M427" i="1"/>
  <c r="L427" i="1"/>
  <c r="T427" i="1" s="1"/>
  <c r="X426" i="1"/>
  <c r="W426" i="1"/>
  <c r="V426" i="1"/>
  <c r="U426" i="1"/>
  <c r="T426" i="1"/>
  <c r="S426" i="1"/>
  <c r="R426" i="1"/>
  <c r="Q426" i="1"/>
  <c r="Y426" i="1" s="1"/>
  <c r="P426" i="1"/>
  <c r="O426" i="1"/>
  <c r="M426" i="1"/>
  <c r="N426" i="1" s="1"/>
  <c r="L426" i="1"/>
  <c r="X425" i="1"/>
  <c r="W425" i="1"/>
  <c r="V425" i="1"/>
  <c r="U425" i="1"/>
  <c r="S425" i="1"/>
  <c r="R425" i="1"/>
  <c r="Q425" i="1"/>
  <c r="P425" i="1"/>
  <c r="Y425" i="1" s="1"/>
  <c r="O425" i="1"/>
  <c r="M425" i="1"/>
  <c r="N425" i="1" s="1"/>
  <c r="L425" i="1"/>
  <c r="T425" i="1" s="1"/>
  <c r="X424" i="1"/>
  <c r="W424" i="1"/>
  <c r="V424" i="1"/>
  <c r="U424" i="1"/>
  <c r="S424" i="1"/>
  <c r="R424" i="1"/>
  <c r="Q424" i="1"/>
  <c r="P424" i="1"/>
  <c r="O424" i="1"/>
  <c r="M424" i="1"/>
  <c r="N424" i="1" s="1"/>
  <c r="Y424" i="1" s="1"/>
  <c r="L424" i="1"/>
  <c r="T424" i="1" s="1"/>
  <c r="X423" i="1"/>
  <c r="W423" i="1"/>
  <c r="V423" i="1"/>
  <c r="U423" i="1"/>
  <c r="S423" i="1"/>
  <c r="R423" i="1"/>
  <c r="Q423" i="1"/>
  <c r="P423" i="1"/>
  <c r="O423" i="1"/>
  <c r="Y423" i="1" s="1"/>
  <c r="M423" i="1"/>
  <c r="N423" i="1" s="1"/>
  <c r="L423" i="1"/>
  <c r="T423" i="1" s="1"/>
  <c r="X422" i="1"/>
  <c r="W422" i="1"/>
  <c r="V422" i="1"/>
  <c r="U422" i="1"/>
  <c r="S422" i="1"/>
  <c r="R422" i="1"/>
  <c r="Q422" i="1"/>
  <c r="P422" i="1"/>
  <c r="O422" i="1"/>
  <c r="M422" i="1"/>
  <c r="N422" i="1" s="1"/>
  <c r="L422" i="1"/>
  <c r="T422" i="1" s="1"/>
  <c r="X421" i="1"/>
  <c r="W421" i="1"/>
  <c r="V421" i="1"/>
  <c r="U421" i="1"/>
  <c r="S421" i="1"/>
  <c r="R421" i="1"/>
  <c r="Q421" i="1"/>
  <c r="P421" i="1"/>
  <c r="O421" i="1"/>
  <c r="M421" i="1"/>
  <c r="N421" i="1" s="1"/>
  <c r="L421" i="1"/>
  <c r="T421" i="1" s="1"/>
  <c r="X420" i="1"/>
  <c r="W420" i="1"/>
  <c r="V420" i="1"/>
  <c r="U420" i="1"/>
  <c r="S420" i="1"/>
  <c r="R420" i="1"/>
  <c r="Q420" i="1"/>
  <c r="P420" i="1"/>
  <c r="O420" i="1"/>
  <c r="M420" i="1"/>
  <c r="N420" i="1" s="1"/>
  <c r="L420" i="1"/>
  <c r="T420" i="1" s="1"/>
  <c r="X419" i="1"/>
  <c r="W419" i="1"/>
  <c r="V419" i="1"/>
  <c r="U419" i="1"/>
  <c r="S419" i="1"/>
  <c r="R419" i="1"/>
  <c r="Q419" i="1"/>
  <c r="P419" i="1"/>
  <c r="O419" i="1"/>
  <c r="Y419" i="1" s="1"/>
  <c r="N419" i="1"/>
  <c r="M419" i="1"/>
  <c r="L419" i="1"/>
  <c r="T419" i="1" s="1"/>
  <c r="X418" i="1"/>
  <c r="W418" i="1"/>
  <c r="V418" i="1"/>
  <c r="U418" i="1"/>
  <c r="S418" i="1"/>
  <c r="R418" i="1"/>
  <c r="Q418" i="1"/>
  <c r="P418" i="1"/>
  <c r="O418" i="1"/>
  <c r="M418" i="1"/>
  <c r="N418" i="1" s="1"/>
  <c r="Y418" i="1" s="1"/>
  <c r="L418" i="1"/>
  <c r="T418" i="1" s="1"/>
  <c r="X417" i="1"/>
  <c r="W417" i="1"/>
  <c r="V417" i="1"/>
  <c r="U417" i="1"/>
  <c r="S417" i="1"/>
  <c r="R417" i="1"/>
  <c r="Q417" i="1"/>
  <c r="P417" i="1"/>
  <c r="Y417" i="1" s="1"/>
  <c r="O417" i="1"/>
  <c r="M417" i="1"/>
  <c r="N417" i="1" s="1"/>
  <c r="L417" i="1"/>
  <c r="T417" i="1" s="1"/>
  <c r="X416" i="1"/>
  <c r="W416" i="1"/>
  <c r="V416" i="1"/>
  <c r="U416" i="1"/>
  <c r="S416" i="1"/>
  <c r="R416" i="1"/>
  <c r="Q416" i="1"/>
  <c r="P416" i="1"/>
  <c r="O416" i="1"/>
  <c r="M416" i="1"/>
  <c r="N416" i="1" s="1"/>
  <c r="Y416" i="1" s="1"/>
  <c r="L416" i="1"/>
  <c r="T416" i="1" s="1"/>
  <c r="X415" i="1"/>
  <c r="W415" i="1"/>
  <c r="V415" i="1"/>
  <c r="U415" i="1"/>
  <c r="S415" i="1"/>
  <c r="R415" i="1"/>
  <c r="Q415" i="1"/>
  <c r="P415" i="1"/>
  <c r="O415" i="1"/>
  <c r="M415" i="1"/>
  <c r="N415" i="1" s="1"/>
  <c r="L415" i="1"/>
  <c r="T415" i="1" s="1"/>
  <c r="X414" i="1"/>
  <c r="W414" i="1"/>
  <c r="V414" i="1"/>
  <c r="U414" i="1"/>
  <c r="S414" i="1"/>
  <c r="R414" i="1"/>
  <c r="Q414" i="1"/>
  <c r="Y414" i="1" s="1"/>
  <c r="P414" i="1"/>
  <c r="O414" i="1"/>
  <c r="M414" i="1"/>
  <c r="N414" i="1" s="1"/>
  <c r="L414" i="1"/>
  <c r="T414" i="1" s="1"/>
  <c r="X413" i="1"/>
  <c r="W413" i="1"/>
  <c r="V413" i="1"/>
  <c r="U413" i="1"/>
  <c r="S413" i="1"/>
  <c r="R413" i="1"/>
  <c r="Q413" i="1"/>
  <c r="P413" i="1"/>
  <c r="O413" i="1"/>
  <c r="M413" i="1"/>
  <c r="N413" i="1" s="1"/>
  <c r="L413" i="1"/>
  <c r="T413" i="1" s="1"/>
  <c r="X412" i="1"/>
  <c r="W412" i="1"/>
  <c r="V412" i="1"/>
  <c r="U412" i="1"/>
  <c r="S412" i="1"/>
  <c r="R412" i="1"/>
  <c r="Q412" i="1"/>
  <c r="P412" i="1"/>
  <c r="O412" i="1"/>
  <c r="M412" i="1"/>
  <c r="N412" i="1" s="1"/>
  <c r="Y412" i="1" s="1"/>
  <c r="L412" i="1"/>
  <c r="T412" i="1" s="1"/>
  <c r="X411" i="1"/>
  <c r="W411" i="1"/>
  <c r="V411" i="1"/>
  <c r="U411" i="1"/>
  <c r="S411" i="1"/>
  <c r="R411" i="1"/>
  <c r="Q411" i="1"/>
  <c r="P411" i="1"/>
  <c r="O411" i="1"/>
  <c r="N411" i="1"/>
  <c r="M411" i="1"/>
  <c r="L411" i="1"/>
  <c r="T411" i="1" s="1"/>
  <c r="X410" i="1"/>
  <c r="W410" i="1"/>
  <c r="V410" i="1"/>
  <c r="U410" i="1"/>
  <c r="T410" i="1"/>
  <c r="S410" i="1"/>
  <c r="R410" i="1"/>
  <c r="Q410" i="1"/>
  <c r="Y410" i="1" s="1"/>
  <c r="P410" i="1"/>
  <c r="O410" i="1"/>
  <c r="M410" i="1"/>
  <c r="N410" i="1" s="1"/>
  <c r="L410" i="1"/>
  <c r="X409" i="1"/>
  <c r="W409" i="1"/>
  <c r="V409" i="1"/>
  <c r="U409" i="1"/>
  <c r="S409" i="1"/>
  <c r="R409" i="1"/>
  <c r="Q409" i="1"/>
  <c r="P409" i="1"/>
  <c r="Y409" i="1" s="1"/>
  <c r="O409" i="1"/>
  <c r="M409" i="1"/>
  <c r="N409" i="1" s="1"/>
  <c r="L409" i="1"/>
  <c r="T409" i="1" s="1"/>
  <c r="X408" i="1"/>
  <c r="W408" i="1"/>
  <c r="V408" i="1"/>
  <c r="U408" i="1"/>
  <c r="S408" i="1"/>
  <c r="R408" i="1"/>
  <c r="Q408" i="1"/>
  <c r="P408" i="1"/>
  <c r="O408" i="1"/>
  <c r="M408" i="1"/>
  <c r="N408" i="1" s="1"/>
  <c r="L408" i="1"/>
  <c r="T408" i="1" s="1"/>
  <c r="X407" i="1"/>
  <c r="W407" i="1"/>
  <c r="V407" i="1"/>
  <c r="U407" i="1"/>
  <c r="S407" i="1"/>
  <c r="R407" i="1"/>
  <c r="Q407" i="1"/>
  <c r="P407" i="1"/>
  <c r="O407" i="1"/>
  <c r="Y407" i="1" s="1"/>
  <c r="M407" i="1"/>
  <c r="N407" i="1" s="1"/>
  <c r="L407" i="1"/>
  <c r="T407" i="1" s="1"/>
  <c r="X406" i="1"/>
  <c r="W406" i="1"/>
  <c r="V406" i="1"/>
  <c r="U406" i="1"/>
  <c r="S406" i="1"/>
  <c r="R406" i="1"/>
  <c r="Q406" i="1"/>
  <c r="P406" i="1"/>
  <c r="O406" i="1"/>
  <c r="M406" i="1"/>
  <c r="N406" i="1" s="1"/>
  <c r="L406" i="1"/>
  <c r="T406" i="1" s="1"/>
  <c r="X405" i="1"/>
  <c r="W405" i="1"/>
  <c r="V405" i="1"/>
  <c r="U405" i="1"/>
  <c r="S405" i="1"/>
  <c r="R405" i="1"/>
  <c r="Q405" i="1"/>
  <c r="P405" i="1"/>
  <c r="O405" i="1"/>
  <c r="M405" i="1"/>
  <c r="N405" i="1" s="1"/>
  <c r="L405" i="1"/>
  <c r="T405" i="1" s="1"/>
  <c r="X404" i="1"/>
  <c r="W404" i="1"/>
  <c r="V404" i="1"/>
  <c r="U404" i="1"/>
  <c r="S404" i="1"/>
  <c r="R404" i="1"/>
  <c r="Q404" i="1"/>
  <c r="P404" i="1"/>
  <c r="O404" i="1"/>
  <c r="M404" i="1"/>
  <c r="N404" i="1" s="1"/>
  <c r="Y404" i="1" s="1"/>
  <c r="L404" i="1"/>
  <c r="T404" i="1" s="1"/>
  <c r="X403" i="1"/>
  <c r="W403" i="1"/>
  <c r="V403" i="1"/>
  <c r="U403" i="1"/>
  <c r="S403" i="1"/>
  <c r="Y403" i="1" s="1"/>
  <c r="R403" i="1"/>
  <c r="Q403" i="1"/>
  <c r="P403" i="1"/>
  <c r="O403" i="1"/>
  <c r="N403" i="1"/>
  <c r="M403" i="1"/>
  <c r="L403" i="1"/>
  <c r="T403" i="1" s="1"/>
  <c r="X402" i="1"/>
  <c r="W402" i="1"/>
  <c r="V402" i="1"/>
  <c r="U402" i="1"/>
  <c r="S402" i="1"/>
  <c r="R402" i="1"/>
  <c r="Q402" i="1"/>
  <c r="P402" i="1"/>
  <c r="O402" i="1"/>
  <c r="Y402" i="1" s="1"/>
  <c r="M402" i="1"/>
  <c r="N402" i="1" s="1"/>
  <c r="L402" i="1"/>
  <c r="T402" i="1" s="1"/>
  <c r="X401" i="1"/>
  <c r="W401" i="1"/>
  <c r="V401" i="1"/>
  <c r="U401" i="1"/>
  <c r="S401" i="1"/>
  <c r="R401" i="1"/>
  <c r="Q401" i="1"/>
  <c r="P401" i="1"/>
  <c r="O401" i="1"/>
  <c r="M401" i="1"/>
  <c r="N401" i="1" s="1"/>
  <c r="Y401" i="1" s="1"/>
  <c r="L401" i="1"/>
  <c r="T401" i="1" s="1"/>
  <c r="X400" i="1"/>
  <c r="W400" i="1"/>
  <c r="V400" i="1"/>
  <c r="U400" i="1"/>
  <c r="S400" i="1"/>
  <c r="R400" i="1"/>
  <c r="Q400" i="1"/>
  <c r="P400" i="1"/>
  <c r="O400" i="1"/>
  <c r="M400" i="1"/>
  <c r="N400" i="1" s="1"/>
  <c r="L400" i="1"/>
  <c r="T400" i="1" s="1"/>
  <c r="X399" i="1"/>
  <c r="W399" i="1"/>
  <c r="V399" i="1"/>
  <c r="U399" i="1"/>
  <c r="S399" i="1"/>
  <c r="R399" i="1"/>
  <c r="Q399" i="1"/>
  <c r="P399" i="1"/>
  <c r="O399" i="1"/>
  <c r="M399" i="1"/>
  <c r="N399" i="1" s="1"/>
  <c r="L399" i="1"/>
  <c r="T399" i="1" s="1"/>
  <c r="X398" i="1"/>
  <c r="W398" i="1"/>
  <c r="V398" i="1"/>
  <c r="U398" i="1"/>
  <c r="S398" i="1"/>
  <c r="R398" i="1"/>
  <c r="Q398" i="1"/>
  <c r="P398" i="1"/>
  <c r="O398" i="1"/>
  <c r="M398" i="1"/>
  <c r="N398" i="1" s="1"/>
  <c r="Y398" i="1" s="1"/>
  <c r="L398" i="1"/>
  <c r="T398" i="1" s="1"/>
  <c r="X397" i="1"/>
  <c r="W397" i="1"/>
  <c r="V397" i="1"/>
  <c r="U397" i="1"/>
  <c r="S397" i="1"/>
  <c r="R397" i="1"/>
  <c r="Q397" i="1"/>
  <c r="P397" i="1"/>
  <c r="O397" i="1"/>
  <c r="M397" i="1"/>
  <c r="N397" i="1" s="1"/>
  <c r="L397" i="1"/>
  <c r="T397" i="1" s="1"/>
  <c r="X396" i="1"/>
  <c r="W396" i="1"/>
  <c r="V396" i="1"/>
  <c r="U396" i="1"/>
  <c r="S396" i="1"/>
  <c r="R396" i="1"/>
  <c r="Q396" i="1"/>
  <c r="P396" i="1"/>
  <c r="Y396" i="1" s="1"/>
  <c r="O396" i="1"/>
  <c r="M396" i="1"/>
  <c r="N396" i="1" s="1"/>
  <c r="L396" i="1"/>
  <c r="T396" i="1" s="1"/>
  <c r="X395" i="1"/>
  <c r="W395" i="1"/>
  <c r="V395" i="1"/>
  <c r="U395" i="1"/>
  <c r="S395" i="1"/>
  <c r="R395" i="1"/>
  <c r="Q395" i="1"/>
  <c r="P395" i="1"/>
  <c r="O395" i="1"/>
  <c r="M395" i="1"/>
  <c r="N395" i="1" s="1"/>
  <c r="L395" i="1"/>
  <c r="T395" i="1" s="1"/>
  <c r="X394" i="1"/>
  <c r="W394" i="1"/>
  <c r="V394" i="1"/>
  <c r="U394" i="1"/>
  <c r="T394" i="1"/>
  <c r="S394" i="1"/>
  <c r="R394" i="1"/>
  <c r="Q394" i="1"/>
  <c r="P394" i="1"/>
  <c r="O394" i="1"/>
  <c r="M394" i="1"/>
  <c r="N394" i="1" s="1"/>
  <c r="L394" i="1"/>
  <c r="X393" i="1"/>
  <c r="W393" i="1"/>
  <c r="V393" i="1"/>
  <c r="U393" i="1"/>
  <c r="S393" i="1"/>
  <c r="R393" i="1"/>
  <c r="Q393" i="1"/>
  <c r="P393" i="1"/>
  <c r="O393" i="1"/>
  <c r="M393" i="1"/>
  <c r="N393" i="1" s="1"/>
  <c r="Y393" i="1" s="1"/>
  <c r="L393" i="1"/>
  <c r="T393" i="1" s="1"/>
  <c r="X392" i="1"/>
  <c r="W392" i="1"/>
  <c r="V392" i="1"/>
  <c r="U392" i="1"/>
  <c r="S392" i="1"/>
  <c r="R392" i="1"/>
  <c r="Q392" i="1"/>
  <c r="P392" i="1"/>
  <c r="O392" i="1"/>
  <c r="M392" i="1"/>
  <c r="N392" i="1" s="1"/>
  <c r="L392" i="1"/>
  <c r="T392" i="1" s="1"/>
  <c r="X391" i="1"/>
  <c r="W391" i="1"/>
  <c r="V391" i="1"/>
  <c r="U391" i="1"/>
  <c r="S391" i="1"/>
  <c r="R391" i="1"/>
  <c r="Q391" i="1"/>
  <c r="P391" i="1"/>
  <c r="O391" i="1"/>
  <c r="M391" i="1"/>
  <c r="N391" i="1" s="1"/>
  <c r="L391" i="1"/>
  <c r="T391" i="1" s="1"/>
  <c r="X390" i="1"/>
  <c r="W390" i="1"/>
  <c r="V390" i="1"/>
  <c r="U390" i="1"/>
  <c r="S390" i="1"/>
  <c r="R390" i="1"/>
  <c r="Q390" i="1"/>
  <c r="P390" i="1"/>
  <c r="O390" i="1"/>
  <c r="M390" i="1"/>
  <c r="N390" i="1" s="1"/>
  <c r="Y390" i="1" s="1"/>
  <c r="L390" i="1"/>
  <c r="T390" i="1" s="1"/>
  <c r="X389" i="1"/>
  <c r="W389" i="1"/>
  <c r="V389" i="1"/>
  <c r="U389" i="1"/>
  <c r="S389" i="1"/>
  <c r="R389" i="1"/>
  <c r="Q389" i="1"/>
  <c r="P389" i="1"/>
  <c r="O389" i="1"/>
  <c r="M389" i="1"/>
  <c r="N389" i="1" s="1"/>
  <c r="L389" i="1"/>
  <c r="T389" i="1" s="1"/>
  <c r="X388" i="1"/>
  <c r="W388" i="1"/>
  <c r="V388" i="1"/>
  <c r="U388" i="1"/>
  <c r="S388" i="1"/>
  <c r="R388" i="1"/>
  <c r="Q388" i="1"/>
  <c r="P388" i="1"/>
  <c r="O388" i="1"/>
  <c r="M388" i="1"/>
  <c r="N388" i="1" s="1"/>
  <c r="Y388" i="1" s="1"/>
  <c r="L388" i="1"/>
  <c r="T388" i="1" s="1"/>
  <c r="Y387" i="1"/>
  <c r="X387" i="1"/>
  <c r="W387" i="1"/>
  <c r="V387" i="1"/>
  <c r="U387" i="1"/>
  <c r="S387" i="1"/>
  <c r="R387" i="1"/>
  <c r="Q387" i="1"/>
  <c r="P387" i="1"/>
  <c r="O387" i="1"/>
  <c r="N387" i="1"/>
  <c r="M387" i="1"/>
  <c r="L387" i="1"/>
  <c r="T387" i="1" s="1"/>
  <c r="X386" i="1"/>
  <c r="W386" i="1"/>
  <c r="V386" i="1"/>
  <c r="U386" i="1"/>
  <c r="S386" i="1"/>
  <c r="R386" i="1"/>
  <c r="Q386" i="1"/>
  <c r="P386" i="1"/>
  <c r="O386" i="1"/>
  <c r="Y386" i="1" s="1"/>
  <c r="M386" i="1"/>
  <c r="N386" i="1" s="1"/>
  <c r="L386" i="1"/>
  <c r="T386" i="1" s="1"/>
  <c r="X385" i="1"/>
  <c r="W385" i="1"/>
  <c r="V385" i="1"/>
  <c r="U385" i="1"/>
  <c r="S385" i="1"/>
  <c r="R385" i="1"/>
  <c r="Q385" i="1"/>
  <c r="P385" i="1"/>
  <c r="O385" i="1"/>
  <c r="M385" i="1"/>
  <c r="N385" i="1" s="1"/>
  <c r="L385" i="1"/>
  <c r="T385" i="1" s="1"/>
  <c r="X384" i="1"/>
  <c r="W384" i="1"/>
  <c r="V384" i="1"/>
  <c r="U384" i="1"/>
  <c r="S384" i="1"/>
  <c r="R384" i="1"/>
  <c r="Q384" i="1"/>
  <c r="P384" i="1"/>
  <c r="O384" i="1"/>
  <c r="M384" i="1"/>
  <c r="N384" i="1" s="1"/>
  <c r="Y384" i="1" s="1"/>
  <c r="L384" i="1"/>
  <c r="T384" i="1" s="1"/>
  <c r="X383" i="1"/>
  <c r="W383" i="1"/>
  <c r="V383" i="1"/>
  <c r="U383" i="1"/>
  <c r="T383" i="1"/>
  <c r="S383" i="1"/>
  <c r="R383" i="1"/>
  <c r="Q383" i="1"/>
  <c r="P383" i="1"/>
  <c r="O383" i="1"/>
  <c r="M383" i="1"/>
  <c r="N383" i="1" s="1"/>
  <c r="L383" i="1"/>
  <c r="X382" i="1"/>
  <c r="W382" i="1"/>
  <c r="V382" i="1"/>
  <c r="U382" i="1"/>
  <c r="S382" i="1"/>
  <c r="R382" i="1"/>
  <c r="Q382" i="1"/>
  <c r="P382" i="1"/>
  <c r="O382" i="1"/>
  <c r="M382" i="1"/>
  <c r="N382" i="1" s="1"/>
  <c r="Y382" i="1" s="1"/>
  <c r="L382" i="1"/>
  <c r="T382" i="1" s="1"/>
  <c r="X381" i="1"/>
  <c r="W381" i="1"/>
  <c r="V381" i="1"/>
  <c r="U381" i="1"/>
  <c r="S381" i="1"/>
  <c r="R381" i="1"/>
  <c r="Q381" i="1"/>
  <c r="P381" i="1"/>
  <c r="O381" i="1"/>
  <c r="M381" i="1"/>
  <c r="N381" i="1" s="1"/>
  <c r="L381" i="1"/>
  <c r="T381" i="1" s="1"/>
  <c r="X380" i="1"/>
  <c r="W380" i="1"/>
  <c r="V380" i="1"/>
  <c r="U380" i="1"/>
  <c r="S380" i="1"/>
  <c r="R380" i="1"/>
  <c r="Q380" i="1"/>
  <c r="P380" i="1"/>
  <c r="O380" i="1"/>
  <c r="M380" i="1"/>
  <c r="N380" i="1" s="1"/>
  <c r="Y380" i="1" s="1"/>
  <c r="L380" i="1"/>
  <c r="T380" i="1" s="1"/>
  <c r="X379" i="1"/>
  <c r="W379" i="1"/>
  <c r="V379" i="1"/>
  <c r="U379" i="1"/>
  <c r="S379" i="1"/>
  <c r="R379" i="1"/>
  <c r="Q379" i="1"/>
  <c r="P379" i="1"/>
  <c r="O379" i="1"/>
  <c r="N379" i="1"/>
  <c r="M379" i="1"/>
  <c r="L379" i="1"/>
  <c r="T379" i="1" s="1"/>
  <c r="X378" i="1"/>
  <c r="W378" i="1"/>
  <c r="V378" i="1"/>
  <c r="U378" i="1"/>
  <c r="T378" i="1"/>
  <c r="S378" i="1"/>
  <c r="R378" i="1"/>
  <c r="Q378" i="1"/>
  <c r="Y378" i="1" s="1"/>
  <c r="P378" i="1"/>
  <c r="O378" i="1"/>
  <c r="M378" i="1"/>
  <c r="N378" i="1" s="1"/>
  <c r="L378" i="1"/>
  <c r="X377" i="1"/>
  <c r="W377" i="1"/>
  <c r="V377" i="1"/>
  <c r="U377" i="1"/>
  <c r="S377" i="1"/>
  <c r="R377" i="1"/>
  <c r="Q377" i="1"/>
  <c r="P377" i="1"/>
  <c r="O377" i="1"/>
  <c r="M377" i="1"/>
  <c r="N377" i="1" s="1"/>
  <c r="L377" i="1"/>
  <c r="T377" i="1" s="1"/>
  <c r="X376" i="1"/>
  <c r="W376" i="1"/>
  <c r="V376" i="1"/>
  <c r="U376" i="1"/>
  <c r="S376" i="1"/>
  <c r="R376" i="1"/>
  <c r="Q376" i="1"/>
  <c r="P376" i="1"/>
  <c r="O376" i="1"/>
  <c r="M376" i="1"/>
  <c r="N376" i="1" s="1"/>
  <c r="L376" i="1"/>
  <c r="T376" i="1" s="1"/>
  <c r="X375" i="1"/>
  <c r="W375" i="1"/>
  <c r="V375" i="1"/>
  <c r="U375" i="1"/>
  <c r="S375" i="1"/>
  <c r="R375" i="1"/>
  <c r="Q375" i="1"/>
  <c r="P375" i="1"/>
  <c r="O375" i="1"/>
  <c r="N375" i="1"/>
  <c r="Y375" i="1" s="1"/>
  <c r="M375" i="1"/>
  <c r="L375" i="1"/>
  <c r="T375" i="1" s="1"/>
  <c r="X374" i="1"/>
  <c r="W374" i="1"/>
  <c r="V374" i="1"/>
  <c r="U374" i="1"/>
  <c r="T374" i="1"/>
  <c r="S374" i="1"/>
  <c r="R374" i="1"/>
  <c r="Q374" i="1"/>
  <c r="P374" i="1"/>
  <c r="O374" i="1"/>
  <c r="M374" i="1"/>
  <c r="N374" i="1" s="1"/>
  <c r="Y374" i="1" s="1"/>
  <c r="L374" i="1"/>
  <c r="X373" i="1"/>
  <c r="W373" i="1"/>
  <c r="V373" i="1"/>
  <c r="U373" i="1"/>
  <c r="S373" i="1"/>
  <c r="R373" i="1"/>
  <c r="Q373" i="1"/>
  <c r="P373" i="1"/>
  <c r="Y373" i="1" s="1"/>
  <c r="O373" i="1"/>
  <c r="M373" i="1"/>
  <c r="N373" i="1" s="1"/>
  <c r="L373" i="1"/>
  <c r="T373" i="1" s="1"/>
  <c r="X372" i="1"/>
  <c r="W372" i="1"/>
  <c r="V372" i="1"/>
  <c r="U372" i="1"/>
  <c r="S372" i="1"/>
  <c r="R372" i="1"/>
  <c r="Q372" i="1"/>
  <c r="P372" i="1"/>
  <c r="O372" i="1"/>
  <c r="N372" i="1"/>
  <c r="Y372" i="1" s="1"/>
  <c r="M372" i="1"/>
  <c r="L372" i="1"/>
  <c r="T372" i="1" s="1"/>
  <c r="X371" i="1"/>
  <c r="W371" i="1"/>
  <c r="V371" i="1"/>
  <c r="U371" i="1"/>
  <c r="S371" i="1"/>
  <c r="R371" i="1"/>
  <c r="Q371" i="1"/>
  <c r="P371" i="1"/>
  <c r="O371" i="1"/>
  <c r="N371" i="1"/>
  <c r="Y371" i="1" s="1"/>
  <c r="M371" i="1"/>
  <c r="L371" i="1"/>
  <c r="T371" i="1" s="1"/>
  <c r="X370" i="1"/>
  <c r="W370" i="1"/>
  <c r="V370" i="1"/>
  <c r="U370" i="1"/>
  <c r="T370" i="1"/>
  <c r="S370" i="1"/>
  <c r="R370" i="1"/>
  <c r="Q370" i="1"/>
  <c r="Y370" i="1" s="1"/>
  <c r="P370" i="1"/>
  <c r="O370" i="1"/>
  <c r="M370" i="1"/>
  <c r="N370" i="1" s="1"/>
  <c r="L370" i="1"/>
  <c r="X369" i="1"/>
  <c r="W369" i="1"/>
  <c r="V369" i="1"/>
  <c r="U369" i="1"/>
  <c r="S369" i="1"/>
  <c r="R369" i="1"/>
  <c r="Q369" i="1"/>
  <c r="P369" i="1"/>
  <c r="Y369" i="1" s="1"/>
  <c r="O369" i="1"/>
  <c r="M369" i="1"/>
  <c r="N369" i="1" s="1"/>
  <c r="L369" i="1"/>
  <c r="T369" i="1" s="1"/>
  <c r="X368" i="1"/>
  <c r="W368" i="1"/>
  <c r="V368" i="1"/>
  <c r="U368" i="1"/>
  <c r="S368" i="1"/>
  <c r="R368" i="1"/>
  <c r="Q368" i="1"/>
  <c r="P368" i="1"/>
  <c r="O368" i="1"/>
  <c r="M368" i="1"/>
  <c r="N368" i="1" s="1"/>
  <c r="L368" i="1"/>
  <c r="T368" i="1" s="1"/>
  <c r="Y367" i="1"/>
  <c r="X367" i="1"/>
  <c r="W367" i="1"/>
  <c r="V367" i="1"/>
  <c r="U367" i="1"/>
  <c r="S367" i="1"/>
  <c r="R367" i="1"/>
  <c r="Q367" i="1"/>
  <c r="P367" i="1"/>
  <c r="O367" i="1"/>
  <c r="N367" i="1"/>
  <c r="M367" i="1"/>
  <c r="L367" i="1"/>
  <c r="T367" i="1" s="1"/>
  <c r="X366" i="1"/>
  <c r="W366" i="1"/>
  <c r="V366" i="1"/>
  <c r="U366" i="1"/>
  <c r="S366" i="1"/>
  <c r="R366" i="1"/>
  <c r="Q366" i="1"/>
  <c r="P366" i="1"/>
  <c r="O366" i="1"/>
  <c r="M366" i="1"/>
  <c r="N366" i="1" s="1"/>
  <c r="L366" i="1"/>
  <c r="T366" i="1" s="1"/>
  <c r="X365" i="1"/>
  <c r="W365" i="1"/>
  <c r="V365" i="1"/>
  <c r="U365" i="1"/>
  <c r="S365" i="1"/>
  <c r="R365" i="1"/>
  <c r="Q365" i="1"/>
  <c r="P365" i="1"/>
  <c r="Y365" i="1" s="1"/>
  <c r="O365" i="1"/>
  <c r="M365" i="1"/>
  <c r="N365" i="1" s="1"/>
  <c r="L365" i="1"/>
  <c r="T365" i="1" s="1"/>
  <c r="X364" i="1"/>
  <c r="W364" i="1"/>
  <c r="V364" i="1"/>
  <c r="U364" i="1"/>
  <c r="S364" i="1"/>
  <c r="R364" i="1"/>
  <c r="Q364" i="1"/>
  <c r="P364" i="1"/>
  <c r="O364" i="1"/>
  <c r="M364" i="1"/>
  <c r="N364" i="1" s="1"/>
  <c r="Y364" i="1" s="1"/>
  <c r="L364" i="1"/>
  <c r="T364" i="1" s="1"/>
  <c r="X363" i="1"/>
  <c r="W363" i="1"/>
  <c r="V363" i="1"/>
  <c r="U363" i="1"/>
  <c r="S363" i="1"/>
  <c r="R363" i="1"/>
  <c r="Q363" i="1"/>
  <c r="P363" i="1"/>
  <c r="O363" i="1"/>
  <c r="M363" i="1"/>
  <c r="N363" i="1" s="1"/>
  <c r="L363" i="1"/>
  <c r="T363" i="1" s="1"/>
  <c r="X362" i="1"/>
  <c r="W362" i="1"/>
  <c r="V362" i="1"/>
  <c r="U362" i="1"/>
  <c r="T362" i="1"/>
  <c r="S362" i="1"/>
  <c r="R362" i="1"/>
  <c r="Q362" i="1"/>
  <c r="Y362" i="1" s="1"/>
  <c r="P362" i="1"/>
  <c r="O362" i="1"/>
  <c r="M362" i="1"/>
  <c r="N362" i="1" s="1"/>
  <c r="L362" i="1"/>
  <c r="X361" i="1"/>
  <c r="W361" i="1"/>
  <c r="V361" i="1"/>
  <c r="U361" i="1"/>
  <c r="S361" i="1"/>
  <c r="R361" i="1"/>
  <c r="Q361" i="1"/>
  <c r="P361" i="1"/>
  <c r="O361" i="1"/>
  <c r="M361" i="1"/>
  <c r="N361" i="1" s="1"/>
  <c r="Y361" i="1" s="1"/>
  <c r="L361" i="1"/>
  <c r="T361" i="1" s="1"/>
  <c r="X360" i="1"/>
  <c r="W360" i="1"/>
  <c r="V360" i="1"/>
  <c r="U360" i="1"/>
  <c r="S360" i="1"/>
  <c r="R360" i="1"/>
  <c r="Q360" i="1"/>
  <c r="P360" i="1"/>
  <c r="Y360" i="1" s="1"/>
  <c r="O360" i="1"/>
  <c r="M360" i="1"/>
  <c r="N360" i="1" s="1"/>
  <c r="L360" i="1"/>
  <c r="T360" i="1" s="1"/>
  <c r="X359" i="1"/>
  <c r="W359" i="1"/>
  <c r="V359" i="1"/>
  <c r="U359" i="1"/>
  <c r="S359" i="1"/>
  <c r="R359" i="1"/>
  <c r="Q359" i="1"/>
  <c r="P359" i="1"/>
  <c r="O359" i="1"/>
  <c r="N359" i="1"/>
  <c r="M359" i="1"/>
  <c r="L359" i="1"/>
  <c r="T359" i="1" s="1"/>
  <c r="X358" i="1"/>
  <c r="W358" i="1"/>
  <c r="V358" i="1"/>
  <c r="U358" i="1"/>
  <c r="T358" i="1"/>
  <c r="S358" i="1"/>
  <c r="R358" i="1"/>
  <c r="Q358" i="1"/>
  <c r="P358" i="1"/>
  <c r="O358" i="1"/>
  <c r="M358" i="1"/>
  <c r="N358" i="1" s="1"/>
  <c r="Y358" i="1" s="1"/>
  <c r="L358" i="1"/>
  <c r="X357" i="1"/>
  <c r="W357" i="1"/>
  <c r="V357" i="1"/>
  <c r="U357" i="1"/>
  <c r="S357" i="1"/>
  <c r="R357" i="1"/>
  <c r="Q357" i="1"/>
  <c r="P357" i="1"/>
  <c r="Y357" i="1" s="1"/>
  <c r="O357" i="1"/>
  <c r="M357" i="1"/>
  <c r="N357" i="1" s="1"/>
  <c r="L357" i="1"/>
  <c r="T357" i="1" s="1"/>
  <c r="X356" i="1"/>
  <c r="W356" i="1"/>
  <c r="V356" i="1"/>
  <c r="U356" i="1"/>
  <c r="S356" i="1"/>
  <c r="R356" i="1"/>
  <c r="Q356" i="1"/>
  <c r="P356" i="1"/>
  <c r="O356" i="1"/>
  <c r="N356" i="1"/>
  <c r="Y356" i="1" s="1"/>
  <c r="M356" i="1"/>
  <c r="L356" i="1"/>
  <c r="T356" i="1" s="1"/>
  <c r="X355" i="1"/>
  <c r="W355" i="1"/>
  <c r="V355" i="1"/>
  <c r="U355" i="1"/>
  <c r="S355" i="1"/>
  <c r="R355" i="1"/>
  <c r="Q355" i="1"/>
  <c r="P355" i="1"/>
  <c r="O355" i="1"/>
  <c r="N355" i="1"/>
  <c r="Y355" i="1" s="1"/>
  <c r="M355" i="1"/>
  <c r="L355" i="1"/>
  <c r="T355" i="1" s="1"/>
  <c r="X354" i="1"/>
  <c r="W354" i="1"/>
  <c r="V354" i="1"/>
  <c r="U354" i="1"/>
  <c r="T354" i="1"/>
  <c r="S354" i="1"/>
  <c r="R354" i="1"/>
  <c r="Q354" i="1"/>
  <c r="Y354" i="1" s="1"/>
  <c r="P354" i="1"/>
  <c r="O354" i="1"/>
  <c r="M354" i="1"/>
  <c r="N354" i="1" s="1"/>
  <c r="L354" i="1"/>
  <c r="X353" i="1"/>
  <c r="W353" i="1"/>
  <c r="V353" i="1"/>
  <c r="U353" i="1"/>
  <c r="S353" i="1"/>
  <c r="R353" i="1"/>
  <c r="Q353" i="1"/>
  <c r="P353" i="1"/>
  <c r="Y353" i="1" s="1"/>
  <c r="O353" i="1"/>
  <c r="M353" i="1"/>
  <c r="N353" i="1" s="1"/>
  <c r="L353" i="1"/>
  <c r="T353" i="1" s="1"/>
  <c r="X352" i="1"/>
  <c r="W352" i="1"/>
  <c r="V352" i="1"/>
  <c r="U352" i="1"/>
  <c r="S352" i="1"/>
  <c r="R352" i="1"/>
  <c r="Q352" i="1"/>
  <c r="P352" i="1"/>
  <c r="O352" i="1"/>
  <c r="M352" i="1"/>
  <c r="N352" i="1" s="1"/>
  <c r="L352" i="1"/>
  <c r="T352" i="1" s="1"/>
  <c r="Y351" i="1"/>
  <c r="X351" i="1"/>
  <c r="W351" i="1"/>
  <c r="V351" i="1"/>
  <c r="U351" i="1"/>
  <c r="S351" i="1"/>
  <c r="R351" i="1"/>
  <c r="Q351" i="1"/>
  <c r="P351" i="1"/>
  <c r="O351" i="1"/>
  <c r="N351" i="1"/>
  <c r="M351" i="1"/>
  <c r="L351" i="1"/>
  <c r="T351" i="1" s="1"/>
  <c r="X350" i="1"/>
  <c r="W350" i="1"/>
  <c r="V350" i="1"/>
  <c r="U350" i="1"/>
  <c r="S350" i="1"/>
  <c r="R350" i="1"/>
  <c r="Q350" i="1"/>
  <c r="P350" i="1"/>
  <c r="O350" i="1"/>
  <c r="M350" i="1"/>
  <c r="N350" i="1" s="1"/>
  <c r="L350" i="1"/>
  <c r="T350" i="1" s="1"/>
  <c r="X349" i="1"/>
  <c r="W349" i="1"/>
  <c r="V349" i="1"/>
  <c r="U349" i="1"/>
  <c r="S349" i="1"/>
  <c r="R349" i="1"/>
  <c r="Q349" i="1"/>
  <c r="P349" i="1"/>
  <c r="Y349" i="1" s="1"/>
  <c r="O349" i="1"/>
  <c r="M349" i="1"/>
  <c r="N349" i="1" s="1"/>
  <c r="L349" i="1"/>
  <c r="T349" i="1" s="1"/>
  <c r="X348" i="1"/>
  <c r="W348" i="1"/>
  <c r="V348" i="1"/>
  <c r="U348" i="1"/>
  <c r="S348" i="1"/>
  <c r="R348" i="1"/>
  <c r="Q348" i="1"/>
  <c r="P348" i="1"/>
  <c r="O348" i="1"/>
  <c r="M348" i="1"/>
  <c r="N348" i="1" s="1"/>
  <c r="Y348" i="1" s="1"/>
  <c r="L348" i="1"/>
  <c r="T348" i="1" s="1"/>
  <c r="X347" i="1"/>
  <c r="W347" i="1"/>
  <c r="V347" i="1"/>
  <c r="U347" i="1"/>
  <c r="S347" i="1"/>
  <c r="R347" i="1"/>
  <c r="Q347" i="1"/>
  <c r="P347" i="1"/>
  <c r="O347" i="1"/>
  <c r="M347" i="1"/>
  <c r="N347" i="1" s="1"/>
  <c r="L347" i="1"/>
  <c r="T347" i="1" s="1"/>
  <c r="X346" i="1"/>
  <c r="W346" i="1"/>
  <c r="V346" i="1"/>
  <c r="U346" i="1"/>
  <c r="T346" i="1"/>
  <c r="S346" i="1"/>
  <c r="R346" i="1"/>
  <c r="Q346" i="1"/>
  <c r="Y346" i="1" s="1"/>
  <c r="P346" i="1"/>
  <c r="O346" i="1"/>
  <c r="M346" i="1"/>
  <c r="N346" i="1" s="1"/>
  <c r="L346" i="1"/>
  <c r="X345" i="1"/>
  <c r="W345" i="1"/>
  <c r="V345" i="1"/>
  <c r="U345" i="1"/>
  <c r="S345" i="1"/>
  <c r="R345" i="1"/>
  <c r="Q345" i="1"/>
  <c r="P345" i="1"/>
  <c r="O345" i="1"/>
  <c r="M345" i="1"/>
  <c r="N345" i="1" s="1"/>
  <c r="Y345" i="1" s="1"/>
  <c r="L345" i="1"/>
  <c r="T345" i="1" s="1"/>
  <c r="X344" i="1"/>
  <c r="W344" i="1"/>
  <c r="V344" i="1"/>
  <c r="U344" i="1"/>
  <c r="S344" i="1"/>
  <c r="R344" i="1"/>
  <c r="Q344" i="1"/>
  <c r="P344" i="1"/>
  <c r="O344" i="1"/>
  <c r="N344" i="1"/>
  <c r="M344" i="1"/>
  <c r="L344" i="1"/>
  <c r="T344" i="1" s="1"/>
  <c r="X343" i="1"/>
  <c r="W343" i="1"/>
  <c r="V343" i="1"/>
  <c r="U343" i="1"/>
  <c r="T343" i="1"/>
  <c r="S343" i="1"/>
  <c r="R343" i="1"/>
  <c r="Q343" i="1"/>
  <c r="P343" i="1"/>
  <c r="O343" i="1"/>
  <c r="M343" i="1"/>
  <c r="N343" i="1" s="1"/>
  <c r="L343" i="1"/>
  <c r="X342" i="1"/>
  <c r="W342" i="1"/>
  <c r="V342" i="1"/>
  <c r="U342" i="1"/>
  <c r="S342" i="1"/>
  <c r="R342" i="1"/>
  <c r="Q342" i="1"/>
  <c r="P342" i="1"/>
  <c r="Y342" i="1" s="1"/>
  <c r="O342" i="1"/>
  <c r="N342" i="1"/>
  <c r="M342" i="1"/>
  <c r="L342" i="1"/>
  <c r="T342" i="1" s="1"/>
  <c r="X341" i="1"/>
  <c r="W341" i="1"/>
  <c r="V341" i="1"/>
  <c r="U341" i="1"/>
  <c r="S341" i="1"/>
  <c r="R341" i="1"/>
  <c r="Q341" i="1"/>
  <c r="P341" i="1"/>
  <c r="O341" i="1"/>
  <c r="N341" i="1"/>
  <c r="M341" i="1"/>
  <c r="L341" i="1"/>
  <c r="T341" i="1" s="1"/>
  <c r="X340" i="1"/>
  <c r="W340" i="1"/>
  <c r="V340" i="1"/>
  <c r="U340" i="1"/>
  <c r="S340" i="1"/>
  <c r="R340" i="1"/>
  <c r="Q340" i="1"/>
  <c r="P340" i="1"/>
  <c r="O340" i="1"/>
  <c r="M340" i="1"/>
  <c r="N340" i="1" s="1"/>
  <c r="L340" i="1"/>
  <c r="T340" i="1" s="1"/>
  <c r="X339" i="1"/>
  <c r="W339" i="1"/>
  <c r="V339" i="1"/>
  <c r="U339" i="1"/>
  <c r="T339" i="1"/>
  <c r="S339" i="1"/>
  <c r="R339" i="1"/>
  <c r="Q339" i="1"/>
  <c r="Y339" i="1" s="1"/>
  <c r="P339" i="1"/>
  <c r="O339" i="1"/>
  <c r="M339" i="1"/>
  <c r="N339" i="1" s="1"/>
  <c r="L339" i="1"/>
  <c r="X338" i="1"/>
  <c r="W338" i="1"/>
  <c r="V338" i="1"/>
  <c r="U338" i="1"/>
  <c r="S338" i="1"/>
  <c r="R338" i="1"/>
  <c r="Q338" i="1"/>
  <c r="P338" i="1"/>
  <c r="O338" i="1"/>
  <c r="Y338" i="1" s="1"/>
  <c r="N338" i="1"/>
  <c r="M338" i="1"/>
  <c r="L338" i="1"/>
  <c r="T338" i="1" s="1"/>
  <c r="X337" i="1"/>
  <c r="W337" i="1"/>
  <c r="V337" i="1"/>
  <c r="U337" i="1"/>
  <c r="T337" i="1"/>
  <c r="S337" i="1"/>
  <c r="R337" i="1"/>
  <c r="Q337" i="1"/>
  <c r="P337" i="1"/>
  <c r="O337" i="1"/>
  <c r="M337" i="1"/>
  <c r="N337" i="1" s="1"/>
  <c r="L337" i="1"/>
  <c r="X336" i="1"/>
  <c r="W336" i="1"/>
  <c r="V336" i="1"/>
  <c r="U336" i="1"/>
  <c r="S336" i="1"/>
  <c r="R336" i="1"/>
  <c r="Q336" i="1"/>
  <c r="P336" i="1"/>
  <c r="O336" i="1"/>
  <c r="N336" i="1"/>
  <c r="Y336" i="1" s="1"/>
  <c r="M336" i="1"/>
  <c r="L336" i="1"/>
  <c r="T336" i="1" s="1"/>
  <c r="X335" i="1"/>
  <c r="W335" i="1"/>
  <c r="V335" i="1"/>
  <c r="U335" i="1"/>
  <c r="T335" i="1"/>
  <c r="S335" i="1"/>
  <c r="R335" i="1"/>
  <c r="Q335" i="1"/>
  <c r="P335" i="1"/>
  <c r="O335" i="1"/>
  <c r="M335" i="1"/>
  <c r="N335" i="1" s="1"/>
  <c r="L335" i="1"/>
  <c r="X334" i="1"/>
  <c r="W334" i="1"/>
  <c r="V334" i="1"/>
  <c r="U334" i="1"/>
  <c r="S334" i="1"/>
  <c r="R334" i="1"/>
  <c r="Q334" i="1"/>
  <c r="P334" i="1"/>
  <c r="Y334" i="1" s="1"/>
  <c r="O334" i="1"/>
  <c r="N334" i="1"/>
  <c r="M334" i="1"/>
  <c r="L334" i="1"/>
  <c r="T334" i="1" s="1"/>
  <c r="X333" i="1"/>
  <c r="W333" i="1"/>
  <c r="V333" i="1"/>
  <c r="U333" i="1"/>
  <c r="S333" i="1"/>
  <c r="R333" i="1"/>
  <c r="Q333" i="1"/>
  <c r="P333" i="1"/>
  <c r="O333" i="1"/>
  <c r="M333" i="1"/>
  <c r="N333" i="1" s="1"/>
  <c r="Y333" i="1" s="1"/>
  <c r="L333" i="1"/>
  <c r="T333" i="1" s="1"/>
  <c r="X332" i="1"/>
  <c r="W332" i="1"/>
  <c r="V332" i="1"/>
  <c r="U332" i="1"/>
  <c r="S332" i="1"/>
  <c r="R332" i="1"/>
  <c r="Q332" i="1"/>
  <c r="P332" i="1"/>
  <c r="O332" i="1"/>
  <c r="M332" i="1"/>
  <c r="N332" i="1" s="1"/>
  <c r="L332" i="1"/>
  <c r="T332" i="1" s="1"/>
  <c r="X331" i="1"/>
  <c r="W331" i="1"/>
  <c r="V331" i="1"/>
  <c r="U331" i="1"/>
  <c r="T331" i="1"/>
  <c r="S331" i="1"/>
  <c r="R331" i="1"/>
  <c r="Q331" i="1"/>
  <c r="P331" i="1"/>
  <c r="Y331" i="1" s="1"/>
  <c r="O331" i="1"/>
  <c r="M331" i="1"/>
  <c r="N331" i="1" s="1"/>
  <c r="L331" i="1"/>
  <c r="X330" i="1"/>
  <c r="W330" i="1"/>
  <c r="V330" i="1"/>
  <c r="U330" i="1"/>
  <c r="S330" i="1"/>
  <c r="R330" i="1"/>
  <c r="Q330" i="1"/>
  <c r="P330" i="1"/>
  <c r="O330" i="1"/>
  <c r="N330" i="1"/>
  <c r="Y330" i="1" s="1"/>
  <c r="M330" i="1"/>
  <c r="L330" i="1"/>
  <c r="T330" i="1" s="1"/>
  <c r="X329" i="1"/>
  <c r="W329" i="1"/>
  <c r="V329" i="1"/>
  <c r="U329" i="1"/>
  <c r="T329" i="1"/>
  <c r="S329" i="1"/>
  <c r="R329" i="1"/>
  <c r="Q329" i="1"/>
  <c r="P329" i="1"/>
  <c r="O329" i="1"/>
  <c r="M329" i="1"/>
  <c r="N329" i="1" s="1"/>
  <c r="Y329" i="1" s="1"/>
  <c r="L329" i="1"/>
  <c r="X328" i="1"/>
  <c r="W328" i="1"/>
  <c r="V328" i="1"/>
  <c r="U328" i="1"/>
  <c r="S328" i="1"/>
  <c r="R328" i="1"/>
  <c r="Q328" i="1"/>
  <c r="P328" i="1"/>
  <c r="O328" i="1"/>
  <c r="N328" i="1"/>
  <c r="M328" i="1"/>
  <c r="L328" i="1"/>
  <c r="T328" i="1" s="1"/>
  <c r="X327" i="1"/>
  <c r="W327" i="1"/>
  <c r="V327" i="1"/>
  <c r="U327" i="1"/>
  <c r="T327" i="1"/>
  <c r="S327" i="1"/>
  <c r="R327" i="1"/>
  <c r="Q327" i="1"/>
  <c r="P327" i="1"/>
  <c r="O327" i="1"/>
  <c r="M327" i="1"/>
  <c r="N327" i="1" s="1"/>
  <c r="L327" i="1"/>
  <c r="X326" i="1"/>
  <c r="W326" i="1"/>
  <c r="V326" i="1"/>
  <c r="U326" i="1"/>
  <c r="S326" i="1"/>
  <c r="R326" i="1"/>
  <c r="Q326" i="1"/>
  <c r="P326" i="1"/>
  <c r="Y326" i="1" s="1"/>
  <c r="O326" i="1"/>
  <c r="N326" i="1"/>
  <c r="M326" i="1"/>
  <c r="L326" i="1"/>
  <c r="T326" i="1" s="1"/>
  <c r="X325" i="1"/>
  <c r="W325" i="1"/>
  <c r="V325" i="1"/>
  <c r="U325" i="1"/>
  <c r="S325" i="1"/>
  <c r="R325" i="1"/>
  <c r="Q325" i="1"/>
  <c r="P325" i="1"/>
  <c r="O325" i="1"/>
  <c r="N325" i="1"/>
  <c r="M325" i="1"/>
  <c r="L325" i="1"/>
  <c r="T325" i="1" s="1"/>
  <c r="X324" i="1"/>
  <c r="W324" i="1"/>
  <c r="V324" i="1"/>
  <c r="U324" i="1"/>
  <c r="S324" i="1"/>
  <c r="R324" i="1"/>
  <c r="Q324" i="1"/>
  <c r="P324" i="1"/>
  <c r="O324" i="1"/>
  <c r="M324" i="1"/>
  <c r="N324" i="1" s="1"/>
  <c r="L324" i="1"/>
  <c r="T324" i="1" s="1"/>
  <c r="X323" i="1"/>
  <c r="W323" i="1"/>
  <c r="V323" i="1"/>
  <c r="U323" i="1"/>
  <c r="T323" i="1"/>
  <c r="S323" i="1"/>
  <c r="R323" i="1"/>
  <c r="Q323" i="1"/>
  <c r="Y323" i="1" s="1"/>
  <c r="P323" i="1"/>
  <c r="O323" i="1"/>
  <c r="M323" i="1"/>
  <c r="N323" i="1" s="1"/>
  <c r="L323" i="1"/>
  <c r="X322" i="1"/>
  <c r="W322" i="1"/>
  <c r="V322" i="1"/>
  <c r="U322" i="1"/>
  <c r="S322" i="1"/>
  <c r="R322" i="1"/>
  <c r="Q322" i="1"/>
  <c r="P322" i="1"/>
  <c r="O322" i="1"/>
  <c r="Y322" i="1" s="1"/>
  <c r="N322" i="1"/>
  <c r="M322" i="1"/>
  <c r="L322" i="1"/>
  <c r="T322" i="1" s="1"/>
  <c r="X321" i="1"/>
  <c r="W321" i="1"/>
  <c r="V321" i="1"/>
  <c r="U321" i="1"/>
  <c r="T321" i="1"/>
  <c r="S321" i="1"/>
  <c r="R321" i="1"/>
  <c r="Q321" i="1"/>
  <c r="P321" i="1"/>
  <c r="O321" i="1"/>
  <c r="M321" i="1"/>
  <c r="N321" i="1" s="1"/>
  <c r="L321" i="1"/>
  <c r="X320" i="1"/>
  <c r="W320" i="1"/>
  <c r="V320" i="1"/>
  <c r="U320" i="1"/>
  <c r="S320" i="1"/>
  <c r="R320" i="1"/>
  <c r="Q320" i="1"/>
  <c r="P320" i="1"/>
  <c r="O320" i="1"/>
  <c r="N320" i="1"/>
  <c r="Y320" i="1" s="1"/>
  <c r="M320" i="1"/>
  <c r="L320" i="1"/>
  <c r="T320" i="1" s="1"/>
  <c r="X319" i="1"/>
  <c r="W319" i="1"/>
  <c r="V319" i="1"/>
  <c r="U319" i="1"/>
  <c r="T319" i="1"/>
  <c r="S319" i="1"/>
  <c r="R319" i="1"/>
  <c r="Q319" i="1"/>
  <c r="P319" i="1"/>
  <c r="O319" i="1"/>
  <c r="M319" i="1"/>
  <c r="N319" i="1" s="1"/>
  <c r="L319" i="1"/>
  <c r="X318" i="1"/>
  <c r="W318" i="1"/>
  <c r="V318" i="1"/>
  <c r="U318" i="1"/>
  <c r="S318" i="1"/>
  <c r="R318" i="1"/>
  <c r="Q318" i="1"/>
  <c r="P318" i="1"/>
  <c r="Y318" i="1" s="1"/>
  <c r="O318" i="1"/>
  <c r="N318" i="1"/>
  <c r="M318" i="1"/>
  <c r="L318" i="1"/>
  <c r="T318" i="1" s="1"/>
  <c r="X317" i="1"/>
  <c r="W317" i="1"/>
  <c r="V317" i="1"/>
  <c r="U317" i="1"/>
  <c r="S317" i="1"/>
  <c r="R317" i="1"/>
  <c r="Q317" i="1"/>
  <c r="P317" i="1"/>
  <c r="O317" i="1"/>
  <c r="M317" i="1"/>
  <c r="N317" i="1" s="1"/>
  <c r="Y317" i="1" s="1"/>
  <c r="L317" i="1"/>
  <c r="T317" i="1" s="1"/>
  <c r="X316" i="1"/>
  <c r="W316" i="1"/>
  <c r="V316" i="1"/>
  <c r="U316" i="1"/>
  <c r="S316" i="1"/>
  <c r="R316" i="1"/>
  <c r="Q316" i="1"/>
  <c r="P316" i="1"/>
  <c r="O316" i="1"/>
  <c r="M316" i="1"/>
  <c r="N316" i="1" s="1"/>
  <c r="L316" i="1"/>
  <c r="T316" i="1" s="1"/>
  <c r="X315" i="1"/>
  <c r="W315" i="1"/>
  <c r="V315" i="1"/>
  <c r="U315" i="1"/>
  <c r="T315" i="1"/>
  <c r="S315" i="1"/>
  <c r="R315" i="1"/>
  <c r="Q315" i="1"/>
  <c r="P315" i="1"/>
  <c r="Y315" i="1" s="1"/>
  <c r="O315" i="1"/>
  <c r="M315" i="1"/>
  <c r="N315" i="1" s="1"/>
  <c r="L315" i="1"/>
  <c r="X314" i="1"/>
  <c r="W314" i="1"/>
  <c r="V314" i="1"/>
  <c r="U314" i="1"/>
  <c r="S314" i="1"/>
  <c r="R314" i="1"/>
  <c r="Q314" i="1"/>
  <c r="P314" i="1"/>
  <c r="O314" i="1"/>
  <c r="N314" i="1"/>
  <c r="Y314" i="1" s="1"/>
  <c r="M314" i="1"/>
  <c r="L314" i="1"/>
  <c r="T314" i="1" s="1"/>
  <c r="X313" i="1"/>
  <c r="W313" i="1"/>
  <c r="V313" i="1"/>
  <c r="U313" i="1"/>
  <c r="T313" i="1"/>
  <c r="S313" i="1"/>
  <c r="R313" i="1"/>
  <c r="Q313" i="1"/>
  <c r="P313" i="1"/>
  <c r="O313" i="1"/>
  <c r="M313" i="1"/>
  <c r="N313" i="1" s="1"/>
  <c r="Y313" i="1" s="1"/>
  <c r="L313" i="1"/>
  <c r="X312" i="1"/>
  <c r="W312" i="1"/>
  <c r="V312" i="1"/>
  <c r="U312" i="1"/>
  <c r="S312" i="1"/>
  <c r="R312" i="1"/>
  <c r="Q312" i="1"/>
  <c r="P312" i="1"/>
  <c r="O312" i="1"/>
  <c r="N312" i="1"/>
  <c r="M312" i="1"/>
  <c r="L312" i="1"/>
  <c r="T312" i="1" s="1"/>
  <c r="X311" i="1"/>
  <c r="W311" i="1"/>
  <c r="V311" i="1"/>
  <c r="U311" i="1"/>
  <c r="T311" i="1"/>
  <c r="S311" i="1"/>
  <c r="R311" i="1"/>
  <c r="Q311" i="1"/>
  <c r="P311" i="1"/>
  <c r="O311" i="1"/>
  <c r="M311" i="1"/>
  <c r="N311" i="1" s="1"/>
  <c r="L311" i="1"/>
  <c r="X310" i="1"/>
  <c r="W310" i="1"/>
  <c r="V310" i="1"/>
  <c r="U310" i="1"/>
  <c r="S310" i="1"/>
  <c r="R310" i="1"/>
  <c r="Q310" i="1"/>
  <c r="P310" i="1"/>
  <c r="Y310" i="1" s="1"/>
  <c r="O310" i="1"/>
  <c r="N310" i="1"/>
  <c r="M310" i="1"/>
  <c r="L310" i="1"/>
  <c r="T310" i="1" s="1"/>
  <c r="X309" i="1"/>
  <c r="W309" i="1"/>
  <c r="V309" i="1"/>
  <c r="U309" i="1"/>
  <c r="S309" i="1"/>
  <c r="R309" i="1"/>
  <c r="Q309" i="1"/>
  <c r="P309" i="1"/>
  <c r="O309" i="1"/>
  <c r="N309" i="1"/>
  <c r="M309" i="1"/>
  <c r="L309" i="1"/>
  <c r="T309" i="1" s="1"/>
  <c r="X308" i="1"/>
  <c r="W308" i="1"/>
  <c r="V308" i="1"/>
  <c r="U308" i="1"/>
  <c r="S308" i="1"/>
  <c r="R308" i="1"/>
  <c r="Q308" i="1"/>
  <c r="P308" i="1"/>
  <c r="O308" i="1"/>
  <c r="M308" i="1"/>
  <c r="N308" i="1" s="1"/>
  <c r="L308" i="1"/>
  <c r="T308" i="1" s="1"/>
  <c r="X307" i="1"/>
  <c r="W307" i="1"/>
  <c r="V307" i="1"/>
  <c r="U307" i="1"/>
  <c r="T307" i="1"/>
  <c r="S307" i="1"/>
  <c r="R307" i="1"/>
  <c r="Q307" i="1"/>
  <c r="Y307" i="1" s="1"/>
  <c r="P307" i="1"/>
  <c r="O307" i="1"/>
  <c r="M307" i="1"/>
  <c r="N307" i="1" s="1"/>
  <c r="L307" i="1"/>
  <c r="X306" i="1"/>
  <c r="W306" i="1"/>
  <c r="V306" i="1"/>
  <c r="U306" i="1"/>
  <c r="S306" i="1"/>
  <c r="R306" i="1"/>
  <c r="Q306" i="1"/>
  <c r="P306" i="1"/>
  <c r="O306" i="1"/>
  <c r="Y306" i="1" s="1"/>
  <c r="N306" i="1"/>
  <c r="M306" i="1"/>
  <c r="L306" i="1"/>
  <c r="T306" i="1" s="1"/>
  <c r="X305" i="1"/>
  <c r="W305" i="1"/>
  <c r="V305" i="1"/>
  <c r="U305" i="1"/>
  <c r="T305" i="1"/>
  <c r="S305" i="1"/>
  <c r="R305" i="1"/>
  <c r="Q305" i="1"/>
  <c r="P305" i="1"/>
  <c r="O305" i="1"/>
  <c r="M305" i="1"/>
  <c r="N305" i="1" s="1"/>
  <c r="L305" i="1"/>
  <c r="X304" i="1"/>
  <c r="W304" i="1"/>
  <c r="V304" i="1"/>
  <c r="U304" i="1"/>
  <c r="S304" i="1"/>
  <c r="R304" i="1"/>
  <c r="Q304" i="1"/>
  <c r="P304" i="1"/>
  <c r="O304" i="1"/>
  <c r="N304" i="1"/>
  <c r="Y304" i="1" s="1"/>
  <c r="M304" i="1"/>
  <c r="L304" i="1"/>
  <c r="T304" i="1" s="1"/>
  <c r="X303" i="1"/>
  <c r="W303" i="1"/>
  <c r="V303" i="1"/>
  <c r="U303" i="1"/>
  <c r="T303" i="1"/>
  <c r="S303" i="1"/>
  <c r="R303" i="1"/>
  <c r="Q303" i="1"/>
  <c r="P303" i="1"/>
  <c r="O303" i="1"/>
  <c r="M303" i="1"/>
  <c r="N303" i="1" s="1"/>
  <c r="L303" i="1"/>
  <c r="X302" i="1"/>
  <c r="W302" i="1"/>
  <c r="V302" i="1"/>
  <c r="U302" i="1"/>
  <c r="S302" i="1"/>
  <c r="R302" i="1"/>
  <c r="Q302" i="1"/>
  <c r="P302" i="1"/>
  <c r="Y302" i="1" s="1"/>
  <c r="O302" i="1"/>
  <c r="N302" i="1"/>
  <c r="M302" i="1"/>
  <c r="L302" i="1"/>
  <c r="T302" i="1" s="1"/>
  <c r="X301" i="1"/>
  <c r="W301" i="1"/>
  <c r="V301" i="1"/>
  <c r="U301" i="1"/>
  <c r="S301" i="1"/>
  <c r="R301" i="1"/>
  <c r="Q301" i="1"/>
  <c r="P301" i="1"/>
  <c r="O301" i="1"/>
  <c r="M301" i="1"/>
  <c r="N301" i="1" s="1"/>
  <c r="Y301" i="1" s="1"/>
  <c r="L301" i="1"/>
  <c r="T301" i="1" s="1"/>
  <c r="X300" i="1"/>
  <c r="W300" i="1"/>
  <c r="V300" i="1"/>
  <c r="U300" i="1"/>
  <c r="S300" i="1"/>
  <c r="R300" i="1"/>
  <c r="Q300" i="1"/>
  <c r="P300" i="1"/>
  <c r="O300" i="1"/>
  <c r="M300" i="1"/>
  <c r="N300" i="1" s="1"/>
  <c r="L300" i="1"/>
  <c r="T300" i="1" s="1"/>
  <c r="X299" i="1"/>
  <c r="W299" i="1"/>
  <c r="V299" i="1"/>
  <c r="U299" i="1"/>
  <c r="T299" i="1"/>
  <c r="S299" i="1"/>
  <c r="R299" i="1"/>
  <c r="Q299" i="1"/>
  <c r="P299" i="1"/>
  <c r="Y299" i="1" s="1"/>
  <c r="O299" i="1"/>
  <c r="M299" i="1"/>
  <c r="N299" i="1" s="1"/>
  <c r="L299" i="1"/>
  <c r="X298" i="1"/>
  <c r="W298" i="1"/>
  <c r="V298" i="1"/>
  <c r="U298" i="1"/>
  <c r="S298" i="1"/>
  <c r="R298" i="1"/>
  <c r="Q298" i="1"/>
  <c r="P298" i="1"/>
  <c r="O298" i="1"/>
  <c r="N298" i="1"/>
  <c r="Y298" i="1" s="1"/>
  <c r="M298" i="1"/>
  <c r="L298" i="1"/>
  <c r="T298" i="1" s="1"/>
  <c r="X297" i="1"/>
  <c r="W297" i="1"/>
  <c r="V297" i="1"/>
  <c r="U297" i="1"/>
  <c r="T297" i="1"/>
  <c r="S297" i="1"/>
  <c r="R297" i="1"/>
  <c r="Q297" i="1"/>
  <c r="P297" i="1"/>
  <c r="O297" i="1"/>
  <c r="M297" i="1"/>
  <c r="N297" i="1" s="1"/>
  <c r="Y297" i="1" s="1"/>
  <c r="L297" i="1"/>
  <c r="X296" i="1"/>
  <c r="W296" i="1"/>
  <c r="V296" i="1"/>
  <c r="U296" i="1"/>
  <c r="S296" i="1"/>
  <c r="R296" i="1"/>
  <c r="Q296" i="1"/>
  <c r="P296" i="1"/>
  <c r="O296" i="1"/>
  <c r="N296" i="1"/>
  <c r="M296" i="1"/>
  <c r="L296" i="1"/>
  <c r="T296" i="1" s="1"/>
  <c r="X295" i="1"/>
  <c r="W295" i="1"/>
  <c r="V295" i="1"/>
  <c r="U295" i="1"/>
  <c r="T295" i="1"/>
  <c r="S295" i="1"/>
  <c r="R295" i="1"/>
  <c r="Q295" i="1"/>
  <c r="P295" i="1"/>
  <c r="O295" i="1"/>
  <c r="M295" i="1"/>
  <c r="N295" i="1" s="1"/>
  <c r="L295" i="1"/>
  <c r="X294" i="1"/>
  <c r="W294" i="1"/>
  <c r="V294" i="1"/>
  <c r="U294" i="1"/>
  <c r="S294" i="1"/>
  <c r="R294" i="1"/>
  <c r="Q294" i="1"/>
  <c r="P294" i="1"/>
  <c r="Y294" i="1" s="1"/>
  <c r="O294" i="1"/>
  <c r="N294" i="1"/>
  <c r="M294" i="1"/>
  <c r="L294" i="1"/>
  <c r="T294" i="1" s="1"/>
  <c r="X293" i="1"/>
  <c r="W293" i="1"/>
  <c r="V293" i="1"/>
  <c r="U293" i="1"/>
  <c r="S293" i="1"/>
  <c r="R293" i="1"/>
  <c r="Q293" i="1"/>
  <c r="P293" i="1"/>
  <c r="O293" i="1"/>
  <c r="N293" i="1"/>
  <c r="M293" i="1"/>
  <c r="L293" i="1"/>
  <c r="T293" i="1" s="1"/>
  <c r="X292" i="1"/>
  <c r="W292" i="1"/>
  <c r="V292" i="1"/>
  <c r="U292" i="1"/>
  <c r="S292" i="1"/>
  <c r="R292" i="1"/>
  <c r="Q292" i="1"/>
  <c r="P292" i="1"/>
  <c r="O292" i="1"/>
  <c r="M292" i="1"/>
  <c r="N292" i="1" s="1"/>
  <c r="L292" i="1"/>
  <c r="T292" i="1" s="1"/>
  <c r="X291" i="1"/>
  <c r="W291" i="1"/>
  <c r="V291" i="1"/>
  <c r="U291" i="1"/>
  <c r="T291" i="1"/>
  <c r="S291" i="1"/>
  <c r="R291" i="1"/>
  <c r="Q291" i="1"/>
  <c r="Y291" i="1" s="1"/>
  <c r="P291" i="1"/>
  <c r="O291" i="1"/>
  <c r="M291" i="1"/>
  <c r="N291" i="1" s="1"/>
  <c r="L291" i="1"/>
  <c r="X290" i="1"/>
  <c r="W290" i="1"/>
  <c r="V290" i="1"/>
  <c r="U290" i="1"/>
  <c r="S290" i="1"/>
  <c r="R290" i="1"/>
  <c r="Q290" i="1"/>
  <c r="P290" i="1"/>
  <c r="O290" i="1"/>
  <c r="Y290" i="1" s="1"/>
  <c r="N290" i="1"/>
  <c r="M290" i="1"/>
  <c r="L290" i="1"/>
  <c r="T290" i="1" s="1"/>
  <c r="X289" i="1"/>
  <c r="W289" i="1"/>
  <c r="V289" i="1"/>
  <c r="U289" i="1"/>
  <c r="T289" i="1"/>
  <c r="S289" i="1"/>
  <c r="R289" i="1"/>
  <c r="Q289" i="1"/>
  <c r="P289" i="1"/>
  <c r="O289" i="1"/>
  <c r="M289" i="1"/>
  <c r="N289" i="1" s="1"/>
  <c r="L289" i="1"/>
  <c r="X288" i="1"/>
  <c r="W288" i="1"/>
  <c r="V288" i="1"/>
  <c r="U288" i="1"/>
  <c r="S288" i="1"/>
  <c r="R288" i="1"/>
  <c r="Q288" i="1"/>
  <c r="P288" i="1"/>
  <c r="O288" i="1"/>
  <c r="N288" i="1"/>
  <c r="Y288" i="1" s="1"/>
  <c r="M288" i="1"/>
  <c r="L288" i="1"/>
  <c r="T288" i="1" s="1"/>
  <c r="X287" i="1"/>
  <c r="W287" i="1"/>
  <c r="V287" i="1"/>
  <c r="U287" i="1"/>
  <c r="T287" i="1"/>
  <c r="S287" i="1"/>
  <c r="R287" i="1"/>
  <c r="Q287" i="1"/>
  <c r="P287" i="1"/>
  <c r="O287" i="1"/>
  <c r="M287" i="1"/>
  <c r="N287" i="1" s="1"/>
  <c r="L287" i="1"/>
  <c r="X286" i="1"/>
  <c r="W286" i="1"/>
  <c r="V286" i="1"/>
  <c r="U286" i="1"/>
  <c r="S286" i="1"/>
  <c r="R286" i="1"/>
  <c r="Q286" i="1"/>
  <c r="P286" i="1"/>
  <c r="Y286" i="1" s="1"/>
  <c r="O286" i="1"/>
  <c r="N286" i="1"/>
  <c r="M286" i="1"/>
  <c r="L286" i="1"/>
  <c r="T286" i="1" s="1"/>
  <c r="X285" i="1"/>
  <c r="W285" i="1"/>
  <c r="V285" i="1"/>
  <c r="U285" i="1"/>
  <c r="S285" i="1"/>
  <c r="R285" i="1"/>
  <c r="Q285" i="1"/>
  <c r="P285" i="1"/>
  <c r="O285" i="1"/>
  <c r="M285" i="1"/>
  <c r="N285" i="1" s="1"/>
  <c r="Y285" i="1" s="1"/>
  <c r="L285" i="1"/>
  <c r="T285" i="1" s="1"/>
  <c r="X284" i="1"/>
  <c r="W284" i="1"/>
  <c r="V284" i="1"/>
  <c r="U284" i="1"/>
  <c r="S284" i="1"/>
  <c r="R284" i="1"/>
  <c r="Q284" i="1"/>
  <c r="P284" i="1"/>
  <c r="O284" i="1"/>
  <c r="M284" i="1"/>
  <c r="N284" i="1" s="1"/>
  <c r="L284" i="1"/>
  <c r="T284" i="1" s="1"/>
  <c r="X283" i="1"/>
  <c r="W283" i="1"/>
  <c r="V283" i="1"/>
  <c r="U283" i="1"/>
  <c r="T283" i="1"/>
  <c r="S283" i="1"/>
  <c r="R283" i="1"/>
  <c r="Q283" i="1"/>
  <c r="P283" i="1"/>
  <c r="Y283" i="1" s="1"/>
  <c r="O283" i="1"/>
  <c r="M283" i="1"/>
  <c r="N283" i="1" s="1"/>
  <c r="L283" i="1"/>
  <c r="X282" i="1"/>
  <c r="W282" i="1"/>
  <c r="V282" i="1"/>
  <c r="U282" i="1"/>
  <c r="S282" i="1"/>
  <c r="R282" i="1"/>
  <c r="Q282" i="1"/>
  <c r="P282" i="1"/>
  <c r="O282" i="1"/>
  <c r="N282" i="1"/>
  <c r="Y282" i="1" s="1"/>
  <c r="M282" i="1"/>
  <c r="L282" i="1"/>
  <c r="T282" i="1" s="1"/>
  <c r="X281" i="1"/>
  <c r="W281" i="1"/>
  <c r="V281" i="1"/>
  <c r="U281" i="1"/>
  <c r="T281" i="1"/>
  <c r="S281" i="1"/>
  <c r="R281" i="1"/>
  <c r="Q281" i="1"/>
  <c r="P281" i="1"/>
  <c r="O281" i="1"/>
  <c r="M281" i="1"/>
  <c r="N281" i="1" s="1"/>
  <c r="Y281" i="1" s="1"/>
  <c r="L281" i="1"/>
  <c r="X280" i="1"/>
  <c r="W280" i="1"/>
  <c r="V280" i="1"/>
  <c r="U280" i="1"/>
  <c r="S280" i="1"/>
  <c r="R280" i="1"/>
  <c r="Q280" i="1"/>
  <c r="P280" i="1"/>
  <c r="O280" i="1"/>
  <c r="N280" i="1"/>
  <c r="M280" i="1"/>
  <c r="L280" i="1"/>
  <c r="T280" i="1" s="1"/>
  <c r="X279" i="1"/>
  <c r="W279" i="1"/>
  <c r="V279" i="1"/>
  <c r="U279" i="1"/>
  <c r="T279" i="1"/>
  <c r="S279" i="1"/>
  <c r="R279" i="1"/>
  <c r="Q279" i="1"/>
  <c r="P279" i="1"/>
  <c r="O279" i="1"/>
  <c r="M279" i="1"/>
  <c r="N279" i="1" s="1"/>
  <c r="L279" i="1"/>
  <c r="X278" i="1"/>
  <c r="W278" i="1"/>
  <c r="V278" i="1"/>
  <c r="U278" i="1"/>
  <c r="S278" i="1"/>
  <c r="R278" i="1"/>
  <c r="Q278" i="1"/>
  <c r="P278" i="1"/>
  <c r="Y278" i="1" s="1"/>
  <c r="O278" i="1"/>
  <c r="N278" i="1"/>
  <c r="M278" i="1"/>
  <c r="L278" i="1"/>
  <c r="T278" i="1" s="1"/>
  <c r="X277" i="1"/>
  <c r="W277" i="1"/>
  <c r="V277" i="1"/>
  <c r="U277" i="1"/>
  <c r="S277" i="1"/>
  <c r="R277" i="1"/>
  <c r="Q277" i="1"/>
  <c r="P277" i="1"/>
  <c r="O277" i="1"/>
  <c r="N277" i="1"/>
  <c r="M277" i="1"/>
  <c r="L277" i="1"/>
  <c r="T277" i="1" s="1"/>
  <c r="X276" i="1"/>
  <c r="W276" i="1"/>
  <c r="V276" i="1"/>
  <c r="U276" i="1"/>
  <c r="S276" i="1"/>
  <c r="R276" i="1"/>
  <c r="Q276" i="1"/>
  <c r="P276" i="1"/>
  <c r="O276" i="1"/>
  <c r="M276" i="1"/>
  <c r="N276" i="1" s="1"/>
  <c r="Y276" i="1" s="1"/>
  <c r="L276" i="1"/>
  <c r="T276" i="1" s="1"/>
  <c r="X275" i="1"/>
  <c r="W275" i="1"/>
  <c r="V275" i="1"/>
  <c r="U275" i="1"/>
  <c r="T275" i="1"/>
  <c r="S275" i="1"/>
  <c r="R275" i="1"/>
  <c r="Q275" i="1"/>
  <c r="Y275" i="1" s="1"/>
  <c r="P275" i="1"/>
  <c r="O275" i="1"/>
  <c r="M275" i="1"/>
  <c r="N275" i="1" s="1"/>
  <c r="L275" i="1"/>
  <c r="X274" i="1"/>
  <c r="W274" i="1"/>
  <c r="V274" i="1"/>
  <c r="U274" i="1"/>
  <c r="S274" i="1"/>
  <c r="R274" i="1"/>
  <c r="Q274" i="1"/>
  <c r="P274" i="1"/>
  <c r="O274" i="1"/>
  <c r="Y274" i="1" s="1"/>
  <c r="N274" i="1"/>
  <c r="M274" i="1"/>
  <c r="L274" i="1"/>
  <c r="T274" i="1" s="1"/>
  <c r="X273" i="1"/>
  <c r="W273" i="1"/>
  <c r="V273" i="1"/>
  <c r="U273" i="1"/>
  <c r="T273" i="1"/>
  <c r="S273" i="1"/>
  <c r="R273" i="1"/>
  <c r="Q273" i="1"/>
  <c r="P273" i="1"/>
  <c r="O273" i="1"/>
  <c r="M273" i="1"/>
  <c r="N273" i="1" s="1"/>
  <c r="L273" i="1"/>
  <c r="X272" i="1"/>
  <c r="W272" i="1"/>
  <c r="V272" i="1"/>
  <c r="U272" i="1"/>
  <c r="S272" i="1"/>
  <c r="R272" i="1"/>
  <c r="Q272" i="1"/>
  <c r="P272" i="1"/>
  <c r="O272" i="1"/>
  <c r="N272" i="1"/>
  <c r="Y272" i="1" s="1"/>
  <c r="M272" i="1"/>
  <c r="L272" i="1"/>
  <c r="T272" i="1" s="1"/>
  <c r="X271" i="1"/>
  <c r="W271" i="1"/>
  <c r="V271" i="1"/>
  <c r="U271" i="1"/>
  <c r="T271" i="1"/>
  <c r="S271" i="1"/>
  <c r="R271" i="1"/>
  <c r="Q271" i="1"/>
  <c r="P271" i="1"/>
  <c r="O271" i="1"/>
  <c r="M271" i="1"/>
  <c r="N271" i="1" s="1"/>
  <c r="L271" i="1"/>
  <c r="X270" i="1"/>
  <c r="W270" i="1"/>
  <c r="V270" i="1"/>
  <c r="U270" i="1"/>
  <c r="S270" i="1"/>
  <c r="R270" i="1"/>
  <c r="Q270" i="1"/>
  <c r="P270" i="1"/>
  <c r="Y270" i="1" s="1"/>
  <c r="O270" i="1"/>
  <c r="N270" i="1"/>
  <c r="M270" i="1"/>
  <c r="L270" i="1"/>
  <c r="T270" i="1" s="1"/>
  <c r="X269" i="1"/>
  <c r="W269" i="1"/>
  <c r="V269" i="1"/>
  <c r="U269" i="1"/>
  <c r="S269" i="1"/>
  <c r="R269" i="1"/>
  <c r="Q269" i="1"/>
  <c r="P269" i="1"/>
  <c r="O269" i="1"/>
  <c r="M269" i="1"/>
  <c r="N269" i="1" s="1"/>
  <c r="Y269" i="1" s="1"/>
  <c r="L269" i="1"/>
  <c r="T269" i="1" s="1"/>
  <c r="X268" i="1"/>
  <c r="W268" i="1"/>
  <c r="V268" i="1"/>
  <c r="U268" i="1"/>
  <c r="S268" i="1"/>
  <c r="R268" i="1"/>
  <c r="Q268" i="1"/>
  <c r="P268" i="1"/>
  <c r="O268" i="1"/>
  <c r="M268" i="1"/>
  <c r="N268" i="1" s="1"/>
  <c r="L268" i="1"/>
  <c r="T268" i="1" s="1"/>
  <c r="X267" i="1"/>
  <c r="W267" i="1"/>
  <c r="V267" i="1"/>
  <c r="U267" i="1"/>
  <c r="T267" i="1"/>
  <c r="S267" i="1"/>
  <c r="R267" i="1"/>
  <c r="Q267" i="1"/>
  <c r="P267" i="1"/>
  <c r="Y267" i="1" s="1"/>
  <c r="O267" i="1"/>
  <c r="M267" i="1"/>
  <c r="N267" i="1" s="1"/>
  <c r="L267" i="1"/>
  <c r="X266" i="1"/>
  <c r="W266" i="1"/>
  <c r="V266" i="1"/>
  <c r="U266" i="1"/>
  <c r="S266" i="1"/>
  <c r="R266" i="1"/>
  <c r="Q266" i="1"/>
  <c r="P266" i="1"/>
  <c r="O266" i="1"/>
  <c r="N266" i="1"/>
  <c r="Y266" i="1" s="1"/>
  <c r="M266" i="1"/>
  <c r="L266" i="1"/>
  <c r="T266" i="1" s="1"/>
  <c r="X265" i="1"/>
  <c r="W265" i="1"/>
  <c r="V265" i="1"/>
  <c r="U265" i="1"/>
  <c r="T265" i="1"/>
  <c r="S265" i="1"/>
  <c r="R265" i="1"/>
  <c r="Q265" i="1"/>
  <c r="P265" i="1"/>
  <c r="O265" i="1"/>
  <c r="M265" i="1"/>
  <c r="N265" i="1" s="1"/>
  <c r="Y265" i="1" s="1"/>
  <c r="L265" i="1"/>
  <c r="X264" i="1"/>
  <c r="W264" i="1"/>
  <c r="V264" i="1"/>
  <c r="U264" i="1"/>
  <c r="S264" i="1"/>
  <c r="R264" i="1"/>
  <c r="Q264" i="1"/>
  <c r="P264" i="1"/>
  <c r="O264" i="1"/>
  <c r="N264" i="1"/>
  <c r="M264" i="1"/>
  <c r="L264" i="1"/>
  <c r="T264" i="1" s="1"/>
  <c r="X263" i="1"/>
  <c r="W263" i="1"/>
  <c r="V263" i="1"/>
  <c r="U263" i="1"/>
  <c r="T263" i="1"/>
  <c r="S263" i="1"/>
  <c r="R263" i="1"/>
  <c r="Q263" i="1"/>
  <c r="P263" i="1"/>
  <c r="O263" i="1"/>
  <c r="M263" i="1"/>
  <c r="N263" i="1" s="1"/>
  <c r="L263" i="1"/>
  <c r="X262" i="1"/>
  <c r="W262" i="1"/>
  <c r="V262" i="1"/>
  <c r="U262" i="1"/>
  <c r="S262" i="1"/>
  <c r="R262" i="1"/>
  <c r="Q262" i="1"/>
  <c r="P262" i="1"/>
  <c r="Y262" i="1" s="1"/>
  <c r="O262" i="1"/>
  <c r="N262" i="1"/>
  <c r="M262" i="1"/>
  <c r="L262" i="1"/>
  <c r="T262" i="1" s="1"/>
  <c r="X261" i="1"/>
  <c r="W261" i="1"/>
  <c r="V261" i="1"/>
  <c r="U261" i="1"/>
  <c r="S261" i="1"/>
  <c r="R261" i="1"/>
  <c r="Q261" i="1"/>
  <c r="P261" i="1"/>
  <c r="O261" i="1"/>
  <c r="N261" i="1"/>
  <c r="M261" i="1"/>
  <c r="L261" i="1"/>
  <c r="T261" i="1" s="1"/>
  <c r="X260" i="1"/>
  <c r="W260" i="1"/>
  <c r="V260" i="1"/>
  <c r="U260" i="1"/>
  <c r="S260" i="1"/>
  <c r="R260" i="1"/>
  <c r="Q260" i="1"/>
  <c r="P260" i="1"/>
  <c r="O260" i="1"/>
  <c r="M260" i="1"/>
  <c r="N260" i="1" s="1"/>
  <c r="L260" i="1"/>
  <c r="T260" i="1" s="1"/>
  <c r="X259" i="1"/>
  <c r="W259" i="1"/>
  <c r="V259" i="1"/>
  <c r="U259" i="1"/>
  <c r="T259" i="1"/>
  <c r="S259" i="1"/>
  <c r="R259" i="1"/>
  <c r="Q259" i="1"/>
  <c r="Y259" i="1" s="1"/>
  <c r="P259" i="1"/>
  <c r="O259" i="1"/>
  <c r="M259" i="1"/>
  <c r="N259" i="1" s="1"/>
  <c r="L259" i="1"/>
  <c r="X258" i="1"/>
  <c r="W258" i="1"/>
  <c r="V258" i="1"/>
  <c r="U258" i="1"/>
  <c r="S258" i="1"/>
  <c r="R258" i="1"/>
  <c r="Q258" i="1"/>
  <c r="P258" i="1"/>
  <c r="O258" i="1"/>
  <c r="Y258" i="1" s="1"/>
  <c r="N258" i="1"/>
  <c r="M258" i="1"/>
  <c r="L258" i="1"/>
  <c r="T258" i="1" s="1"/>
  <c r="X257" i="1"/>
  <c r="W257" i="1"/>
  <c r="V257" i="1"/>
  <c r="U257" i="1"/>
  <c r="T257" i="1"/>
  <c r="S257" i="1"/>
  <c r="R257" i="1"/>
  <c r="Q257" i="1"/>
  <c r="P257" i="1"/>
  <c r="O257" i="1"/>
  <c r="M257" i="1"/>
  <c r="N257" i="1" s="1"/>
  <c r="L257" i="1"/>
  <c r="X256" i="1"/>
  <c r="W256" i="1"/>
  <c r="V256" i="1"/>
  <c r="U256" i="1"/>
  <c r="S256" i="1"/>
  <c r="R256" i="1"/>
  <c r="Q256" i="1"/>
  <c r="P256" i="1"/>
  <c r="O256" i="1"/>
  <c r="N256" i="1"/>
  <c r="Y256" i="1" s="1"/>
  <c r="M256" i="1"/>
  <c r="L256" i="1"/>
  <c r="T256" i="1" s="1"/>
  <c r="X255" i="1"/>
  <c r="W255" i="1"/>
  <c r="V255" i="1"/>
  <c r="U255" i="1"/>
  <c r="T255" i="1"/>
  <c r="S255" i="1"/>
  <c r="R255" i="1"/>
  <c r="Q255" i="1"/>
  <c r="P255" i="1"/>
  <c r="O255" i="1"/>
  <c r="M255" i="1"/>
  <c r="N255" i="1" s="1"/>
  <c r="L255" i="1"/>
  <c r="X254" i="1"/>
  <c r="W254" i="1"/>
  <c r="V254" i="1"/>
  <c r="U254" i="1"/>
  <c r="S254" i="1"/>
  <c r="R254" i="1"/>
  <c r="Q254" i="1"/>
  <c r="P254" i="1"/>
  <c r="Y254" i="1" s="1"/>
  <c r="O254" i="1"/>
  <c r="N254" i="1"/>
  <c r="M254" i="1"/>
  <c r="L254" i="1"/>
  <c r="T254" i="1" s="1"/>
  <c r="X253" i="1"/>
  <c r="W253" i="1"/>
  <c r="V253" i="1"/>
  <c r="U253" i="1"/>
  <c r="S253" i="1"/>
  <c r="R253" i="1"/>
  <c r="Q253" i="1"/>
  <c r="P253" i="1"/>
  <c r="O253" i="1"/>
  <c r="M253" i="1"/>
  <c r="N253" i="1" s="1"/>
  <c r="Y253" i="1" s="1"/>
  <c r="L253" i="1"/>
  <c r="T253" i="1" s="1"/>
  <c r="X252" i="1"/>
  <c r="W252" i="1"/>
  <c r="V252" i="1"/>
  <c r="U252" i="1"/>
  <c r="S252" i="1"/>
  <c r="R252" i="1"/>
  <c r="Q252" i="1"/>
  <c r="P252" i="1"/>
  <c r="O252" i="1"/>
  <c r="M252" i="1"/>
  <c r="N252" i="1" s="1"/>
  <c r="L252" i="1"/>
  <c r="T252" i="1" s="1"/>
  <c r="X251" i="1"/>
  <c r="W251" i="1"/>
  <c r="V251" i="1"/>
  <c r="U251" i="1"/>
  <c r="T251" i="1"/>
  <c r="S251" i="1"/>
  <c r="R251" i="1"/>
  <c r="Q251" i="1"/>
  <c r="P251" i="1"/>
  <c r="Y251" i="1" s="1"/>
  <c r="O251" i="1"/>
  <c r="M251" i="1"/>
  <c r="N251" i="1" s="1"/>
  <c r="L251" i="1"/>
  <c r="X250" i="1"/>
  <c r="W250" i="1"/>
  <c r="V250" i="1"/>
  <c r="U250" i="1"/>
  <c r="S250" i="1"/>
  <c r="R250" i="1"/>
  <c r="Q250" i="1"/>
  <c r="P250" i="1"/>
  <c r="O250" i="1"/>
  <c r="N250" i="1"/>
  <c r="Y250" i="1" s="1"/>
  <c r="M250" i="1"/>
  <c r="L250" i="1"/>
  <c r="T250" i="1" s="1"/>
  <c r="X249" i="1"/>
  <c r="W249" i="1"/>
  <c r="V249" i="1"/>
  <c r="U249" i="1"/>
  <c r="T249" i="1"/>
  <c r="S249" i="1"/>
  <c r="R249" i="1"/>
  <c r="Q249" i="1"/>
  <c r="P249" i="1"/>
  <c r="O249" i="1"/>
  <c r="M249" i="1"/>
  <c r="N249" i="1" s="1"/>
  <c r="L249" i="1"/>
  <c r="X248" i="1"/>
  <c r="W248" i="1"/>
  <c r="V248" i="1"/>
  <c r="U248" i="1"/>
  <c r="S248" i="1"/>
  <c r="R248" i="1"/>
  <c r="Q248" i="1"/>
  <c r="P248" i="1"/>
  <c r="O248" i="1"/>
  <c r="N248" i="1"/>
  <c r="M248" i="1"/>
  <c r="L248" i="1"/>
  <c r="T248" i="1" s="1"/>
  <c r="X247" i="1"/>
  <c r="W247" i="1"/>
  <c r="V247" i="1"/>
  <c r="U247" i="1"/>
  <c r="T247" i="1"/>
  <c r="S247" i="1"/>
  <c r="R247" i="1"/>
  <c r="Q247" i="1"/>
  <c r="P247" i="1"/>
  <c r="O247" i="1"/>
  <c r="M247" i="1"/>
  <c r="N247" i="1" s="1"/>
  <c r="L247" i="1"/>
  <c r="X246" i="1"/>
  <c r="W246" i="1"/>
  <c r="V246" i="1"/>
  <c r="U246" i="1"/>
  <c r="S246" i="1"/>
  <c r="R246" i="1"/>
  <c r="Q246" i="1"/>
  <c r="P246" i="1"/>
  <c r="Y246" i="1" s="1"/>
  <c r="O246" i="1"/>
  <c r="N246" i="1"/>
  <c r="M246" i="1"/>
  <c r="L246" i="1"/>
  <c r="T246" i="1" s="1"/>
  <c r="X245" i="1"/>
  <c r="W245" i="1"/>
  <c r="V245" i="1"/>
  <c r="U245" i="1"/>
  <c r="S245" i="1"/>
  <c r="R245" i="1"/>
  <c r="Q245" i="1"/>
  <c r="P245" i="1"/>
  <c r="Y245" i="1" s="1"/>
  <c r="O245" i="1"/>
  <c r="N245" i="1"/>
  <c r="M245" i="1"/>
  <c r="L245" i="1"/>
  <c r="T245" i="1" s="1"/>
  <c r="X244" i="1"/>
  <c r="W244" i="1"/>
  <c r="V244" i="1"/>
  <c r="U244" i="1"/>
  <c r="S244" i="1"/>
  <c r="R244" i="1"/>
  <c r="Q244" i="1"/>
  <c r="P244" i="1"/>
  <c r="O244" i="1"/>
  <c r="N244" i="1"/>
  <c r="M244" i="1"/>
  <c r="L244" i="1"/>
  <c r="T244" i="1" s="1"/>
  <c r="X243" i="1"/>
  <c r="W243" i="1"/>
  <c r="V243" i="1"/>
  <c r="U243" i="1"/>
  <c r="T243" i="1"/>
  <c r="S243" i="1"/>
  <c r="R243" i="1"/>
  <c r="Q243" i="1"/>
  <c r="Y243" i="1" s="1"/>
  <c r="P243" i="1"/>
  <c r="O243" i="1"/>
  <c r="M243" i="1"/>
  <c r="N243" i="1" s="1"/>
  <c r="L243" i="1"/>
  <c r="X242" i="1"/>
  <c r="W242" i="1"/>
  <c r="V242" i="1"/>
  <c r="U242" i="1"/>
  <c r="S242" i="1"/>
  <c r="R242" i="1"/>
  <c r="Q242" i="1"/>
  <c r="P242" i="1"/>
  <c r="Y242" i="1" s="1"/>
  <c r="O242" i="1"/>
  <c r="N242" i="1"/>
  <c r="M242" i="1"/>
  <c r="L242" i="1"/>
  <c r="T242" i="1" s="1"/>
  <c r="X241" i="1"/>
  <c r="W241" i="1"/>
  <c r="V241" i="1"/>
  <c r="U241" i="1"/>
  <c r="S241" i="1"/>
  <c r="R241" i="1"/>
  <c r="Q241" i="1"/>
  <c r="P241" i="1"/>
  <c r="O241" i="1"/>
  <c r="M241" i="1"/>
  <c r="N241" i="1" s="1"/>
  <c r="L241" i="1"/>
  <c r="T241" i="1" s="1"/>
  <c r="X240" i="1"/>
  <c r="W240" i="1"/>
  <c r="V240" i="1"/>
  <c r="U240" i="1"/>
  <c r="S240" i="1"/>
  <c r="R240" i="1"/>
  <c r="Q240" i="1"/>
  <c r="P240" i="1"/>
  <c r="O240" i="1"/>
  <c r="N240" i="1"/>
  <c r="M240" i="1"/>
  <c r="L240" i="1"/>
  <c r="T240" i="1" s="1"/>
  <c r="X239" i="1"/>
  <c r="W239" i="1"/>
  <c r="V239" i="1"/>
  <c r="U239" i="1"/>
  <c r="S239" i="1"/>
  <c r="R239" i="1"/>
  <c r="Q239" i="1"/>
  <c r="P239" i="1"/>
  <c r="Y239" i="1" s="1"/>
  <c r="O239" i="1"/>
  <c r="M239" i="1"/>
  <c r="N239" i="1" s="1"/>
  <c r="L239" i="1"/>
  <c r="T239" i="1" s="1"/>
  <c r="X238" i="1"/>
  <c r="W238" i="1"/>
  <c r="V238" i="1"/>
  <c r="U238" i="1"/>
  <c r="S238" i="1"/>
  <c r="R238" i="1"/>
  <c r="Q238" i="1"/>
  <c r="P238" i="1"/>
  <c r="O238" i="1"/>
  <c r="N238" i="1"/>
  <c r="M238" i="1"/>
  <c r="L238" i="1"/>
  <c r="T238" i="1" s="1"/>
  <c r="X237" i="1"/>
  <c r="W237" i="1"/>
  <c r="V237" i="1"/>
  <c r="U237" i="1"/>
  <c r="S237" i="1"/>
  <c r="R237" i="1"/>
  <c r="Q237" i="1"/>
  <c r="P237" i="1"/>
  <c r="O237" i="1"/>
  <c r="N237" i="1"/>
  <c r="M237" i="1"/>
  <c r="L237" i="1"/>
  <c r="T237" i="1" s="1"/>
  <c r="X236" i="1"/>
  <c r="W236" i="1"/>
  <c r="V236" i="1"/>
  <c r="U236" i="1"/>
  <c r="S236" i="1"/>
  <c r="R236" i="1"/>
  <c r="Q236" i="1"/>
  <c r="P236" i="1"/>
  <c r="O236" i="1"/>
  <c r="M236" i="1"/>
  <c r="N236" i="1" s="1"/>
  <c r="Y236" i="1" s="1"/>
  <c r="L236" i="1"/>
  <c r="T236" i="1" s="1"/>
  <c r="X235" i="1"/>
  <c r="W235" i="1"/>
  <c r="V235" i="1"/>
  <c r="U235" i="1"/>
  <c r="T235" i="1"/>
  <c r="S235" i="1"/>
  <c r="R235" i="1"/>
  <c r="Q235" i="1"/>
  <c r="P235" i="1"/>
  <c r="O235" i="1"/>
  <c r="M235" i="1"/>
  <c r="N235" i="1" s="1"/>
  <c r="L235" i="1"/>
  <c r="X234" i="1"/>
  <c r="W234" i="1"/>
  <c r="V234" i="1"/>
  <c r="U234" i="1"/>
  <c r="S234" i="1"/>
  <c r="R234" i="1"/>
  <c r="Q234" i="1"/>
  <c r="P234" i="1"/>
  <c r="O234" i="1"/>
  <c r="Y234" i="1" s="1"/>
  <c r="N234" i="1"/>
  <c r="M234" i="1"/>
  <c r="L234" i="1"/>
  <c r="T234" i="1" s="1"/>
  <c r="X233" i="1"/>
  <c r="W233" i="1"/>
  <c r="V233" i="1"/>
  <c r="U233" i="1"/>
  <c r="S233" i="1"/>
  <c r="R233" i="1"/>
  <c r="Q233" i="1"/>
  <c r="P233" i="1"/>
  <c r="O233" i="1"/>
  <c r="M233" i="1"/>
  <c r="N233" i="1" s="1"/>
  <c r="Y233" i="1" s="1"/>
  <c r="L233" i="1"/>
  <c r="T233" i="1" s="1"/>
  <c r="X232" i="1"/>
  <c r="W232" i="1"/>
  <c r="V232" i="1"/>
  <c r="U232" i="1"/>
  <c r="S232" i="1"/>
  <c r="R232" i="1"/>
  <c r="Q232" i="1"/>
  <c r="P232" i="1"/>
  <c r="O232" i="1"/>
  <c r="N232" i="1"/>
  <c r="M232" i="1"/>
  <c r="L232" i="1"/>
  <c r="T232" i="1" s="1"/>
  <c r="X231" i="1"/>
  <c r="W231" i="1"/>
  <c r="V231" i="1"/>
  <c r="U231" i="1"/>
  <c r="T231" i="1"/>
  <c r="S231" i="1"/>
  <c r="R231" i="1"/>
  <c r="Q231" i="1"/>
  <c r="P231" i="1"/>
  <c r="Y231" i="1" s="1"/>
  <c r="O231" i="1"/>
  <c r="M231" i="1"/>
  <c r="N231" i="1" s="1"/>
  <c r="L231" i="1"/>
  <c r="X230" i="1"/>
  <c r="W230" i="1"/>
  <c r="V230" i="1"/>
  <c r="U230" i="1"/>
  <c r="S230" i="1"/>
  <c r="R230" i="1"/>
  <c r="Q230" i="1"/>
  <c r="P230" i="1"/>
  <c r="Y230" i="1" s="1"/>
  <c r="O230" i="1"/>
  <c r="N230" i="1"/>
  <c r="M230" i="1"/>
  <c r="L230" i="1"/>
  <c r="T230" i="1" s="1"/>
  <c r="X229" i="1"/>
  <c r="W229" i="1"/>
  <c r="V229" i="1"/>
  <c r="U229" i="1"/>
  <c r="S229" i="1"/>
  <c r="R229" i="1"/>
  <c r="Q229" i="1"/>
  <c r="P229" i="1"/>
  <c r="O229" i="1"/>
  <c r="N229" i="1"/>
  <c r="M229" i="1"/>
  <c r="L229" i="1"/>
  <c r="T229" i="1" s="1"/>
  <c r="X228" i="1"/>
  <c r="W228" i="1"/>
  <c r="V228" i="1"/>
  <c r="U228" i="1"/>
  <c r="S228" i="1"/>
  <c r="R228" i="1"/>
  <c r="Q228" i="1"/>
  <c r="P228" i="1"/>
  <c r="O228" i="1"/>
  <c r="N228" i="1"/>
  <c r="M228" i="1"/>
  <c r="L228" i="1"/>
  <c r="T228" i="1" s="1"/>
  <c r="X227" i="1"/>
  <c r="W227" i="1"/>
  <c r="V227" i="1"/>
  <c r="U227" i="1"/>
  <c r="S227" i="1"/>
  <c r="R227" i="1"/>
  <c r="Q227" i="1"/>
  <c r="P227" i="1"/>
  <c r="Y227" i="1" s="1"/>
  <c r="O227" i="1"/>
  <c r="M227" i="1"/>
  <c r="N227" i="1" s="1"/>
  <c r="L227" i="1"/>
  <c r="T227" i="1" s="1"/>
  <c r="X226" i="1"/>
  <c r="W226" i="1"/>
  <c r="V226" i="1"/>
  <c r="U226" i="1"/>
  <c r="S226" i="1"/>
  <c r="R226" i="1"/>
  <c r="Q226" i="1"/>
  <c r="P226" i="1"/>
  <c r="O226" i="1"/>
  <c r="N226" i="1"/>
  <c r="M226" i="1"/>
  <c r="L226" i="1"/>
  <c r="T226" i="1" s="1"/>
  <c r="X225" i="1"/>
  <c r="W225" i="1"/>
  <c r="V225" i="1"/>
  <c r="U225" i="1"/>
  <c r="S225" i="1"/>
  <c r="R225" i="1"/>
  <c r="Q225" i="1"/>
  <c r="P225" i="1"/>
  <c r="O225" i="1"/>
  <c r="Y225" i="1" s="1"/>
  <c r="N225" i="1"/>
  <c r="M225" i="1"/>
  <c r="L225" i="1"/>
  <c r="T225" i="1" s="1"/>
  <c r="X224" i="1"/>
  <c r="W224" i="1"/>
  <c r="V224" i="1"/>
  <c r="U224" i="1"/>
  <c r="S224" i="1"/>
  <c r="R224" i="1"/>
  <c r="Q224" i="1"/>
  <c r="P224" i="1"/>
  <c r="O224" i="1"/>
  <c r="M224" i="1"/>
  <c r="N224" i="1" s="1"/>
  <c r="Y224" i="1" s="1"/>
  <c r="L224" i="1"/>
  <c r="T224" i="1" s="1"/>
  <c r="X223" i="1"/>
  <c r="W223" i="1"/>
  <c r="V223" i="1"/>
  <c r="U223" i="1"/>
  <c r="T223" i="1"/>
  <c r="S223" i="1"/>
  <c r="R223" i="1"/>
  <c r="Q223" i="1"/>
  <c r="P223" i="1"/>
  <c r="O223" i="1"/>
  <c r="M223" i="1"/>
  <c r="N223" i="1" s="1"/>
  <c r="L223" i="1"/>
  <c r="X222" i="1"/>
  <c r="W222" i="1"/>
  <c r="V222" i="1"/>
  <c r="U222" i="1"/>
  <c r="S222" i="1"/>
  <c r="R222" i="1"/>
  <c r="Q222" i="1"/>
  <c r="P222" i="1"/>
  <c r="O222" i="1"/>
  <c r="Y222" i="1" s="1"/>
  <c r="N222" i="1"/>
  <c r="M222" i="1"/>
  <c r="L222" i="1"/>
  <c r="T222" i="1" s="1"/>
  <c r="X221" i="1"/>
  <c r="W221" i="1"/>
  <c r="V221" i="1"/>
  <c r="U221" i="1"/>
  <c r="S221" i="1"/>
  <c r="R221" i="1"/>
  <c r="Q221" i="1"/>
  <c r="P221" i="1"/>
  <c r="O221" i="1"/>
  <c r="M221" i="1"/>
  <c r="N221" i="1" s="1"/>
  <c r="Y221" i="1" s="1"/>
  <c r="L221" i="1"/>
  <c r="T221" i="1" s="1"/>
  <c r="X220" i="1"/>
  <c r="W220" i="1"/>
  <c r="V220" i="1"/>
  <c r="U220" i="1"/>
  <c r="S220" i="1"/>
  <c r="R220" i="1"/>
  <c r="Q220" i="1"/>
  <c r="P220" i="1"/>
  <c r="O220" i="1"/>
  <c r="N220" i="1"/>
  <c r="M220" i="1"/>
  <c r="L220" i="1"/>
  <c r="T220" i="1" s="1"/>
  <c r="X219" i="1"/>
  <c r="W219" i="1"/>
  <c r="V219" i="1"/>
  <c r="U219" i="1"/>
  <c r="S219" i="1"/>
  <c r="R219" i="1"/>
  <c r="Q219" i="1"/>
  <c r="P219" i="1"/>
  <c r="O219" i="1"/>
  <c r="M219" i="1"/>
  <c r="N219" i="1" s="1"/>
  <c r="L219" i="1"/>
  <c r="T219" i="1" s="1"/>
  <c r="X218" i="1"/>
  <c r="W218" i="1"/>
  <c r="V218" i="1"/>
  <c r="U218" i="1"/>
  <c r="S218" i="1"/>
  <c r="R218" i="1"/>
  <c r="Q218" i="1"/>
  <c r="P218" i="1"/>
  <c r="O218" i="1"/>
  <c r="M218" i="1"/>
  <c r="N218" i="1" s="1"/>
  <c r="Y218" i="1" s="1"/>
  <c r="L218" i="1"/>
  <c r="T218" i="1" s="1"/>
  <c r="X217" i="1"/>
  <c r="W217" i="1"/>
  <c r="V217" i="1"/>
  <c r="U217" i="1"/>
  <c r="S217" i="1"/>
  <c r="R217" i="1"/>
  <c r="Q217" i="1"/>
  <c r="P217" i="1"/>
  <c r="O217" i="1"/>
  <c r="N217" i="1"/>
  <c r="M217" i="1"/>
  <c r="L217" i="1"/>
  <c r="T217" i="1" s="1"/>
  <c r="X216" i="1"/>
  <c r="W216" i="1"/>
  <c r="V216" i="1"/>
  <c r="U216" i="1"/>
  <c r="T216" i="1"/>
  <c r="S216" i="1"/>
  <c r="R216" i="1"/>
  <c r="Q216" i="1"/>
  <c r="P216" i="1"/>
  <c r="O216" i="1"/>
  <c r="M216" i="1"/>
  <c r="N216" i="1" s="1"/>
  <c r="Y216" i="1" s="1"/>
  <c r="L216" i="1"/>
  <c r="X215" i="1"/>
  <c r="W215" i="1"/>
  <c r="V215" i="1"/>
  <c r="U215" i="1"/>
  <c r="S215" i="1"/>
  <c r="R215" i="1"/>
  <c r="Q215" i="1"/>
  <c r="P215" i="1"/>
  <c r="Y215" i="1" s="1"/>
  <c r="O215" i="1"/>
  <c r="M215" i="1"/>
  <c r="N215" i="1" s="1"/>
  <c r="L215" i="1"/>
  <c r="T215" i="1" s="1"/>
  <c r="X214" i="1"/>
  <c r="W214" i="1"/>
  <c r="V214" i="1"/>
  <c r="U214" i="1"/>
  <c r="S214" i="1"/>
  <c r="R214" i="1"/>
  <c r="Q214" i="1"/>
  <c r="P214" i="1"/>
  <c r="O214" i="1"/>
  <c r="M214" i="1"/>
  <c r="N214" i="1" s="1"/>
  <c r="Y214" i="1" s="1"/>
  <c r="L214" i="1"/>
  <c r="T214" i="1" s="1"/>
  <c r="X213" i="1"/>
  <c r="W213" i="1"/>
  <c r="V213" i="1"/>
  <c r="U213" i="1"/>
  <c r="T213" i="1"/>
  <c r="S213" i="1"/>
  <c r="R213" i="1"/>
  <c r="Q213" i="1"/>
  <c r="Y213" i="1" s="1"/>
  <c r="P213" i="1"/>
  <c r="O213" i="1"/>
  <c r="M213" i="1"/>
  <c r="N213" i="1" s="1"/>
  <c r="L213" i="1"/>
  <c r="X212" i="1"/>
  <c r="W212" i="1"/>
  <c r="V212" i="1"/>
  <c r="U212" i="1"/>
  <c r="S212" i="1"/>
  <c r="R212" i="1"/>
  <c r="Q212" i="1"/>
  <c r="P212" i="1"/>
  <c r="O212" i="1"/>
  <c r="Y212" i="1" s="1"/>
  <c r="N212" i="1"/>
  <c r="M212" i="1"/>
  <c r="L212" i="1"/>
  <c r="T212" i="1" s="1"/>
  <c r="X211" i="1"/>
  <c r="W211" i="1"/>
  <c r="V211" i="1"/>
  <c r="U211" i="1"/>
  <c r="S211" i="1"/>
  <c r="R211" i="1"/>
  <c r="Q211" i="1"/>
  <c r="P211" i="1"/>
  <c r="O211" i="1"/>
  <c r="M211" i="1"/>
  <c r="N211" i="1" s="1"/>
  <c r="Y211" i="1" s="1"/>
  <c r="L211" i="1"/>
  <c r="T211" i="1" s="1"/>
  <c r="X210" i="1"/>
  <c r="W210" i="1"/>
  <c r="V210" i="1"/>
  <c r="U210" i="1"/>
  <c r="S210" i="1"/>
  <c r="R210" i="1"/>
  <c r="Q210" i="1"/>
  <c r="P210" i="1"/>
  <c r="O210" i="1"/>
  <c r="M210" i="1"/>
  <c r="N210" i="1" s="1"/>
  <c r="L210" i="1"/>
  <c r="T210" i="1" s="1"/>
  <c r="X209" i="1"/>
  <c r="W209" i="1"/>
  <c r="V209" i="1"/>
  <c r="U209" i="1"/>
  <c r="S209" i="1"/>
  <c r="R209" i="1"/>
  <c r="Q209" i="1"/>
  <c r="P209" i="1"/>
  <c r="Y209" i="1" s="1"/>
  <c r="O209" i="1"/>
  <c r="N209" i="1"/>
  <c r="M209" i="1"/>
  <c r="L209" i="1"/>
  <c r="T209" i="1" s="1"/>
  <c r="X208" i="1"/>
  <c r="W208" i="1"/>
  <c r="V208" i="1"/>
  <c r="U208" i="1"/>
  <c r="S208" i="1"/>
  <c r="R208" i="1"/>
  <c r="Q208" i="1"/>
  <c r="P208" i="1"/>
  <c r="O208" i="1"/>
  <c r="N208" i="1"/>
  <c r="Y208" i="1" s="1"/>
  <c r="M208" i="1"/>
  <c r="L208" i="1"/>
  <c r="T208" i="1" s="1"/>
  <c r="X207" i="1"/>
  <c r="W207" i="1"/>
  <c r="V207" i="1"/>
  <c r="U207" i="1"/>
  <c r="T207" i="1"/>
  <c r="S207" i="1"/>
  <c r="R207" i="1"/>
  <c r="Q207" i="1"/>
  <c r="P207" i="1"/>
  <c r="O207" i="1"/>
  <c r="M207" i="1"/>
  <c r="N207" i="1" s="1"/>
  <c r="L207" i="1"/>
  <c r="X206" i="1"/>
  <c r="W206" i="1"/>
  <c r="V206" i="1"/>
  <c r="U206" i="1"/>
  <c r="S206" i="1"/>
  <c r="R206" i="1"/>
  <c r="Q206" i="1"/>
  <c r="P206" i="1"/>
  <c r="O206" i="1"/>
  <c r="Y206" i="1" s="1"/>
  <c r="N206" i="1"/>
  <c r="M206" i="1"/>
  <c r="L206" i="1"/>
  <c r="T206" i="1" s="1"/>
  <c r="X205" i="1"/>
  <c r="W205" i="1"/>
  <c r="V205" i="1"/>
  <c r="U205" i="1"/>
  <c r="S205" i="1"/>
  <c r="R205" i="1"/>
  <c r="Q205" i="1"/>
  <c r="P205" i="1"/>
  <c r="O205" i="1"/>
  <c r="M205" i="1"/>
  <c r="N205" i="1" s="1"/>
  <c r="Y205" i="1" s="1"/>
  <c r="L205" i="1"/>
  <c r="T205" i="1" s="1"/>
  <c r="X204" i="1"/>
  <c r="W204" i="1"/>
  <c r="V204" i="1"/>
  <c r="U204" i="1"/>
  <c r="S204" i="1"/>
  <c r="R204" i="1"/>
  <c r="Q204" i="1"/>
  <c r="P204" i="1"/>
  <c r="O204" i="1"/>
  <c r="M204" i="1"/>
  <c r="N204" i="1" s="1"/>
  <c r="L204" i="1"/>
  <c r="T204" i="1" s="1"/>
  <c r="X203" i="1"/>
  <c r="W203" i="1"/>
  <c r="V203" i="1"/>
  <c r="U203" i="1"/>
  <c r="S203" i="1"/>
  <c r="R203" i="1"/>
  <c r="Q203" i="1"/>
  <c r="P203" i="1"/>
  <c r="O203" i="1"/>
  <c r="M203" i="1"/>
  <c r="N203" i="1" s="1"/>
  <c r="L203" i="1"/>
  <c r="T203" i="1" s="1"/>
  <c r="X202" i="1"/>
  <c r="W202" i="1"/>
  <c r="V202" i="1"/>
  <c r="U202" i="1"/>
  <c r="S202" i="1"/>
  <c r="R202" i="1"/>
  <c r="Q202" i="1"/>
  <c r="P202" i="1"/>
  <c r="O202" i="1"/>
  <c r="M202" i="1"/>
  <c r="N202" i="1" s="1"/>
  <c r="Y202" i="1" s="1"/>
  <c r="L202" i="1"/>
  <c r="T202" i="1" s="1"/>
  <c r="X201" i="1"/>
  <c r="W201" i="1"/>
  <c r="V201" i="1"/>
  <c r="U201" i="1"/>
  <c r="S201" i="1"/>
  <c r="R201" i="1"/>
  <c r="Q201" i="1"/>
  <c r="P201" i="1"/>
  <c r="O201" i="1"/>
  <c r="M201" i="1"/>
  <c r="N201" i="1" s="1"/>
  <c r="L201" i="1"/>
  <c r="T201" i="1" s="1"/>
  <c r="X200" i="1"/>
  <c r="W200" i="1"/>
  <c r="V200" i="1"/>
  <c r="U200" i="1"/>
  <c r="S200" i="1"/>
  <c r="R200" i="1"/>
  <c r="Q200" i="1"/>
  <c r="P200" i="1"/>
  <c r="O200" i="1"/>
  <c r="M200" i="1"/>
  <c r="N200" i="1" s="1"/>
  <c r="Y200" i="1" s="1"/>
  <c r="L200" i="1"/>
  <c r="T200" i="1" s="1"/>
  <c r="X199" i="1"/>
  <c r="W199" i="1"/>
  <c r="V199" i="1"/>
  <c r="U199" i="1"/>
  <c r="S199" i="1"/>
  <c r="R199" i="1"/>
  <c r="Q199" i="1"/>
  <c r="P199" i="1"/>
  <c r="O199" i="1"/>
  <c r="Y199" i="1" s="1"/>
  <c r="M199" i="1"/>
  <c r="N199" i="1" s="1"/>
  <c r="L199" i="1"/>
  <c r="T199" i="1" s="1"/>
  <c r="X198" i="1"/>
  <c r="W198" i="1"/>
  <c r="V198" i="1"/>
  <c r="U198" i="1"/>
  <c r="S198" i="1"/>
  <c r="R198" i="1"/>
  <c r="Q198" i="1"/>
  <c r="P198" i="1"/>
  <c r="O198" i="1"/>
  <c r="M198" i="1"/>
  <c r="N198" i="1" s="1"/>
  <c r="Y198" i="1" s="1"/>
  <c r="L198" i="1"/>
  <c r="T198" i="1" s="1"/>
  <c r="X197" i="1"/>
  <c r="W197" i="1"/>
  <c r="V197" i="1"/>
  <c r="U197" i="1"/>
  <c r="T197" i="1"/>
  <c r="S197" i="1"/>
  <c r="R197" i="1"/>
  <c r="Q197" i="1"/>
  <c r="P197" i="1"/>
  <c r="O197" i="1"/>
  <c r="M197" i="1"/>
  <c r="N197" i="1" s="1"/>
  <c r="Y197" i="1" s="1"/>
  <c r="L197" i="1"/>
  <c r="X196" i="1"/>
  <c r="W196" i="1"/>
  <c r="V196" i="1"/>
  <c r="U196" i="1"/>
  <c r="S196" i="1"/>
  <c r="R196" i="1"/>
  <c r="Q196" i="1"/>
  <c r="P196" i="1"/>
  <c r="O196" i="1"/>
  <c r="Y196" i="1" s="1"/>
  <c r="N196" i="1"/>
  <c r="M196" i="1"/>
  <c r="L196" i="1"/>
  <c r="T196" i="1" s="1"/>
  <c r="X195" i="1"/>
  <c r="W195" i="1"/>
  <c r="V195" i="1"/>
  <c r="U195" i="1"/>
  <c r="S195" i="1"/>
  <c r="R195" i="1"/>
  <c r="Q195" i="1"/>
  <c r="P195" i="1"/>
  <c r="O195" i="1"/>
  <c r="M195" i="1"/>
  <c r="N195" i="1" s="1"/>
  <c r="Y195" i="1" s="1"/>
  <c r="L195" i="1"/>
  <c r="T195" i="1" s="1"/>
  <c r="X194" i="1"/>
  <c r="W194" i="1"/>
  <c r="V194" i="1"/>
  <c r="U194" i="1"/>
  <c r="S194" i="1"/>
  <c r="R194" i="1"/>
  <c r="Q194" i="1"/>
  <c r="P194" i="1"/>
  <c r="O194" i="1"/>
  <c r="M194" i="1"/>
  <c r="N194" i="1" s="1"/>
  <c r="L194" i="1"/>
  <c r="T194" i="1" s="1"/>
  <c r="X193" i="1"/>
  <c r="W193" i="1"/>
  <c r="V193" i="1"/>
  <c r="U193" i="1"/>
  <c r="S193" i="1"/>
  <c r="R193" i="1"/>
  <c r="Q193" i="1"/>
  <c r="P193" i="1"/>
  <c r="O193" i="1"/>
  <c r="Y193" i="1" s="1"/>
  <c r="N193" i="1"/>
  <c r="M193" i="1"/>
  <c r="L193" i="1"/>
  <c r="T193" i="1" s="1"/>
  <c r="X192" i="1"/>
  <c r="W192" i="1"/>
  <c r="V192" i="1"/>
  <c r="U192" i="1"/>
  <c r="S192" i="1"/>
  <c r="R192" i="1"/>
  <c r="Q192" i="1"/>
  <c r="P192" i="1"/>
  <c r="O192" i="1"/>
  <c r="M192" i="1"/>
  <c r="N192" i="1" s="1"/>
  <c r="Y192" i="1" s="1"/>
  <c r="L192" i="1"/>
  <c r="T192" i="1" s="1"/>
  <c r="X191" i="1"/>
  <c r="W191" i="1"/>
  <c r="V191" i="1"/>
  <c r="U191" i="1"/>
  <c r="S191" i="1"/>
  <c r="R191" i="1"/>
  <c r="Q191" i="1"/>
  <c r="P191" i="1"/>
  <c r="O191" i="1"/>
  <c r="M191" i="1"/>
  <c r="N191" i="1" s="1"/>
  <c r="L191" i="1"/>
  <c r="T191" i="1" s="1"/>
  <c r="X190" i="1"/>
  <c r="W190" i="1"/>
  <c r="V190" i="1"/>
  <c r="U190" i="1"/>
  <c r="S190" i="1"/>
  <c r="R190" i="1"/>
  <c r="Q190" i="1"/>
  <c r="P190" i="1"/>
  <c r="Y190" i="1" s="1"/>
  <c r="O190" i="1"/>
  <c r="N190" i="1"/>
  <c r="M190" i="1"/>
  <c r="L190" i="1"/>
  <c r="T190" i="1" s="1"/>
  <c r="X189" i="1"/>
  <c r="W189" i="1"/>
  <c r="V189" i="1"/>
  <c r="U189" i="1"/>
  <c r="S189" i="1"/>
  <c r="R189" i="1"/>
  <c r="Q189" i="1"/>
  <c r="P189" i="1"/>
  <c r="O189" i="1"/>
  <c r="N189" i="1"/>
  <c r="Y189" i="1" s="1"/>
  <c r="M189" i="1"/>
  <c r="L189" i="1"/>
  <c r="T189" i="1" s="1"/>
  <c r="X188" i="1"/>
  <c r="W188" i="1"/>
  <c r="V188" i="1"/>
  <c r="U188" i="1"/>
  <c r="S188" i="1"/>
  <c r="R188" i="1"/>
  <c r="Q188" i="1"/>
  <c r="P188" i="1"/>
  <c r="O188" i="1"/>
  <c r="M188" i="1"/>
  <c r="N188" i="1" s="1"/>
  <c r="L188" i="1"/>
  <c r="T188" i="1" s="1"/>
  <c r="Y187" i="1"/>
  <c r="X187" i="1"/>
  <c r="W187" i="1"/>
  <c r="V187" i="1"/>
  <c r="U187" i="1"/>
  <c r="T187" i="1"/>
  <c r="S187" i="1"/>
  <c r="R187" i="1"/>
  <c r="Q187" i="1"/>
  <c r="P187" i="1"/>
  <c r="O187" i="1"/>
  <c r="M187" i="1"/>
  <c r="N187" i="1" s="1"/>
  <c r="L187" i="1"/>
  <c r="X186" i="1"/>
  <c r="W186" i="1"/>
  <c r="V186" i="1"/>
  <c r="U186" i="1"/>
  <c r="S186" i="1"/>
  <c r="R186" i="1"/>
  <c r="Q186" i="1"/>
  <c r="P186" i="1"/>
  <c r="O186" i="1"/>
  <c r="M186" i="1"/>
  <c r="N186" i="1" s="1"/>
  <c r="Y186" i="1" s="1"/>
  <c r="L186" i="1"/>
  <c r="T186" i="1" s="1"/>
  <c r="X185" i="1"/>
  <c r="W185" i="1"/>
  <c r="V185" i="1"/>
  <c r="U185" i="1"/>
  <c r="S185" i="1"/>
  <c r="R185" i="1"/>
  <c r="Q185" i="1"/>
  <c r="P185" i="1"/>
  <c r="O185" i="1"/>
  <c r="M185" i="1"/>
  <c r="N185" i="1" s="1"/>
  <c r="L185" i="1"/>
  <c r="T185" i="1" s="1"/>
  <c r="X184" i="1"/>
  <c r="W184" i="1"/>
  <c r="V184" i="1"/>
  <c r="U184" i="1"/>
  <c r="T184" i="1"/>
  <c r="S184" i="1"/>
  <c r="R184" i="1"/>
  <c r="Q184" i="1"/>
  <c r="Y184" i="1" s="1"/>
  <c r="P184" i="1"/>
  <c r="O184" i="1"/>
  <c r="M184" i="1"/>
  <c r="N184" i="1" s="1"/>
  <c r="L184" i="1"/>
  <c r="X183" i="1"/>
  <c r="W183" i="1"/>
  <c r="V183" i="1"/>
  <c r="U183" i="1"/>
  <c r="S183" i="1"/>
  <c r="R183" i="1"/>
  <c r="Q183" i="1"/>
  <c r="P183" i="1"/>
  <c r="O183" i="1"/>
  <c r="M183" i="1"/>
  <c r="N183" i="1" s="1"/>
  <c r="Y183" i="1" s="1"/>
  <c r="L183" i="1"/>
  <c r="T183" i="1" s="1"/>
  <c r="X182" i="1"/>
  <c r="W182" i="1"/>
  <c r="V182" i="1"/>
  <c r="U182" i="1"/>
  <c r="S182" i="1"/>
  <c r="R182" i="1"/>
  <c r="Q182" i="1"/>
  <c r="P182" i="1"/>
  <c r="O182" i="1"/>
  <c r="N182" i="1"/>
  <c r="M182" i="1"/>
  <c r="L182" i="1"/>
  <c r="T182" i="1" s="1"/>
  <c r="X181" i="1"/>
  <c r="W181" i="1"/>
  <c r="V181" i="1"/>
  <c r="U181" i="1"/>
  <c r="S181" i="1"/>
  <c r="R181" i="1"/>
  <c r="Q181" i="1"/>
  <c r="P181" i="1"/>
  <c r="O181" i="1"/>
  <c r="M181" i="1"/>
  <c r="N181" i="1" s="1"/>
  <c r="Y181" i="1" s="1"/>
  <c r="L181" i="1"/>
  <c r="T181" i="1" s="1"/>
  <c r="X180" i="1"/>
  <c r="W180" i="1"/>
  <c r="V180" i="1"/>
  <c r="U180" i="1"/>
  <c r="S180" i="1"/>
  <c r="R180" i="1"/>
  <c r="Q180" i="1"/>
  <c r="Y180" i="1" s="1"/>
  <c r="P180" i="1"/>
  <c r="O180" i="1"/>
  <c r="N180" i="1"/>
  <c r="M180" i="1"/>
  <c r="L180" i="1"/>
  <c r="T180" i="1" s="1"/>
  <c r="X179" i="1"/>
  <c r="W179" i="1"/>
  <c r="V179" i="1"/>
  <c r="U179" i="1"/>
  <c r="S179" i="1"/>
  <c r="R179" i="1"/>
  <c r="Q179" i="1"/>
  <c r="P179" i="1"/>
  <c r="O179" i="1"/>
  <c r="Y179" i="1" s="1"/>
  <c r="M179" i="1"/>
  <c r="N179" i="1" s="1"/>
  <c r="L179" i="1"/>
  <c r="T179" i="1" s="1"/>
  <c r="X178" i="1"/>
  <c r="W178" i="1"/>
  <c r="V178" i="1"/>
  <c r="U178" i="1"/>
  <c r="S178" i="1"/>
  <c r="R178" i="1"/>
  <c r="Q178" i="1"/>
  <c r="P178" i="1"/>
  <c r="O178" i="1"/>
  <c r="M178" i="1"/>
  <c r="N178" i="1" s="1"/>
  <c r="Y178" i="1" s="1"/>
  <c r="L178" i="1"/>
  <c r="T178" i="1" s="1"/>
  <c r="X177" i="1"/>
  <c r="W177" i="1"/>
  <c r="V177" i="1"/>
  <c r="U177" i="1"/>
  <c r="S177" i="1"/>
  <c r="R177" i="1"/>
  <c r="Q177" i="1"/>
  <c r="P177" i="1"/>
  <c r="O177" i="1"/>
  <c r="Y177" i="1" s="1"/>
  <c r="N177" i="1"/>
  <c r="M177" i="1"/>
  <c r="L177" i="1"/>
  <c r="T177" i="1" s="1"/>
  <c r="X176" i="1"/>
  <c r="W176" i="1"/>
  <c r="V176" i="1"/>
  <c r="U176" i="1"/>
  <c r="S176" i="1"/>
  <c r="R176" i="1"/>
  <c r="Q176" i="1"/>
  <c r="P176" i="1"/>
  <c r="O176" i="1"/>
  <c r="M176" i="1"/>
  <c r="N176" i="1" s="1"/>
  <c r="L176" i="1"/>
  <c r="T176" i="1" s="1"/>
  <c r="X175" i="1"/>
  <c r="W175" i="1"/>
  <c r="V175" i="1"/>
  <c r="U175" i="1"/>
  <c r="T175" i="1"/>
  <c r="S175" i="1"/>
  <c r="R175" i="1"/>
  <c r="Q175" i="1"/>
  <c r="P175" i="1"/>
  <c r="O175" i="1"/>
  <c r="M175" i="1"/>
  <c r="N175" i="1" s="1"/>
  <c r="L175" i="1"/>
  <c r="X174" i="1"/>
  <c r="W174" i="1"/>
  <c r="V174" i="1"/>
  <c r="U174" i="1"/>
  <c r="S174" i="1"/>
  <c r="R174" i="1"/>
  <c r="Q174" i="1"/>
  <c r="P174" i="1"/>
  <c r="O174" i="1"/>
  <c r="N174" i="1"/>
  <c r="Y174" i="1" s="1"/>
  <c r="M174" i="1"/>
  <c r="L174" i="1"/>
  <c r="T174" i="1" s="1"/>
  <c r="X173" i="1"/>
  <c r="W173" i="1"/>
  <c r="V173" i="1"/>
  <c r="U173" i="1"/>
  <c r="S173" i="1"/>
  <c r="R173" i="1"/>
  <c r="Q173" i="1"/>
  <c r="P173" i="1"/>
  <c r="O173" i="1"/>
  <c r="M173" i="1"/>
  <c r="N173" i="1" s="1"/>
  <c r="L173" i="1"/>
  <c r="T173" i="1" s="1"/>
  <c r="X172" i="1"/>
  <c r="W172" i="1"/>
  <c r="V172" i="1"/>
  <c r="U172" i="1"/>
  <c r="S172" i="1"/>
  <c r="R172" i="1"/>
  <c r="Q172" i="1"/>
  <c r="P172" i="1"/>
  <c r="O172" i="1"/>
  <c r="M172" i="1"/>
  <c r="N172" i="1" s="1"/>
  <c r="L172" i="1"/>
  <c r="T172" i="1" s="1"/>
  <c r="X171" i="1"/>
  <c r="W171" i="1"/>
  <c r="V171" i="1"/>
  <c r="U171" i="1"/>
  <c r="T171" i="1"/>
  <c r="S171" i="1"/>
  <c r="R171" i="1"/>
  <c r="Q171" i="1"/>
  <c r="P171" i="1"/>
  <c r="Y171" i="1" s="1"/>
  <c r="O171" i="1"/>
  <c r="M171" i="1"/>
  <c r="N171" i="1" s="1"/>
  <c r="L171" i="1"/>
  <c r="X170" i="1"/>
  <c r="W170" i="1"/>
  <c r="V170" i="1"/>
  <c r="U170" i="1"/>
  <c r="S170" i="1"/>
  <c r="R170" i="1"/>
  <c r="Q170" i="1"/>
  <c r="P170" i="1"/>
  <c r="O170" i="1"/>
  <c r="M170" i="1"/>
  <c r="N170" i="1" s="1"/>
  <c r="Y170" i="1" s="1"/>
  <c r="L170" i="1"/>
  <c r="T170" i="1" s="1"/>
  <c r="X169" i="1"/>
  <c r="W169" i="1"/>
  <c r="V169" i="1"/>
  <c r="U169" i="1"/>
  <c r="S169" i="1"/>
  <c r="R169" i="1"/>
  <c r="Q169" i="1"/>
  <c r="P169" i="1"/>
  <c r="O169" i="1"/>
  <c r="M169" i="1"/>
  <c r="N169" i="1" s="1"/>
  <c r="L169" i="1"/>
  <c r="T169" i="1" s="1"/>
  <c r="X168" i="1"/>
  <c r="W168" i="1"/>
  <c r="V168" i="1"/>
  <c r="U168" i="1"/>
  <c r="T168" i="1"/>
  <c r="S168" i="1"/>
  <c r="R168" i="1"/>
  <c r="Q168" i="1"/>
  <c r="Y168" i="1" s="1"/>
  <c r="P168" i="1"/>
  <c r="O168" i="1"/>
  <c r="M168" i="1"/>
  <c r="N168" i="1" s="1"/>
  <c r="L168" i="1"/>
  <c r="X167" i="1"/>
  <c r="W167" i="1"/>
  <c r="V167" i="1"/>
  <c r="U167" i="1"/>
  <c r="S167" i="1"/>
  <c r="R167" i="1"/>
  <c r="Q167" i="1"/>
  <c r="P167" i="1"/>
  <c r="O167" i="1"/>
  <c r="M167" i="1"/>
  <c r="N167" i="1" s="1"/>
  <c r="Y167" i="1" s="1"/>
  <c r="L167" i="1"/>
  <c r="T167" i="1" s="1"/>
  <c r="X166" i="1"/>
  <c r="W166" i="1"/>
  <c r="V166" i="1"/>
  <c r="U166" i="1"/>
  <c r="S166" i="1"/>
  <c r="R166" i="1"/>
  <c r="Q166" i="1"/>
  <c r="P166" i="1"/>
  <c r="O166" i="1"/>
  <c r="N166" i="1"/>
  <c r="M166" i="1"/>
  <c r="L166" i="1"/>
  <c r="T166" i="1" s="1"/>
  <c r="X165" i="1"/>
  <c r="W165" i="1"/>
  <c r="V165" i="1"/>
  <c r="U165" i="1"/>
  <c r="S165" i="1"/>
  <c r="R165" i="1"/>
  <c r="Q165" i="1"/>
  <c r="P165" i="1"/>
  <c r="O165" i="1"/>
  <c r="M165" i="1"/>
  <c r="N165" i="1" s="1"/>
  <c r="L165" i="1"/>
  <c r="T165" i="1" s="1"/>
  <c r="X164" i="1"/>
  <c r="W164" i="1"/>
  <c r="V164" i="1"/>
  <c r="U164" i="1"/>
  <c r="S164" i="1"/>
  <c r="R164" i="1"/>
  <c r="Q164" i="1"/>
  <c r="P164" i="1"/>
  <c r="O164" i="1"/>
  <c r="M164" i="1"/>
  <c r="N164" i="1" s="1"/>
  <c r="Y164" i="1" s="1"/>
  <c r="L164" i="1"/>
  <c r="T164" i="1" s="1"/>
  <c r="X163" i="1"/>
  <c r="W163" i="1"/>
  <c r="V163" i="1"/>
  <c r="U163" i="1"/>
  <c r="S163" i="1"/>
  <c r="R163" i="1"/>
  <c r="Q163" i="1"/>
  <c r="P163" i="1"/>
  <c r="O163" i="1"/>
  <c r="M163" i="1"/>
  <c r="N163" i="1" s="1"/>
  <c r="L163" i="1"/>
  <c r="T163" i="1" s="1"/>
  <c r="X162" i="1"/>
  <c r="W162" i="1"/>
  <c r="V162" i="1"/>
  <c r="U162" i="1"/>
  <c r="S162" i="1"/>
  <c r="R162" i="1"/>
  <c r="Q162" i="1"/>
  <c r="P162" i="1"/>
  <c r="O162" i="1"/>
  <c r="M162" i="1"/>
  <c r="N162" i="1" s="1"/>
  <c r="Y162" i="1" s="1"/>
  <c r="L162" i="1"/>
  <c r="T162" i="1" s="1"/>
  <c r="X161" i="1"/>
  <c r="W161" i="1"/>
  <c r="V161" i="1"/>
  <c r="U161" i="1"/>
  <c r="S161" i="1"/>
  <c r="R161" i="1"/>
  <c r="Q161" i="1"/>
  <c r="P161" i="1"/>
  <c r="O161" i="1"/>
  <c r="Y161" i="1" s="1"/>
  <c r="N161" i="1"/>
  <c r="M161" i="1"/>
  <c r="L161" i="1"/>
  <c r="T161" i="1" s="1"/>
  <c r="X160" i="1"/>
  <c r="W160" i="1"/>
  <c r="V160" i="1"/>
  <c r="U160" i="1"/>
  <c r="S160" i="1"/>
  <c r="R160" i="1"/>
  <c r="Q160" i="1"/>
  <c r="P160" i="1"/>
  <c r="O160" i="1"/>
  <c r="M160" i="1"/>
  <c r="N160" i="1" s="1"/>
  <c r="L160" i="1"/>
  <c r="T160" i="1" s="1"/>
  <c r="X159" i="1"/>
  <c r="W159" i="1"/>
  <c r="V159" i="1"/>
  <c r="U159" i="1"/>
  <c r="T159" i="1"/>
  <c r="S159" i="1"/>
  <c r="R159" i="1"/>
  <c r="Q159" i="1"/>
  <c r="P159" i="1"/>
  <c r="O159" i="1"/>
  <c r="M159" i="1"/>
  <c r="N159" i="1" s="1"/>
  <c r="Y159" i="1" s="1"/>
  <c r="L159" i="1"/>
  <c r="X158" i="1"/>
  <c r="W158" i="1"/>
  <c r="V158" i="1"/>
  <c r="U158" i="1"/>
  <c r="S158" i="1"/>
  <c r="R158" i="1"/>
  <c r="Q158" i="1"/>
  <c r="P158" i="1"/>
  <c r="O158" i="1"/>
  <c r="Y158" i="1" s="1"/>
  <c r="N158" i="1"/>
  <c r="M158" i="1"/>
  <c r="L158" i="1"/>
  <c r="T158" i="1" s="1"/>
  <c r="X157" i="1"/>
  <c r="W157" i="1"/>
  <c r="V157" i="1"/>
  <c r="U157" i="1"/>
  <c r="S157" i="1"/>
  <c r="R157" i="1"/>
  <c r="Q157" i="1"/>
  <c r="P157" i="1"/>
  <c r="O157" i="1"/>
  <c r="M157" i="1"/>
  <c r="N157" i="1" s="1"/>
  <c r="L157" i="1"/>
  <c r="T157" i="1" s="1"/>
  <c r="X156" i="1"/>
  <c r="W156" i="1"/>
  <c r="V156" i="1"/>
  <c r="U156" i="1"/>
  <c r="S156" i="1"/>
  <c r="R156" i="1"/>
  <c r="Q156" i="1"/>
  <c r="P156" i="1"/>
  <c r="O156" i="1"/>
  <c r="M156" i="1"/>
  <c r="N156" i="1" s="1"/>
  <c r="L156" i="1"/>
  <c r="T156" i="1" s="1"/>
  <c r="X155" i="1"/>
  <c r="W155" i="1"/>
  <c r="V155" i="1"/>
  <c r="U155" i="1"/>
  <c r="T155" i="1"/>
  <c r="S155" i="1"/>
  <c r="R155" i="1"/>
  <c r="Q155" i="1"/>
  <c r="Y155" i="1" s="1"/>
  <c r="P155" i="1"/>
  <c r="O155" i="1"/>
  <c r="M155" i="1"/>
  <c r="N155" i="1" s="1"/>
  <c r="L155" i="1"/>
  <c r="X154" i="1"/>
  <c r="W154" i="1"/>
  <c r="V154" i="1"/>
  <c r="U154" i="1"/>
  <c r="S154" i="1"/>
  <c r="R154" i="1"/>
  <c r="Q154" i="1"/>
  <c r="P154" i="1"/>
  <c r="O154" i="1"/>
  <c r="M154" i="1"/>
  <c r="N154" i="1" s="1"/>
  <c r="Y154" i="1" s="1"/>
  <c r="L154" i="1"/>
  <c r="T154" i="1" s="1"/>
  <c r="X153" i="1"/>
  <c r="W153" i="1"/>
  <c r="V153" i="1"/>
  <c r="U153" i="1"/>
  <c r="S153" i="1"/>
  <c r="R153" i="1"/>
  <c r="Q153" i="1"/>
  <c r="P153" i="1"/>
  <c r="O153" i="1"/>
  <c r="M153" i="1"/>
  <c r="N153" i="1" s="1"/>
  <c r="L153" i="1"/>
  <c r="T153" i="1" s="1"/>
  <c r="X152" i="1"/>
  <c r="W152" i="1"/>
  <c r="V152" i="1"/>
  <c r="U152" i="1"/>
  <c r="T152" i="1"/>
  <c r="S152" i="1"/>
  <c r="R152" i="1"/>
  <c r="Q152" i="1"/>
  <c r="Y152" i="1" s="1"/>
  <c r="P152" i="1"/>
  <c r="O152" i="1"/>
  <c r="M152" i="1"/>
  <c r="N152" i="1" s="1"/>
  <c r="L152" i="1"/>
  <c r="X151" i="1"/>
  <c r="W151" i="1"/>
  <c r="V151" i="1"/>
  <c r="U151" i="1"/>
  <c r="S151" i="1"/>
  <c r="R151" i="1"/>
  <c r="Q151" i="1"/>
  <c r="P151" i="1"/>
  <c r="O151" i="1"/>
  <c r="M151" i="1"/>
  <c r="N151" i="1" s="1"/>
  <c r="Y151" i="1" s="1"/>
  <c r="L151" i="1"/>
  <c r="T151" i="1" s="1"/>
  <c r="X150" i="1"/>
  <c r="W150" i="1"/>
  <c r="V150" i="1"/>
  <c r="U150" i="1"/>
  <c r="S150" i="1"/>
  <c r="R150" i="1"/>
  <c r="Q150" i="1"/>
  <c r="P150" i="1"/>
  <c r="O150" i="1"/>
  <c r="N150" i="1"/>
  <c r="M150" i="1"/>
  <c r="L150" i="1"/>
  <c r="T150" i="1" s="1"/>
  <c r="X149" i="1"/>
  <c r="W149" i="1"/>
  <c r="V149" i="1"/>
  <c r="U149" i="1"/>
  <c r="S149" i="1"/>
  <c r="R149" i="1"/>
  <c r="Q149" i="1"/>
  <c r="P149" i="1"/>
  <c r="O149" i="1"/>
  <c r="M149" i="1"/>
  <c r="N149" i="1" s="1"/>
  <c r="L149" i="1"/>
  <c r="T149" i="1" s="1"/>
  <c r="X148" i="1"/>
  <c r="W148" i="1"/>
  <c r="V148" i="1"/>
  <c r="U148" i="1"/>
  <c r="S148" i="1"/>
  <c r="R148" i="1"/>
  <c r="Q148" i="1"/>
  <c r="P148" i="1"/>
  <c r="O148" i="1"/>
  <c r="M148" i="1"/>
  <c r="N148" i="1" s="1"/>
  <c r="Y148" i="1" s="1"/>
  <c r="L148" i="1"/>
  <c r="T148" i="1" s="1"/>
  <c r="X147" i="1"/>
  <c r="W147" i="1"/>
  <c r="V147" i="1"/>
  <c r="U147" i="1"/>
  <c r="T147" i="1"/>
  <c r="S147" i="1"/>
  <c r="R147" i="1"/>
  <c r="Q147" i="1"/>
  <c r="P147" i="1"/>
  <c r="Y147" i="1" s="1"/>
  <c r="O147" i="1"/>
  <c r="M147" i="1"/>
  <c r="N147" i="1" s="1"/>
  <c r="L147" i="1"/>
  <c r="X146" i="1"/>
  <c r="W146" i="1"/>
  <c r="V146" i="1"/>
  <c r="U146" i="1"/>
  <c r="S146" i="1"/>
  <c r="R146" i="1"/>
  <c r="Q146" i="1"/>
  <c r="P146" i="1"/>
  <c r="O146" i="1"/>
  <c r="M146" i="1"/>
  <c r="N146" i="1" s="1"/>
  <c r="Y146" i="1" s="1"/>
  <c r="L146" i="1"/>
  <c r="T146" i="1" s="1"/>
  <c r="X145" i="1"/>
  <c r="W145" i="1"/>
  <c r="V145" i="1"/>
  <c r="U145" i="1"/>
  <c r="S145" i="1"/>
  <c r="R145" i="1"/>
  <c r="Q145" i="1"/>
  <c r="P145" i="1"/>
  <c r="Y145" i="1" s="1"/>
  <c r="O145" i="1"/>
  <c r="N145" i="1"/>
  <c r="M145" i="1"/>
  <c r="L145" i="1"/>
  <c r="T145" i="1" s="1"/>
  <c r="X144" i="1"/>
  <c r="W144" i="1"/>
  <c r="V144" i="1"/>
  <c r="U144" i="1"/>
  <c r="S144" i="1"/>
  <c r="R144" i="1"/>
  <c r="Q144" i="1"/>
  <c r="P144" i="1"/>
  <c r="O144" i="1"/>
  <c r="N144" i="1"/>
  <c r="Y144" i="1" s="1"/>
  <c r="M144" i="1"/>
  <c r="L144" i="1"/>
  <c r="T144" i="1" s="1"/>
  <c r="X143" i="1"/>
  <c r="W143" i="1"/>
  <c r="V143" i="1"/>
  <c r="U143" i="1"/>
  <c r="T143" i="1"/>
  <c r="S143" i="1"/>
  <c r="R143" i="1"/>
  <c r="Q143" i="1"/>
  <c r="P143" i="1"/>
  <c r="O143" i="1"/>
  <c r="M143" i="1"/>
  <c r="N143" i="1" s="1"/>
  <c r="Y143" i="1" s="1"/>
  <c r="L143" i="1"/>
  <c r="X142" i="1"/>
  <c r="W142" i="1"/>
  <c r="V142" i="1"/>
  <c r="U142" i="1"/>
  <c r="S142" i="1"/>
  <c r="R142" i="1"/>
  <c r="Q142" i="1"/>
  <c r="P142" i="1"/>
  <c r="Y142" i="1" s="1"/>
  <c r="O142" i="1"/>
  <c r="N142" i="1"/>
  <c r="M142" i="1"/>
  <c r="L142" i="1"/>
  <c r="T142" i="1" s="1"/>
  <c r="X141" i="1"/>
  <c r="W141" i="1"/>
  <c r="V141" i="1"/>
  <c r="U141" i="1"/>
  <c r="S141" i="1"/>
  <c r="R141" i="1"/>
  <c r="Q141" i="1"/>
  <c r="P141" i="1"/>
  <c r="O141" i="1"/>
  <c r="N141" i="1"/>
  <c r="M141" i="1"/>
  <c r="L141" i="1"/>
  <c r="T141" i="1" s="1"/>
  <c r="X140" i="1"/>
  <c r="W140" i="1"/>
  <c r="V140" i="1"/>
  <c r="U140" i="1"/>
  <c r="S140" i="1"/>
  <c r="R140" i="1"/>
  <c r="Q140" i="1"/>
  <c r="P140" i="1"/>
  <c r="O140" i="1"/>
  <c r="M140" i="1"/>
  <c r="N140" i="1" s="1"/>
  <c r="Y140" i="1" s="1"/>
  <c r="L140" i="1"/>
  <c r="T140" i="1" s="1"/>
  <c r="X139" i="1"/>
  <c r="W139" i="1"/>
  <c r="V139" i="1"/>
  <c r="U139" i="1"/>
  <c r="T139" i="1"/>
  <c r="S139" i="1"/>
  <c r="R139" i="1"/>
  <c r="Q139" i="1"/>
  <c r="Y139" i="1" s="1"/>
  <c r="P139" i="1"/>
  <c r="O139" i="1"/>
  <c r="M139" i="1"/>
  <c r="N139" i="1" s="1"/>
  <c r="L139" i="1"/>
  <c r="X138" i="1"/>
  <c r="W138" i="1"/>
  <c r="V138" i="1"/>
  <c r="U138" i="1"/>
  <c r="S138" i="1"/>
  <c r="R138" i="1"/>
  <c r="Q138" i="1"/>
  <c r="P138" i="1"/>
  <c r="O138" i="1"/>
  <c r="N138" i="1"/>
  <c r="Y138" i="1" s="1"/>
  <c r="M138" i="1"/>
  <c r="L138" i="1"/>
  <c r="T138" i="1" s="1"/>
  <c r="X137" i="1"/>
  <c r="W137" i="1"/>
  <c r="V137" i="1"/>
  <c r="U137" i="1"/>
  <c r="S137" i="1"/>
  <c r="R137" i="1"/>
  <c r="Q137" i="1"/>
  <c r="P137" i="1"/>
  <c r="O137" i="1"/>
  <c r="M137" i="1"/>
  <c r="N137" i="1" s="1"/>
  <c r="L137" i="1"/>
  <c r="T137" i="1" s="1"/>
  <c r="X136" i="1"/>
  <c r="W136" i="1"/>
  <c r="V136" i="1"/>
  <c r="U136" i="1"/>
  <c r="T136" i="1"/>
  <c r="S136" i="1"/>
  <c r="R136" i="1"/>
  <c r="Q136" i="1"/>
  <c r="Y136" i="1" s="1"/>
  <c r="P136" i="1"/>
  <c r="O136" i="1"/>
  <c r="M136" i="1"/>
  <c r="N136" i="1" s="1"/>
  <c r="L136" i="1"/>
  <c r="X135" i="1"/>
  <c r="W135" i="1"/>
  <c r="V135" i="1"/>
  <c r="U135" i="1"/>
  <c r="S135" i="1"/>
  <c r="R135" i="1"/>
  <c r="Q135" i="1"/>
  <c r="P135" i="1"/>
  <c r="O135" i="1"/>
  <c r="M135" i="1"/>
  <c r="N135" i="1" s="1"/>
  <c r="Y135" i="1" s="1"/>
  <c r="L135" i="1"/>
  <c r="T135" i="1" s="1"/>
  <c r="X134" i="1"/>
  <c r="W134" i="1"/>
  <c r="V134" i="1"/>
  <c r="U134" i="1"/>
  <c r="S134" i="1"/>
  <c r="R134" i="1"/>
  <c r="Q134" i="1"/>
  <c r="P134" i="1"/>
  <c r="O134" i="1"/>
  <c r="M134" i="1"/>
  <c r="N134" i="1" s="1"/>
  <c r="Y134" i="1" s="1"/>
  <c r="L134" i="1"/>
  <c r="T134" i="1" s="1"/>
  <c r="X133" i="1"/>
  <c r="W133" i="1"/>
  <c r="V133" i="1"/>
  <c r="U133" i="1"/>
  <c r="S133" i="1"/>
  <c r="R133" i="1"/>
  <c r="Q133" i="1"/>
  <c r="P133" i="1"/>
  <c r="O133" i="1"/>
  <c r="Y133" i="1" s="1"/>
  <c r="M133" i="1"/>
  <c r="N133" i="1" s="1"/>
  <c r="L133" i="1"/>
  <c r="T133" i="1" s="1"/>
  <c r="X132" i="1"/>
  <c r="W132" i="1"/>
  <c r="V132" i="1"/>
  <c r="U132" i="1"/>
  <c r="S132" i="1"/>
  <c r="R132" i="1"/>
  <c r="Q132" i="1"/>
  <c r="P132" i="1"/>
  <c r="O132" i="1"/>
  <c r="M132" i="1"/>
  <c r="N132" i="1" s="1"/>
  <c r="Y132" i="1" s="1"/>
  <c r="L132" i="1"/>
  <c r="T132" i="1" s="1"/>
  <c r="X131" i="1"/>
  <c r="W131" i="1"/>
  <c r="V131" i="1"/>
  <c r="U131" i="1"/>
  <c r="T131" i="1"/>
  <c r="S131" i="1"/>
  <c r="R131" i="1"/>
  <c r="Q131" i="1"/>
  <c r="Y131" i="1" s="1"/>
  <c r="P131" i="1"/>
  <c r="O131" i="1"/>
  <c r="M131" i="1"/>
  <c r="N131" i="1" s="1"/>
  <c r="L131" i="1"/>
  <c r="X130" i="1"/>
  <c r="W130" i="1"/>
  <c r="V130" i="1"/>
  <c r="U130" i="1"/>
  <c r="S130" i="1"/>
  <c r="R130" i="1"/>
  <c r="Q130" i="1"/>
  <c r="P130" i="1"/>
  <c r="O130" i="1"/>
  <c r="M130" i="1"/>
  <c r="N130" i="1" s="1"/>
  <c r="Y130" i="1" s="1"/>
  <c r="L130" i="1"/>
  <c r="T130" i="1" s="1"/>
  <c r="X129" i="1"/>
  <c r="W129" i="1"/>
  <c r="V129" i="1"/>
  <c r="U129" i="1"/>
  <c r="S129" i="1"/>
  <c r="R129" i="1"/>
  <c r="Q129" i="1"/>
  <c r="P129" i="1"/>
  <c r="O129" i="1"/>
  <c r="M129" i="1"/>
  <c r="N129" i="1" s="1"/>
  <c r="Y129" i="1" s="1"/>
  <c r="L129" i="1"/>
  <c r="T129" i="1" s="1"/>
  <c r="X128" i="1"/>
  <c r="W128" i="1"/>
  <c r="V128" i="1"/>
  <c r="U128" i="1"/>
  <c r="S128" i="1"/>
  <c r="R128" i="1"/>
  <c r="Q128" i="1"/>
  <c r="P128" i="1"/>
  <c r="O128" i="1"/>
  <c r="Y128" i="1" s="1"/>
  <c r="N128" i="1"/>
  <c r="M128" i="1"/>
  <c r="L128" i="1"/>
  <c r="T128" i="1" s="1"/>
  <c r="X127" i="1"/>
  <c r="W127" i="1"/>
  <c r="V127" i="1"/>
  <c r="U127" i="1"/>
  <c r="S127" i="1"/>
  <c r="R127" i="1"/>
  <c r="Q127" i="1"/>
  <c r="P127" i="1"/>
  <c r="O127" i="1"/>
  <c r="M127" i="1"/>
  <c r="N127" i="1" s="1"/>
  <c r="L127" i="1"/>
  <c r="T127" i="1" s="1"/>
  <c r="X126" i="1"/>
  <c r="W126" i="1"/>
  <c r="V126" i="1"/>
  <c r="U126" i="1"/>
  <c r="S126" i="1"/>
  <c r="R126" i="1"/>
  <c r="Q126" i="1"/>
  <c r="P126" i="1"/>
  <c r="O126" i="1"/>
  <c r="M126" i="1"/>
  <c r="N126" i="1" s="1"/>
  <c r="Y126" i="1" s="1"/>
  <c r="L126" i="1"/>
  <c r="T126" i="1" s="1"/>
  <c r="X125" i="1"/>
  <c r="W125" i="1"/>
  <c r="V125" i="1"/>
  <c r="U125" i="1"/>
  <c r="S125" i="1"/>
  <c r="R125" i="1"/>
  <c r="Q125" i="1"/>
  <c r="P125" i="1"/>
  <c r="O125" i="1"/>
  <c r="N125" i="1"/>
  <c r="M125" i="1"/>
  <c r="L125" i="1"/>
  <c r="T125" i="1" s="1"/>
  <c r="X124" i="1"/>
  <c r="W124" i="1"/>
  <c r="V124" i="1"/>
  <c r="U124" i="1"/>
  <c r="S124" i="1"/>
  <c r="R124" i="1"/>
  <c r="Q124" i="1"/>
  <c r="P124" i="1"/>
  <c r="O124" i="1"/>
  <c r="M124" i="1"/>
  <c r="N124" i="1" s="1"/>
  <c r="L124" i="1"/>
  <c r="T124" i="1" s="1"/>
  <c r="X123" i="1"/>
  <c r="W123" i="1"/>
  <c r="V123" i="1"/>
  <c r="U123" i="1"/>
  <c r="T123" i="1"/>
  <c r="S123" i="1"/>
  <c r="R123" i="1"/>
  <c r="Q123" i="1"/>
  <c r="P123" i="1"/>
  <c r="O123" i="1"/>
  <c r="Y123" i="1" s="1"/>
  <c r="M123" i="1"/>
  <c r="N123" i="1" s="1"/>
  <c r="L123" i="1"/>
  <c r="X122" i="1"/>
  <c r="W122" i="1"/>
  <c r="V122" i="1"/>
  <c r="U122" i="1"/>
  <c r="S122" i="1"/>
  <c r="R122" i="1"/>
  <c r="Q122" i="1"/>
  <c r="P122" i="1"/>
  <c r="O122" i="1"/>
  <c r="Y122" i="1" s="1"/>
  <c r="N122" i="1"/>
  <c r="M122" i="1"/>
  <c r="L122" i="1"/>
  <c r="T122" i="1" s="1"/>
  <c r="X121" i="1"/>
  <c r="W121" i="1"/>
  <c r="V121" i="1"/>
  <c r="U121" i="1"/>
  <c r="S121" i="1"/>
  <c r="R121" i="1"/>
  <c r="Q121" i="1"/>
  <c r="P121" i="1"/>
  <c r="O121" i="1"/>
  <c r="M121" i="1"/>
  <c r="N121" i="1" s="1"/>
  <c r="L121" i="1"/>
  <c r="T121" i="1" s="1"/>
  <c r="X120" i="1"/>
  <c r="W120" i="1"/>
  <c r="V120" i="1"/>
  <c r="U120" i="1"/>
  <c r="T120" i="1"/>
  <c r="S120" i="1"/>
  <c r="R120" i="1"/>
  <c r="Q120" i="1"/>
  <c r="P120" i="1"/>
  <c r="O120" i="1"/>
  <c r="M120" i="1"/>
  <c r="N120" i="1" s="1"/>
  <c r="Y120" i="1" s="1"/>
  <c r="L120" i="1"/>
  <c r="X119" i="1"/>
  <c r="W119" i="1"/>
  <c r="V119" i="1"/>
  <c r="U119" i="1"/>
  <c r="T119" i="1"/>
  <c r="S119" i="1"/>
  <c r="R119" i="1"/>
  <c r="Q119" i="1"/>
  <c r="P119" i="1"/>
  <c r="Y119" i="1" s="1"/>
  <c r="O119" i="1"/>
  <c r="M119" i="1"/>
  <c r="N119" i="1" s="1"/>
  <c r="L119" i="1"/>
  <c r="X118" i="1"/>
  <c r="W118" i="1"/>
  <c r="V118" i="1"/>
  <c r="U118" i="1"/>
  <c r="S118" i="1"/>
  <c r="R118" i="1"/>
  <c r="Q118" i="1"/>
  <c r="P118" i="1"/>
  <c r="O118" i="1"/>
  <c r="M118" i="1"/>
  <c r="N118" i="1" s="1"/>
  <c r="Y118" i="1" s="1"/>
  <c r="L118" i="1"/>
  <c r="T118" i="1" s="1"/>
  <c r="X117" i="1"/>
  <c r="W117" i="1"/>
  <c r="V117" i="1"/>
  <c r="U117" i="1"/>
  <c r="S117" i="1"/>
  <c r="R117" i="1"/>
  <c r="Q117" i="1"/>
  <c r="P117" i="1"/>
  <c r="O117" i="1"/>
  <c r="M117" i="1"/>
  <c r="N117" i="1" s="1"/>
  <c r="L117" i="1"/>
  <c r="T117" i="1" s="1"/>
  <c r="X116" i="1"/>
  <c r="W116" i="1"/>
  <c r="V116" i="1"/>
  <c r="U116" i="1"/>
  <c r="S116" i="1"/>
  <c r="R116" i="1"/>
  <c r="Q116" i="1"/>
  <c r="P116" i="1"/>
  <c r="O116" i="1"/>
  <c r="N116" i="1"/>
  <c r="M116" i="1"/>
  <c r="L116" i="1"/>
  <c r="T116" i="1" s="1"/>
  <c r="Y116" i="1" s="1"/>
  <c r="X115" i="1"/>
  <c r="W115" i="1"/>
  <c r="V115" i="1"/>
  <c r="U115" i="1"/>
  <c r="S115" i="1"/>
  <c r="R115" i="1"/>
  <c r="Q115" i="1"/>
  <c r="P115" i="1"/>
  <c r="O115" i="1"/>
  <c r="M115" i="1"/>
  <c r="N115" i="1" s="1"/>
  <c r="L115" i="1"/>
  <c r="T115" i="1" s="1"/>
  <c r="X114" i="1"/>
  <c r="W114" i="1"/>
  <c r="V114" i="1"/>
  <c r="U114" i="1"/>
  <c r="S114" i="1"/>
  <c r="R114" i="1"/>
  <c r="Q114" i="1"/>
  <c r="P114" i="1"/>
  <c r="O114" i="1"/>
  <c r="M114" i="1"/>
  <c r="N114" i="1" s="1"/>
  <c r="Y114" i="1" s="1"/>
  <c r="L114" i="1"/>
  <c r="T114" i="1" s="1"/>
  <c r="X113" i="1"/>
  <c r="W113" i="1"/>
  <c r="V113" i="1"/>
  <c r="U113" i="1"/>
  <c r="S113" i="1"/>
  <c r="R113" i="1"/>
  <c r="Q113" i="1"/>
  <c r="P113" i="1"/>
  <c r="O113" i="1"/>
  <c r="N113" i="1"/>
  <c r="M113" i="1"/>
  <c r="L113" i="1"/>
  <c r="T113" i="1" s="1"/>
  <c r="X112" i="1"/>
  <c r="W112" i="1"/>
  <c r="V112" i="1"/>
  <c r="U112" i="1"/>
  <c r="S112" i="1"/>
  <c r="R112" i="1"/>
  <c r="Q112" i="1"/>
  <c r="P112" i="1"/>
  <c r="O112" i="1"/>
  <c r="N112" i="1"/>
  <c r="Y112" i="1" s="1"/>
  <c r="M112" i="1"/>
  <c r="L112" i="1"/>
  <c r="T112" i="1" s="1"/>
  <c r="X111" i="1"/>
  <c r="W111" i="1"/>
  <c r="V111" i="1"/>
  <c r="U111" i="1"/>
  <c r="T111" i="1"/>
  <c r="S111" i="1"/>
  <c r="R111" i="1"/>
  <c r="Q111" i="1"/>
  <c r="P111" i="1"/>
  <c r="O111" i="1"/>
  <c r="M111" i="1"/>
  <c r="N111" i="1" s="1"/>
  <c r="Y111" i="1" s="1"/>
  <c r="L111" i="1"/>
  <c r="X110" i="1"/>
  <c r="W110" i="1"/>
  <c r="V110" i="1"/>
  <c r="U110" i="1"/>
  <c r="S110" i="1"/>
  <c r="R110" i="1"/>
  <c r="Q110" i="1"/>
  <c r="P110" i="1"/>
  <c r="Y110" i="1" s="1"/>
  <c r="O110" i="1"/>
  <c r="N110" i="1"/>
  <c r="M110" i="1"/>
  <c r="L110" i="1"/>
  <c r="T110" i="1" s="1"/>
  <c r="X109" i="1"/>
  <c r="W109" i="1"/>
  <c r="V109" i="1"/>
  <c r="U109" i="1"/>
  <c r="S109" i="1"/>
  <c r="R109" i="1"/>
  <c r="Q109" i="1"/>
  <c r="P109" i="1"/>
  <c r="O109" i="1"/>
  <c r="N109" i="1"/>
  <c r="M109" i="1"/>
  <c r="L109" i="1"/>
  <c r="T109" i="1" s="1"/>
  <c r="X108" i="1"/>
  <c r="W108" i="1"/>
  <c r="V108" i="1"/>
  <c r="U108" i="1"/>
  <c r="S108" i="1"/>
  <c r="R108" i="1"/>
  <c r="Q108" i="1"/>
  <c r="P108" i="1"/>
  <c r="O108" i="1"/>
  <c r="M108" i="1"/>
  <c r="N108" i="1" s="1"/>
  <c r="Y108" i="1" s="1"/>
  <c r="L108" i="1"/>
  <c r="T108" i="1" s="1"/>
  <c r="X107" i="1"/>
  <c r="W107" i="1"/>
  <c r="V107" i="1"/>
  <c r="U107" i="1"/>
  <c r="T107" i="1"/>
  <c r="S107" i="1"/>
  <c r="R107" i="1"/>
  <c r="Q107" i="1"/>
  <c r="Y107" i="1" s="1"/>
  <c r="P107" i="1"/>
  <c r="O107" i="1"/>
  <c r="M107" i="1"/>
  <c r="N107" i="1" s="1"/>
  <c r="L107" i="1"/>
  <c r="X106" i="1"/>
  <c r="W106" i="1"/>
  <c r="V106" i="1"/>
  <c r="U106" i="1"/>
  <c r="S106" i="1"/>
  <c r="R106" i="1"/>
  <c r="Q106" i="1"/>
  <c r="P106" i="1"/>
  <c r="O106" i="1"/>
  <c r="N106" i="1"/>
  <c r="Y106" i="1" s="1"/>
  <c r="M106" i="1"/>
  <c r="L106" i="1"/>
  <c r="T106" i="1" s="1"/>
  <c r="X105" i="1"/>
  <c r="W105" i="1"/>
  <c r="V105" i="1"/>
  <c r="U105" i="1"/>
  <c r="T105" i="1"/>
  <c r="S105" i="1"/>
  <c r="R105" i="1"/>
  <c r="Q105" i="1"/>
  <c r="P105" i="1"/>
  <c r="O105" i="1"/>
  <c r="M105" i="1"/>
  <c r="N105" i="1" s="1"/>
  <c r="Y105" i="1" s="1"/>
  <c r="L105" i="1"/>
  <c r="X104" i="1"/>
  <c r="W104" i="1"/>
  <c r="V104" i="1"/>
  <c r="U104" i="1"/>
  <c r="S104" i="1"/>
  <c r="R104" i="1"/>
  <c r="Q104" i="1"/>
  <c r="P104" i="1"/>
  <c r="O104" i="1"/>
  <c r="M104" i="1"/>
  <c r="N104" i="1" s="1"/>
  <c r="L104" i="1"/>
  <c r="T104" i="1" s="1"/>
  <c r="X103" i="1"/>
  <c r="W103" i="1"/>
  <c r="V103" i="1"/>
  <c r="U103" i="1"/>
  <c r="T103" i="1"/>
  <c r="S103" i="1"/>
  <c r="R103" i="1"/>
  <c r="Q103" i="1"/>
  <c r="P103" i="1"/>
  <c r="Y103" i="1" s="1"/>
  <c r="O103" i="1"/>
  <c r="M103" i="1"/>
  <c r="N103" i="1" s="1"/>
  <c r="L103" i="1"/>
  <c r="X102" i="1"/>
  <c r="W102" i="1"/>
  <c r="V102" i="1"/>
  <c r="U102" i="1"/>
  <c r="S102" i="1"/>
  <c r="R102" i="1"/>
  <c r="Q102" i="1"/>
  <c r="P102" i="1"/>
  <c r="O102" i="1"/>
  <c r="M102" i="1"/>
  <c r="N102" i="1" s="1"/>
  <c r="Y102" i="1" s="1"/>
  <c r="L102" i="1"/>
  <c r="T102" i="1" s="1"/>
  <c r="X101" i="1"/>
  <c r="W101" i="1"/>
  <c r="V101" i="1"/>
  <c r="U101" i="1"/>
  <c r="S101" i="1"/>
  <c r="R101" i="1"/>
  <c r="Q101" i="1"/>
  <c r="P101" i="1"/>
  <c r="O101" i="1"/>
  <c r="M101" i="1"/>
  <c r="N101" i="1" s="1"/>
  <c r="L101" i="1"/>
  <c r="T101" i="1" s="1"/>
  <c r="X100" i="1"/>
  <c r="W100" i="1"/>
  <c r="V100" i="1"/>
  <c r="U100" i="1"/>
  <c r="S100" i="1"/>
  <c r="R100" i="1"/>
  <c r="Q100" i="1"/>
  <c r="P100" i="1"/>
  <c r="O100" i="1"/>
  <c r="N100" i="1"/>
  <c r="M100" i="1"/>
  <c r="L100" i="1"/>
  <c r="T100" i="1" s="1"/>
  <c r="X99" i="1"/>
  <c r="W99" i="1"/>
  <c r="V99" i="1"/>
  <c r="U99" i="1"/>
  <c r="S99" i="1"/>
  <c r="R99" i="1"/>
  <c r="Q99" i="1"/>
  <c r="P99" i="1"/>
  <c r="O99" i="1"/>
  <c r="M99" i="1"/>
  <c r="N99" i="1" s="1"/>
  <c r="Y99" i="1" s="1"/>
  <c r="L99" i="1"/>
  <c r="T99" i="1" s="1"/>
  <c r="X98" i="1"/>
  <c r="W98" i="1"/>
  <c r="V98" i="1"/>
  <c r="U98" i="1"/>
  <c r="S98" i="1"/>
  <c r="R98" i="1"/>
  <c r="Q98" i="1"/>
  <c r="P98" i="1"/>
  <c r="O98" i="1"/>
  <c r="M98" i="1"/>
  <c r="N98" i="1" s="1"/>
  <c r="Y98" i="1" s="1"/>
  <c r="L98" i="1"/>
  <c r="T98" i="1" s="1"/>
  <c r="X97" i="1"/>
  <c r="W97" i="1"/>
  <c r="V97" i="1"/>
  <c r="U97" i="1"/>
  <c r="S97" i="1"/>
  <c r="R97" i="1"/>
  <c r="Q97" i="1"/>
  <c r="P97" i="1"/>
  <c r="O97" i="1"/>
  <c r="N97" i="1"/>
  <c r="M97" i="1"/>
  <c r="L97" i="1"/>
  <c r="T97" i="1" s="1"/>
  <c r="X96" i="1"/>
  <c r="W96" i="1"/>
  <c r="V96" i="1"/>
  <c r="U96" i="1"/>
  <c r="S96" i="1"/>
  <c r="R96" i="1"/>
  <c r="Q96" i="1"/>
  <c r="P96" i="1"/>
  <c r="O96" i="1"/>
  <c r="N96" i="1"/>
  <c r="Y96" i="1" s="1"/>
  <c r="M96" i="1"/>
  <c r="L96" i="1"/>
  <c r="T96" i="1" s="1"/>
  <c r="X95" i="1"/>
  <c r="W95" i="1"/>
  <c r="V95" i="1"/>
  <c r="U95" i="1"/>
  <c r="T95" i="1"/>
  <c r="S95" i="1"/>
  <c r="R95" i="1"/>
  <c r="Q95" i="1"/>
  <c r="P95" i="1"/>
  <c r="O95" i="1"/>
  <c r="M95" i="1"/>
  <c r="N95" i="1" s="1"/>
  <c r="Y95" i="1" s="1"/>
  <c r="L95" i="1"/>
  <c r="X94" i="1"/>
  <c r="W94" i="1"/>
  <c r="V94" i="1"/>
  <c r="U94" i="1"/>
  <c r="S94" i="1"/>
  <c r="R94" i="1"/>
  <c r="Q94" i="1"/>
  <c r="P94" i="1"/>
  <c r="Y94" i="1" s="1"/>
  <c r="O94" i="1"/>
  <c r="N94" i="1"/>
  <c r="M94" i="1"/>
  <c r="L94" i="1"/>
  <c r="T94" i="1" s="1"/>
  <c r="X93" i="1"/>
  <c r="W93" i="1"/>
  <c r="V93" i="1"/>
  <c r="U93" i="1"/>
  <c r="S93" i="1"/>
  <c r="R93" i="1"/>
  <c r="Q93" i="1"/>
  <c r="P93" i="1"/>
  <c r="O93" i="1"/>
  <c r="N93" i="1"/>
  <c r="M93" i="1"/>
  <c r="L93" i="1"/>
  <c r="T93" i="1" s="1"/>
  <c r="X92" i="1"/>
  <c r="W92" i="1"/>
  <c r="V92" i="1"/>
  <c r="U92" i="1"/>
  <c r="S92" i="1"/>
  <c r="R92" i="1"/>
  <c r="Q92" i="1"/>
  <c r="P92" i="1"/>
  <c r="O92" i="1"/>
  <c r="M92" i="1"/>
  <c r="N92" i="1" s="1"/>
  <c r="Y92" i="1" s="1"/>
  <c r="L92" i="1"/>
  <c r="T92" i="1" s="1"/>
  <c r="X91" i="1"/>
  <c r="W91" i="1"/>
  <c r="V91" i="1"/>
  <c r="U91" i="1"/>
  <c r="S91" i="1"/>
  <c r="R91" i="1"/>
  <c r="Q91" i="1"/>
  <c r="P91" i="1"/>
  <c r="O91" i="1"/>
  <c r="M91" i="1"/>
  <c r="N91" i="1" s="1"/>
  <c r="L91" i="1"/>
  <c r="T91" i="1" s="1"/>
  <c r="X90" i="1"/>
  <c r="W90" i="1"/>
  <c r="V90" i="1"/>
  <c r="U90" i="1"/>
  <c r="S90" i="1"/>
  <c r="R90" i="1"/>
  <c r="Q90" i="1"/>
  <c r="P90" i="1"/>
  <c r="O90" i="1"/>
  <c r="M90" i="1"/>
  <c r="N90" i="1" s="1"/>
  <c r="Y90" i="1" s="1"/>
  <c r="L90" i="1"/>
  <c r="T90" i="1" s="1"/>
  <c r="X89" i="1"/>
  <c r="W89" i="1"/>
  <c r="V89" i="1"/>
  <c r="U89" i="1"/>
  <c r="S89" i="1"/>
  <c r="R89" i="1"/>
  <c r="Q89" i="1"/>
  <c r="P89" i="1"/>
  <c r="O89" i="1"/>
  <c r="N89" i="1"/>
  <c r="M89" i="1"/>
  <c r="L89" i="1"/>
  <c r="T89" i="1" s="1"/>
  <c r="X88" i="1"/>
  <c r="W88" i="1"/>
  <c r="V88" i="1"/>
  <c r="U88" i="1"/>
  <c r="S88" i="1"/>
  <c r="R88" i="1"/>
  <c r="Q88" i="1"/>
  <c r="P88" i="1"/>
  <c r="O88" i="1"/>
  <c r="M88" i="1"/>
  <c r="N88" i="1" s="1"/>
  <c r="L88" i="1"/>
  <c r="T88" i="1" s="1"/>
  <c r="X87" i="1"/>
  <c r="W87" i="1"/>
  <c r="V87" i="1"/>
  <c r="U87" i="1"/>
  <c r="S87" i="1"/>
  <c r="R87" i="1"/>
  <c r="Q87" i="1"/>
  <c r="P87" i="1"/>
  <c r="O87" i="1"/>
  <c r="M87" i="1"/>
  <c r="N87" i="1" s="1"/>
  <c r="Y87" i="1" s="1"/>
  <c r="L87" i="1"/>
  <c r="T87" i="1" s="1"/>
  <c r="X86" i="1"/>
  <c r="W86" i="1"/>
  <c r="V86" i="1"/>
  <c r="U86" i="1"/>
  <c r="S86" i="1"/>
  <c r="R86" i="1"/>
  <c r="Q86" i="1"/>
  <c r="P86" i="1"/>
  <c r="O86" i="1"/>
  <c r="M86" i="1"/>
  <c r="N86" i="1" s="1"/>
  <c r="L86" i="1"/>
  <c r="T86" i="1" s="1"/>
  <c r="X85" i="1"/>
  <c r="W85" i="1"/>
  <c r="V85" i="1"/>
  <c r="U85" i="1"/>
  <c r="S85" i="1"/>
  <c r="R85" i="1"/>
  <c r="Q85" i="1"/>
  <c r="P85" i="1"/>
  <c r="O85" i="1"/>
  <c r="N85" i="1"/>
  <c r="Y85" i="1" s="1"/>
  <c r="M85" i="1"/>
  <c r="L85" i="1"/>
  <c r="T85" i="1" s="1"/>
  <c r="X84" i="1"/>
  <c r="W84" i="1"/>
  <c r="V84" i="1"/>
  <c r="U84" i="1"/>
  <c r="S84" i="1"/>
  <c r="R84" i="1"/>
  <c r="Q84" i="1"/>
  <c r="P84" i="1"/>
  <c r="O84" i="1"/>
  <c r="M84" i="1"/>
  <c r="N84" i="1" s="1"/>
  <c r="L84" i="1"/>
  <c r="T84" i="1" s="1"/>
  <c r="X83" i="1"/>
  <c r="W83" i="1"/>
  <c r="V83" i="1"/>
  <c r="U83" i="1"/>
  <c r="S83" i="1"/>
  <c r="R83" i="1"/>
  <c r="Q83" i="1"/>
  <c r="P83" i="1"/>
  <c r="O83" i="1"/>
  <c r="M83" i="1"/>
  <c r="N83" i="1" s="1"/>
  <c r="L83" i="1"/>
  <c r="T83" i="1" s="1"/>
  <c r="X82" i="1"/>
  <c r="W82" i="1"/>
  <c r="V82" i="1"/>
  <c r="U82" i="1"/>
  <c r="S82" i="1"/>
  <c r="R82" i="1"/>
  <c r="Q82" i="1"/>
  <c r="P82" i="1"/>
  <c r="O82" i="1"/>
  <c r="M82" i="1"/>
  <c r="N82" i="1" s="1"/>
  <c r="Y82" i="1" s="1"/>
  <c r="L82" i="1"/>
  <c r="T82" i="1" s="1"/>
  <c r="X81" i="1"/>
  <c r="W81" i="1"/>
  <c r="V81" i="1"/>
  <c r="U81" i="1"/>
  <c r="S81" i="1"/>
  <c r="R81" i="1"/>
  <c r="Q81" i="1"/>
  <c r="P81" i="1"/>
  <c r="O81" i="1"/>
  <c r="N81" i="1"/>
  <c r="M81" i="1"/>
  <c r="L81" i="1"/>
  <c r="T81" i="1" s="1"/>
  <c r="X80" i="1"/>
  <c r="W80" i="1"/>
  <c r="V80" i="1"/>
  <c r="U80" i="1"/>
  <c r="S80" i="1"/>
  <c r="R80" i="1"/>
  <c r="Q80" i="1"/>
  <c r="P80" i="1"/>
  <c r="O80" i="1"/>
  <c r="M80" i="1"/>
  <c r="N80" i="1" s="1"/>
  <c r="L80" i="1"/>
  <c r="T80" i="1" s="1"/>
  <c r="X79" i="1"/>
  <c r="W79" i="1"/>
  <c r="V79" i="1"/>
  <c r="U79" i="1"/>
  <c r="S79" i="1"/>
  <c r="R79" i="1"/>
  <c r="Q79" i="1"/>
  <c r="P79" i="1"/>
  <c r="O79" i="1"/>
  <c r="M79" i="1"/>
  <c r="N79" i="1" s="1"/>
  <c r="L79" i="1"/>
  <c r="T79" i="1" s="1"/>
  <c r="X78" i="1"/>
  <c r="W78" i="1"/>
  <c r="V78" i="1"/>
  <c r="U78" i="1"/>
  <c r="S78" i="1"/>
  <c r="R78" i="1"/>
  <c r="Q78" i="1"/>
  <c r="P78" i="1"/>
  <c r="O78" i="1"/>
  <c r="M78" i="1"/>
  <c r="N78" i="1" s="1"/>
  <c r="L78" i="1"/>
  <c r="T78" i="1" s="1"/>
  <c r="X77" i="1"/>
  <c r="W77" i="1"/>
  <c r="V77" i="1"/>
  <c r="U77" i="1"/>
  <c r="S77" i="1"/>
  <c r="R77" i="1"/>
  <c r="Q77" i="1"/>
  <c r="P77" i="1"/>
  <c r="O77" i="1"/>
  <c r="N77" i="1"/>
  <c r="Y77" i="1" s="1"/>
  <c r="M77" i="1"/>
  <c r="L77" i="1"/>
  <c r="T77" i="1" s="1"/>
  <c r="X76" i="1"/>
  <c r="W76" i="1"/>
  <c r="V76" i="1"/>
  <c r="U76" i="1"/>
  <c r="S76" i="1"/>
  <c r="R76" i="1"/>
  <c r="Q76" i="1"/>
  <c r="P76" i="1"/>
  <c r="O76" i="1"/>
  <c r="M76" i="1"/>
  <c r="N76" i="1" s="1"/>
  <c r="L76" i="1"/>
  <c r="T76" i="1" s="1"/>
  <c r="X75" i="1"/>
  <c r="W75" i="1"/>
  <c r="V75" i="1"/>
  <c r="U75" i="1"/>
  <c r="S75" i="1"/>
  <c r="R75" i="1"/>
  <c r="Q75" i="1"/>
  <c r="P75" i="1"/>
  <c r="O75" i="1"/>
  <c r="M75" i="1"/>
  <c r="N75" i="1" s="1"/>
  <c r="L75" i="1"/>
  <c r="T75" i="1" s="1"/>
  <c r="X74" i="1"/>
  <c r="W74" i="1"/>
  <c r="V74" i="1"/>
  <c r="U74" i="1"/>
  <c r="S74" i="1"/>
  <c r="R74" i="1"/>
  <c r="Q74" i="1"/>
  <c r="P74" i="1"/>
  <c r="O74" i="1"/>
  <c r="M74" i="1"/>
  <c r="N74" i="1" s="1"/>
  <c r="L74" i="1"/>
  <c r="T74" i="1" s="1"/>
  <c r="X73" i="1"/>
  <c r="W73" i="1"/>
  <c r="V73" i="1"/>
  <c r="U73" i="1"/>
  <c r="S73" i="1"/>
  <c r="R73" i="1"/>
  <c r="Q73" i="1"/>
  <c r="P73" i="1"/>
  <c r="O73" i="1"/>
  <c r="N73" i="1"/>
  <c r="Y73" i="1" s="1"/>
  <c r="M73" i="1"/>
  <c r="L73" i="1"/>
  <c r="T73" i="1" s="1"/>
  <c r="X72" i="1"/>
  <c r="W72" i="1"/>
  <c r="V72" i="1"/>
  <c r="U72" i="1"/>
  <c r="S72" i="1"/>
  <c r="R72" i="1"/>
  <c r="Q72" i="1"/>
  <c r="P72" i="1"/>
  <c r="O72" i="1"/>
  <c r="M72" i="1"/>
  <c r="N72" i="1" s="1"/>
  <c r="L72" i="1"/>
  <c r="T72" i="1" s="1"/>
  <c r="X71" i="1"/>
  <c r="W71" i="1"/>
  <c r="V71" i="1"/>
  <c r="U71" i="1"/>
  <c r="S71" i="1"/>
  <c r="R71" i="1"/>
  <c r="Q71" i="1"/>
  <c r="P71" i="1"/>
  <c r="O71" i="1"/>
  <c r="M71" i="1"/>
  <c r="N71" i="1" s="1"/>
  <c r="L71" i="1"/>
  <c r="T71" i="1" s="1"/>
  <c r="X70" i="1"/>
  <c r="W70" i="1"/>
  <c r="V70" i="1"/>
  <c r="U70" i="1"/>
  <c r="S70" i="1"/>
  <c r="R70" i="1"/>
  <c r="Q70" i="1"/>
  <c r="P70" i="1"/>
  <c r="O70" i="1"/>
  <c r="M70" i="1"/>
  <c r="N70" i="1" s="1"/>
  <c r="L70" i="1"/>
  <c r="T70" i="1" s="1"/>
  <c r="X69" i="1"/>
  <c r="W69" i="1"/>
  <c r="V69" i="1"/>
  <c r="U69" i="1"/>
  <c r="S69" i="1"/>
  <c r="R69" i="1"/>
  <c r="Q69" i="1"/>
  <c r="P69" i="1"/>
  <c r="O69" i="1"/>
  <c r="N69" i="1"/>
  <c r="M69" i="1"/>
  <c r="L69" i="1"/>
  <c r="T69" i="1" s="1"/>
  <c r="X68" i="1"/>
  <c r="W68" i="1"/>
  <c r="V68" i="1"/>
  <c r="U68" i="1"/>
  <c r="S68" i="1"/>
  <c r="R68" i="1"/>
  <c r="Q68" i="1"/>
  <c r="P68" i="1"/>
  <c r="O68" i="1"/>
  <c r="M68" i="1"/>
  <c r="N68" i="1" s="1"/>
  <c r="Y68" i="1" s="1"/>
  <c r="L68" i="1"/>
  <c r="T68" i="1" s="1"/>
  <c r="X67" i="1"/>
  <c r="W67" i="1"/>
  <c r="V67" i="1"/>
  <c r="U67" i="1"/>
  <c r="S67" i="1"/>
  <c r="R67" i="1"/>
  <c r="Q67" i="1"/>
  <c r="P67" i="1"/>
  <c r="O67" i="1"/>
  <c r="M67" i="1"/>
  <c r="N67" i="1" s="1"/>
  <c r="L67" i="1"/>
  <c r="T67" i="1" s="1"/>
  <c r="X66" i="1"/>
  <c r="W66" i="1"/>
  <c r="V66" i="1"/>
  <c r="U66" i="1"/>
  <c r="S66" i="1"/>
  <c r="R66" i="1"/>
  <c r="Q66" i="1"/>
  <c r="P66" i="1"/>
  <c r="O66" i="1"/>
  <c r="M66" i="1"/>
  <c r="N66" i="1" s="1"/>
  <c r="L66" i="1"/>
  <c r="T66" i="1" s="1"/>
  <c r="X65" i="1"/>
  <c r="W65" i="1"/>
  <c r="V65" i="1"/>
  <c r="U65" i="1"/>
  <c r="S65" i="1"/>
  <c r="R65" i="1"/>
  <c r="Q65" i="1"/>
  <c r="P65" i="1"/>
  <c r="O65" i="1"/>
  <c r="N65" i="1"/>
  <c r="M65" i="1"/>
  <c r="L65" i="1"/>
  <c r="T65" i="1" s="1"/>
  <c r="X64" i="1"/>
  <c r="W64" i="1"/>
  <c r="V64" i="1"/>
  <c r="U64" i="1"/>
  <c r="S64" i="1"/>
  <c r="R64" i="1"/>
  <c r="Q64" i="1"/>
  <c r="P64" i="1"/>
  <c r="O64" i="1"/>
  <c r="M64" i="1"/>
  <c r="N64" i="1" s="1"/>
  <c r="L64" i="1"/>
  <c r="T64" i="1" s="1"/>
  <c r="X63" i="1"/>
  <c r="W63" i="1"/>
  <c r="V63" i="1"/>
  <c r="U63" i="1"/>
  <c r="S63" i="1"/>
  <c r="R63" i="1"/>
  <c r="Q63" i="1"/>
  <c r="P63" i="1"/>
  <c r="O63" i="1"/>
  <c r="M63" i="1"/>
  <c r="N63" i="1" s="1"/>
  <c r="Y63" i="1" s="1"/>
  <c r="L63" i="1"/>
  <c r="T63" i="1" s="1"/>
  <c r="X62" i="1"/>
  <c r="W62" i="1"/>
  <c r="V62" i="1"/>
  <c r="U62" i="1"/>
  <c r="S62" i="1"/>
  <c r="R62" i="1"/>
  <c r="Q62" i="1"/>
  <c r="P62" i="1"/>
  <c r="O62" i="1"/>
  <c r="M62" i="1"/>
  <c r="N62" i="1" s="1"/>
  <c r="L62" i="1"/>
  <c r="T62" i="1" s="1"/>
  <c r="X61" i="1"/>
  <c r="W61" i="1"/>
  <c r="V61" i="1"/>
  <c r="U61" i="1"/>
  <c r="S61" i="1"/>
  <c r="R61" i="1"/>
  <c r="Q61" i="1"/>
  <c r="P61" i="1"/>
  <c r="O61" i="1"/>
  <c r="N61" i="1"/>
  <c r="M61" i="1"/>
  <c r="L61" i="1"/>
  <c r="T61" i="1" s="1"/>
  <c r="X60" i="1"/>
  <c r="W60" i="1"/>
  <c r="V60" i="1"/>
  <c r="U60" i="1"/>
  <c r="S60" i="1"/>
  <c r="R60" i="1"/>
  <c r="Q60" i="1"/>
  <c r="P60" i="1"/>
  <c r="O60" i="1"/>
  <c r="M60" i="1"/>
  <c r="N60" i="1" s="1"/>
  <c r="Y60" i="1" s="1"/>
  <c r="L60" i="1"/>
  <c r="T60" i="1" s="1"/>
  <c r="X59" i="1"/>
  <c r="W59" i="1"/>
  <c r="V59" i="1"/>
  <c r="U59" i="1"/>
  <c r="S59" i="1"/>
  <c r="R59" i="1"/>
  <c r="Q59" i="1"/>
  <c r="P59" i="1"/>
  <c r="O59" i="1"/>
  <c r="M59" i="1"/>
  <c r="N59" i="1" s="1"/>
  <c r="L59" i="1"/>
  <c r="T59" i="1" s="1"/>
  <c r="X58" i="1"/>
  <c r="W58" i="1"/>
  <c r="V58" i="1"/>
  <c r="U58" i="1"/>
  <c r="S58" i="1"/>
  <c r="R58" i="1"/>
  <c r="Q58" i="1"/>
  <c r="P58" i="1"/>
  <c r="O58" i="1"/>
  <c r="M58" i="1"/>
  <c r="N58" i="1" s="1"/>
  <c r="Y58" i="1" s="1"/>
  <c r="L58" i="1"/>
  <c r="T58" i="1" s="1"/>
  <c r="X57" i="1"/>
  <c r="W57" i="1"/>
  <c r="V57" i="1"/>
  <c r="U57" i="1"/>
  <c r="S57" i="1"/>
  <c r="R57" i="1"/>
  <c r="Q57" i="1"/>
  <c r="P57" i="1"/>
  <c r="O57" i="1"/>
  <c r="N57" i="1"/>
  <c r="M57" i="1"/>
  <c r="L57" i="1"/>
  <c r="T57" i="1" s="1"/>
  <c r="X56" i="1"/>
  <c r="W56" i="1"/>
  <c r="V56" i="1"/>
  <c r="U56" i="1"/>
  <c r="S56" i="1"/>
  <c r="R56" i="1"/>
  <c r="Q56" i="1"/>
  <c r="P56" i="1"/>
  <c r="O56" i="1"/>
  <c r="M56" i="1"/>
  <c r="N56" i="1" s="1"/>
  <c r="L56" i="1"/>
  <c r="T56" i="1" s="1"/>
  <c r="X55" i="1"/>
  <c r="W55" i="1"/>
  <c r="V55" i="1"/>
  <c r="U55" i="1"/>
  <c r="S55" i="1"/>
  <c r="R55" i="1"/>
  <c r="Q55" i="1"/>
  <c r="P55" i="1"/>
  <c r="O55" i="1"/>
  <c r="M55" i="1"/>
  <c r="N55" i="1" s="1"/>
  <c r="Y55" i="1" s="1"/>
  <c r="L55" i="1"/>
  <c r="T55" i="1" s="1"/>
  <c r="X54" i="1"/>
  <c r="W54" i="1"/>
  <c r="V54" i="1"/>
  <c r="U54" i="1"/>
  <c r="S54" i="1"/>
  <c r="R54" i="1"/>
  <c r="Q54" i="1"/>
  <c r="P54" i="1"/>
  <c r="O54" i="1"/>
  <c r="M54" i="1"/>
  <c r="N54" i="1" s="1"/>
  <c r="L54" i="1"/>
  <c r="T54" i="1" s="1"/>
  <c r="X53" i="1"/>
  <c r="W53" i="1"/>
  <c r="V53" i="1"/>
  <c r="U53" i="1"/>
  <c r="S53" i="1"/>
  <c r="R53" i="1"/>
  <c r="Q53" i="1"/>
  <c r="P53" i="1"/>
  <c r="O53" i="1"/>
  <c r="N53" i="1"/>
  <c r="Y53" i="1" s="1"/>
  <c r="M53" i="1"/>
  <c r="L53" i="1"/>
  <c r="T53" i="1" s="1"/>
  <c r="X52" i="1"/>
  <c r="W52" i="1"/>
  <c r="V52" i="1"/>
  <c r="U52" i="1"/>
  <c r="S52" i="1"/>
  <c r="R52" i="1"/>
  <c r="Q52" i="1"/>
  <c r="P52" i="1"/>
  <c r="O52" i="1"/>
  <c r="M52" i="1"/>
  <c r="N52" i="1" s="1"/>
  <c r="L52" i="1"/>
  <c r="T52" i="1" s="1"/>
  <c r="X51" i="1"/>
  <c r="W51" i="1"/>
  <c r="V51" i="1"/>
  <c r="U51" i="1"/>
  <c r="S51" i="1"/>
  <c r="R51" i="1"/>
  <c r="Q51" i="1"/>
  <c r="P51" i="1"/>
  <c r="O51" i="1"/>
  <c r="M51" i="1"/>
  <c r="N51" i="1" s="1"/>
  <c r="L51" i="1"/>
  <c r="T51" i="1" s="1"/>
  <c r="X50" i="1"/>
  <c r="W50" i="1"/>
  <c r="V50" i="1"/>
  <c r="U50" i="1"/>
  <c r="S50" i="1"/>
  <c r="R50" i="1"/>
  <c r="Q50" i="1"/>
  <c r="P50" i="1"/>
  <c r="O50" i="1"/>
  <c r="M50" i="1"/>
  <c r="N50" i="1" s="1"/>
  <c r="Y50" i="1" s="1"/>
  <c r="L50" i="1"/>
  <c r="T50" i="1" s="1"/>
  <c r="X49" i="1"/>
  <c r="W49" i="1"/>
  <c r="V49" i="1"/>
  <c r="U49" i="1"/>
  <c r="S49" i="1"/>
  <c r="R49" i="1"/>
  <c r="Q49" i="1"/>
  <c r="P49" i="1"/>
  <c r="O49" i="1"/>
  <c r="N49" i="1"/>
  <c r="M49" i="1"/>
  <c r="L49" i="1"/>
  <c r="T49" i="1" s="1"/>
  <c r="X48" i="1"/>
  <c r="W48" i="1"/>
  <c r="V48" i="1"/>
  <c r="U48" i="1"/>
  <c r="S48" i="1"/>
  <c r="R48" i="1"/>
  <c r="Q48" i="1"/>
  <c r="P48" i="1"/>
  <c r="O48" i="1"/>
  <c r="M48" i="1"/>
  <c r="N48" i="1" s="1"/>
  <c r="L48" i="1"/>
  <c r="T48" i="1" s="1"/>
  <c r="X47" i="1"/>
  <c r="W47" i="1"/>
  <c r="V47" i="1"/>
  <c r="U47" i="1"/>
  <c r="S47" i="1"/>
  <c r="R47" i="1"/>
  <c r="Q47" i="1"/>
  <c r="P47" i="1"/>
  <c r="O47" i="1"/>
  <c r="M47" i="1"/>
  <c r="N47" i="1" s="1"/>
  <c r="L47" i="1"/>
  <c r="T47" i="1" s="1"/>
  <c r="X46" i="1"/>
  <c r="W46" i="1"/>
  <c r="V46" i="1"/>
  <c r="U46" i="1"/>
  <c r="S46" i="1"/>
  <c r="R46" i="1"/>
  <c r="Q46" i="1"/>
  <c r="P46" i="1"/>
  <c r="O46" i="1"/>
  <c r="M46" i="1"/>
  <c r="N46" i="1" s="1"/>
  <c r="L46" i="1"/>
  <c r="T46" i="1" s="1"/>
  <c r="X45" i="1"/>
  <c r="W45" i="1"/>
  <c r="V45" i="1"/>
  <c r="U45" i="1"/>
  <c r="S45" i="1"/>
  <c r="R45" i="1"/>
  <c r="Q45" i="1"/>
  <c r="P45" i="1"/>
  <c r="O45" i="1"/>
  <c r="N45" i="1"/>
  <c r="Y45" i="1" s="1"/>
  <c r="M45" i="1"/>
  <c r="L45" i="1"/>
  <c r="T45" i="1" s="1"/>
  <c r="X44" i="1"/>
  <c r="W44" i="1"/>
  <c r="V44" i="1"/>
  <c r="U44" i="1"/>
  <c r="S44" i="1"/>
  <c r="R44" i="1"/>
  <c r="Q44" i="1"/>
  <c r="P44" i="1"/>
  <c r="O44" i="1"/>
  <c r="M44" i="1"/>
  <c r="N44" i="1" s="1"/>
  <c r="L44" i="1"/>
  <c r="T44" i="1" s="1"/>
  <c r="X43" i="1"/>
  <c r="W43" i="1"/>
  <c r="V43" i="1"/>
  <c r="U43" i="1"/>
  <c r="S43" i="1"/>
  <c r="R43" i="1"/>
  <c r="Q43" i="1"/>
  <c r="P43" i="1"/>
  <c r="O43" i="1"/>
  <c r="M43" i="1"/>
  <c r="N43" i="1" s="1"/>
  <c r="L43" i="1"/>
  <c r="T43" i="1" s="1"/>
  <c r="X42" i="1"/>
  <c r="W42" i="1"/>
  <c r="V42" i="1"/>
  <c r="U42" i="1"/>
  <c r="S42" i="1"/>
  <c r="R42" i="1"/>
  <c r="Q42" i="1"/>
  <c r="P42" i="1"/>
  <c r="O42" i="1"/>
  <c r="M42" i="1"/>
  <c r="N42" i="1" s="1"/>
  <c r="L42" i="1"/>
  <c r="T42" i="1" s="1"/>
  <c r="X41" i="1"/>
  <c r="W41" i="1"/>
  <c r="V41" i="1"/>
  <c r="U41" i="1"/>
  <c r="S41" i="1"/>
  <c r="R41" i="1"/>
  <c r="Q41" i="1"/>
  <c r="P41" i="1"/>
  <c r="O41" i="1"/>
  <c r="N41" i="1"/>
  <c r="Y41" i="1" s="1"/>
  <c r="M41" i="1"/>
  <c r="L41" i="1"/>
  <c r="T41" i="1" s="1"/>
  <c r="X40" i="1"/>
  <c r="W40" i="1"/>
  <c r="V40" i="1"/>
  <c r="U40" i="1"/>
  <c r="S40" i="1"/>
  <c r="R40" i="1"/>
  <c r="Q40" i="1"/>
  <c r="P40" i="1"/>
  <c r="O40" i="1"/>
  <c r="M40" i="1"/>
  <c r="N40" i="1" s="1"/>
  <c r="L40" i="1"/>
  <c r="T40" i="1" s="1"/>
  <c r="X39" i="1"/>
  <c r="W39" i="1"/>
  <c r="V39" i="1"/>
  <c r="U39" i="1"/>
  <c r="S39" i="1"/>
  <c r="R39" i="1"/>
  <c r="Q39" i="1"/>
  <c r="P39" i="1"/>
  <c r="O39" i="1"/>
  <c r="M39" i="1"/>
  <c r="N39" i="1" s="1"/>
  <c r="L39" i="1"/>
  <c r="T39" i="1" s="1"/>
  <c r="X38" i="1"/>
  <c r="W38" i="1"/>
  <c r="V38" i="1"/>
  <c r="U38" i="1"/>
  <c r="S38" i="1"/>
  <c r="R38" i="1"/>
  <c r="Q38" i="1"/>
  <c r="P38" i="1"/>
  <c r="O38" i="1"/>
  <c r="M38" i="1"/>
  <c r="N38" i="1" s="1"/>
  <c r="L38" i="1"/>
  <c r="T38" i="1" s="1"/>
  <c r="X37" i="1"/>
  <c r="W37" i="1"/>
  <c r="V37" i="1"/>
  <c r="U37" i="1"/>
  <c r="S37" i="1"/>
  <c r="R37" i="1"/>
  <c r="Q37" i="1"/>
  <c r="P37" i="1"/>
  <c r="O37" i="1"/>
  <c r="N37" i="1"/>
  <c r="M37" i="1"/>
  <c r="L37" i="1"/>
  <c r="T37" i="1" s="1"/>
  <c r="X36" i="1"/>
  <c r="W36" i="1"/>
  <c r="V36" i="1"/>
  <c r="U36" i="1"/>
  <c r="S36" i="1"/>
  <c r="R36" i="1"/>
  <c r="Q36" i="1"/>
  <c r="P36" i="1"/>
  <c r="O36" i="1"/>
  <c r="M36" i="1"/>
  <c r="N36" i="1" s="1"/>
  <c r="Y36" i="1" s="1"/>
  <c r="L36" i="1"/>
  <c r="T36" i="1" s="1"/>
  <c r="X35" i="1"/>
  <c r="W35" i="1"/>
  <c r="V35" i="1"/>
  <c r="U35" i="1"/>
  <c r="S35" i="1"/>
  <c r="R35" i="1"/>
  <c r="Q35" i="1"/>
  <c r="P35" i="1"/>
  <c r="O35" i="1"/>
  <c r="M35" i="1"/>
  <c r="N35" i="1" s="1"/>
  <c r="L35" i="1"/>
  <c r="T35" i="1" s="1"/>
  <c r="X34" i="1"/>
  <c r="W34" i="1"/>
  <c r="V34" i="1"/>
  <c r="U34" i="1"/>
  <c r="S34" i="1"/>
  <c r="R34" i="1"/>
  <c r="Q34" i="1"/>
  <c r="P34" i="1"/>
  <c r="O34" i="1"/>
  <c r="M34" i="1"/>
  <c r="N34" i="1" s="1"/>
  <c r="L34" i="1"/>
  <c r="T34" i="1" s="1"/>
  <c r="X33" i="1"/>
  <c r="W33" i="1"/>
  <c r="V33" i="1"/>
  <c r="U33" i="1"/>
  <c r="S33" i="1"/>
  <c r="R33" i="1"/>
  <c r="Q33" i="1"/>
  <c r="P33" i="1"/>
  <c r="O33" i="1"/>
  <c r="N33" i="1"/>
  <c r="M33" i="1"/>
  <c r="L33" i="1"/>
  <c r="T33" i="1" s="1"/>
  <c r="X32" i="1"/>
  <c r="W32" i="1"/>
  <c r="V32" i="1"/>
  <c r="U32" i="1"/>
  <c r="S32" i="1"/>
  <c r="R32" i="1"/>
  <c r="Q32" i="1"/>
  <c r="P32" i="1"/>
  <c r="O32" i="1"/>
  <c r="M32" i="1"/>
  <c r="N32" i="1" s="1"/>
  <c r="L32" i="1"/>
  <c r="T32" i="1" s="1"/>
  <c r="X31" i="1"/>
  <c r="W31" i="1"/>
  <c r="V31" i="1"/>
  <c r="U31" i="1"/>
  <c r="S31" i="1"/>
  <c r="R31" i="1"/>
  <c r="Q31" i="1"/>
  <c r="P31" i="1"/>
  <c r="O31" i="1"/>
  <c r="M31" i="1"/>
  <c r="N31" i="1" s="1"/>
  <c r="Y31" i="1" s="1"/>
  <c r="L31" i="1"/>
  <c r="T31" i="1" s="1"/>
  <c r="X30" i="1"/>
  <c r="W30" i="1"/>
  <c r="V30" i="1"/>
  <c r="U30" i="1"/>
  <c r="S30" i="1"/>
  <c r="R30" i="1"/>
  <c r="Q30" i="1"/>
  <c r="P30" i="1"/>
  <c r="O30" i="1"/>
  <c r="M30" i="1"/>
  <c r="N30" i="1" s="1"/>
  <c r="L30" i="1"/>
  <c r="T30" i="1" s="1"/>
  <c r="X29" i="1"/>
  <c r="W29" i="1"/>
  <c r="V29" i="1"/>
  <c r="U29" i="1"/>
  <c r="S29" i="1"/>
  <c r="R29" i="1"/>
  <c r="Q29" i="1"/>
  <c r="P29" i="1"/>
  <c r="O29" i="1"/>
  <c r="M29" i="1"/>
  <c r="N29" i="1" s="1"/>
  <c r="L29" i="1"/>
  <c r="T29" i="1" s="1"/>
  <c r="X28" i="1"/>
  <c r="W28" i="1"/>
  <c r="V28" i="1"/>
  <c r="U28" i="1"/>
  <c r="S28" i="1"/>
  <c r="R28" i="1"/>
  <c r="Q28" i="1"/>
  <c r="P28" i="1"/>
  <c r="O28" i="1"/>
  <c r="M28" i="1"/>
  <c r="N28" i="1" s="1"/>
  <c r="L28" i="1"/>
  <c r="T28" i="1" s="1"/>
  <c r="X27" i="1"/>
  <c r="W27" i="1"/>
  <c r="V27" i="1"/>
  <c r="U27" i="1"/>
  <c r="S27" i="1"/>
  <c r="R27" i="1"/>
  <c r="Q27" i="1"/>
  <c r="P27" i="1"/>
  <c r="O27" i="1"/>
  <c r="M27" i="1"/>
  <c r="N27" i="1" s="1"/>
  <c r="L27" i="1"/>
  <c r="T27" i="1" s="1"/>
  <c r="X26" i="1"/>
  <c r="W26" i="1"/>
  <c r="V26" i="1"/>
  <c r="U26" i="1"/>
  <c r="S26" i="1"/>
  <c r="R26" i="1"/>
  <c r="Q26" i="1"/>
  <c r="P26" i="1"/>
  <c r="O26" i="1"/>
  <c r="M26" i="1"/>
  <c r="N26" i="1" s="1"/>
  <c r="L26" i="1"/>
  <c r="T26" i="1" s="1"/>
  <c r="X25" i="1"/>
  <c r="W25" i="1"/>
  <c r="V25" i="1"/>
  <c r="U25" i="1"/>
  <c r="S25" i="1"/>
  <c r="R25" i="1"/>
  <c r="Q25" i="1"/>
  <c r="P25" i="1"/>
  <c r="O25" i="1"/>
  <c r="M25" i="1"/>
  <c r="N25" i="1" s="1"/>
  <c r="Y25" i="1" s="1"/>
  <c r="L25" i="1"/>
  <c r="T25" i="1" s="1"/>
  <c r="X24" i="1"/>
  <c r="W24" i="1"/>
  <c r="V24" i="1"/>
  <c r="U24" i="1"/>
  <c r="S24" i="1"/>
  <c r="R24" i="1"/>
  <c r="Q24" i="1"/>
  <c r="P24" i="1"/>
  <c r="O24" i="1"/>
  <c r="M24" i="1"/>
  <c r="N24" i="1" s="1"/>
  <c r="L24" i="1"/>
  <c r="T24" i="1" s="1"/>
  <c r="X23" i="1"/>
  <c r="W23" i="1"/>
  <c r="V23" i="1"/>
  <c r="U23" i="1"/>
  <c r="S23" i="1"/>
  <c r="R23" i="1"/>
  <c r="Q23" i="1"/>
  <c r="P23" i="1"/>
  <c r="O23" i="1"/>
  <c r="M23" i="1"/>
  <c r="N23" i="1" s="1"/>
  <c r="Y23" i="1" s="1"/>
  <c r="L23" i="1"/>
  <c r="T23" i="1" s="1"/>
  <c r="X22" i="1"/>
  <c r="W22" i="1"/>
  <c r="V22" i="1"/>
  <c r="U22" i="1"/>
  <c r="S22" i="1"/>
  <c r="R22" i="1"/>
  <c r="Q22" i="1"/>
  <c r="P22" i="1"/>
  <c r="O22" i="1"/>
  <c r="M22" i="1"/>
  <c r="N22" i="1" s="1"/>
  <c r="L22" i="1"/>
  <c r="T22" i="1" s="1"/>
  <c r="X21" i="1"/>
  <c r="W21" i="1"/>
  <c r="V21" i="1"/>
  <c r="U21" i="1"/>
  <c r="S21" i="1"/>
  <c r="R21" i="1"/>
  <c r="Q21" i="1"/>
  <c r="P21" i="1"/>
  <c r="O21" i="1"/>
  <c r="M21" i="1"/>
  <c r="N21" i="1" s="1"/>
  <c r="L21" i="1"/>
  <c r="T21" i="1" s="1"/>
  <c r="X20" i="1"/>
  <c r="W20" i="1"/>
  <c r="V20" i="1"/>
  <c r="U20" i="1"/>
  <c r="S20" i="1"/>
  <c r="R20" i="1"/>
  <c r="Q20" i="1"/>
  <c r="P20" i="1"/>
  <c r="O20" i="1"/>
  <c r="M20" i="1"/>
  <c r="N20" i="1" s="1"/>
  <c r="L20" i="1"/>
  <c r="T20" i="1" s="1"/>
  <c r="X19" i="1"/>
  <c r="W19" i="1"/>
  <c r="V19" i="1"/>
  <c r="U19" i="1"/>
  <c r="S19" i="1"/>
  <c r="R19" i="1"/>
  <c r="Q19" i="1"/>
  <c r="P19" i="1"/>
  <c r="O19" i="1"/>
  <c r="M19" i="1"/>
  <c r="N19" i="1" s="1"/>
  <c r="L19" i="1"/>
  <c r="T19" i="1" s="1"/>
  <c r="X18" i="1"/>
  <c r="W18" i="1"/>
  <c r="V18" i="1"/>
  <c r="U18" i="1"/>
  <c r="S18" i="1"/>
  <c r="R18" i="1"/>
  <c r="Q18" i="1"/>
  <c r="P18" i="1"/>
  <c r="O18" i="1"/>
  <c r="M18" i="1"/>
  <c r="N18" i="1" s="1"/>
  <c r="L18" i="1"/>
  <c r="T18" i="1" s="1"/>
  <c r="X17" i="1"/>
  <c r="W17" i="1"/>
  <c r="V17" i="1"/>
  <c r="U17" i="1"/>
  <c r="S17" i="1"/>
  <c r="R17" i="1"/>
  <c r="Q17" i="1"/>
  <c r="P17" i="1"/>
  <c r="O17" i="1"/>
  <c r="M17" i="1"/>
  <c r="N17" i="1" s="1"/>
  <c r="Y17" i="1" s="1"/>
  <c r="L17" i="1"/>
  <c r="T17" i="1" s="1"/>
  <c r="X16" i="1"/>
  <c r="W16" i="1"/>
  <c r="V16" i="1"/>
  <c r="U16" i="1"/>
  <c r="S16" i="1"/>
  <c r="R16" i="1"/>
  <c r="Q16" i="1"/>
  <c r="P16" i="1"/>
  <c r="O16" i="1"/>
  <c r="M16" i="1"/>
  <c r="N16" i="1" s="1"/>
  <c r="L16" i="1"/>
  <c r="T16" i="1" s="1"/>
  <c r="X15" i="1"/>
  <c r="W15" i="1"/>
  <c r="V15" i="1"/>
  <c r="U15" i="1"/>
  <c r="S15" i="1"/>
  <c r="R15" i="1"/>
  <c r="Q15" i="1"/>
  <c r="P15" i="1"/>
  <c r="O15" i="1"/>
  <c r="M15" i="1"/>
  <c r="N15" i="1" s="1"/>
  <c r="Y15" i="1" s="1"/>
  <c r="L15" i="1"/>
  <c r="T15" i="1" s="1"/>
  <c r="X14" i="1"/>
  <c r="W14" i="1"/>
  <c r="V14" i="1"/>
  <c r="U14" i="1"/>
  <c r="S14" i="1"/>
  <c r="R14" i="1"/>
  <c r="Q14" i="1"/>
  <c r="P14" i="1"/>
  <c r="O14" i="1"/>
  <c r="M14" i="1"/>
  <c r="N14" i="1" s="1"/>
  <c r="L14" i="1"/>
  <c r="T14" i="1" s="1"/>
  <c r="X13" i="1"/>
  <c r="W13" i="1"/>
  <c r="V13" i="1"/>
  <c r="U13" i="1"/>
  <c r="S13" i="1"/>
  <c r="R13" i="1"/>
  <c r="Q13" i="1"/>
  <c r="P13" i="1"/>
  <c r="O13" i="1"/>
  <c r="M13" i="1"/>
  <c r="N13" i="1" s="1"/>
  <c r="L13" i="1"/>
  <c r="T13" i="1" s="1"/>
  <c r="X12" i="1"/>
  <c r="W12" i="1"/>
  <c r="V12" i="1"/>
  <c r="U12" i="1"/>
  <c r="S12" i="1"/>
  <c r="R12" i="1"/>
  <c r="Q12" i="1"/>
  <c r="P12" i="1"/>
  <c r="O12" i="1"/>
  <c r="M12" i="1"/>
  <c r="N12" i="1" s="1"/>
  <c r="L12" i="1"/>
  <c r="T12" i="1" s="1"/>
  <c r="X11" i="1"/>
  <c r="W11" i="1"/>
  <c r="V11" i="1"/>
  <c r="U11" i="1"/>
  <c r="S11" i="1"/>
  <c r="R11" i="1"/>
  <c r="Q11" i="1"/>
  <c r="P11" i="1"/>
  <c r="O11" i="1"/>
  <c r="M11" i="1"/>
  <c r="N11" i="1" s="1"/>
  <c r="L11" i="1"/>
  <c r="T11" i="1" s="1"/>
  <c r="X10" i="1"/>
  <c r="W10" i="1"/>
  <c r="V10" i="1"/>
  <c r="U10" i="1"/>
  <c r="S10" i="1"/>
  <c r="R10" i="1"/>
  <c r="Q10" i="1"/>
  <c r="P10" i="1"/>
  <c r="O10" i="1"/>
  <c r="M10" i="1"/>
  <c r="N10" i="1" s="1"/>
  <c r="L10" i="1"/>
  <c r="T10" i="1" s="1"/>
  <c r="X9" i="1"/>
  <c r="W9" i="1"/>
  <c r="V9" i="1"/>
  <c r="U9" i="1"/>
  <c r="S9" i="1"/>
  <c r="R9" i="1"/>
  <c r="Q9" i="1"/>
  <c r="P9" i="1"/>
  <c r="O9" i="1"/>
  <c r="M9" i="1"/>
  <c r="N9" i="1" s="1"/>
  <c r="Y9" i="1" s="1"/>
  <c r="L9" i="1"/>
  <c r="T9" i="1" s="1"/>
  <c r="X8" i="1"/>
  <c r="W8" i="1"/>
  <c r="V8" i="1"/>
  <c r="U8" i="1"/>
  <c r="S8" i="1"/>
  <c r="R8" i="1"/>
  <c r="Q8" i="1"/>
  <c r="P8" i="1"/>
  <c r="O8" i="1"/>
  <c r="M8" i="1"/>
  <c r="N8" i="1" s="1"/>
  <c r="L8" i="1"/>
  <c r="T8" i="1" s="1"/>
  <c r="X7" i="1"/>
  <c r="W7" i="1"/>
  <c r="V7" i="1"/>
  <c r="U7" i="1"/>
  <c r="T7" i="1"/>
  <c r="S7" i="1"/>
  <c r="R7" i="1"/>
  <c r="Q7" i="1"/>
  <c r="P7" i="1"/>
  <c r="O7" i="1"/>
  <c r="M7" i="1"/>
  <c r="N7" i="1" s="1"/>
  <c r="Y7" i="1" s="1"/>
  <c r="L7" i="1"/>
  <c r="X6" i="1"/>
  <c r="W6" i="1"/>
  <c r="V6" i="1"/>
  <c r="U6" i="1"/>
  <c r="S6" i="1"/>
  <c r="R6" i="1"/>
  <c r="Q6" i="1"/>
  <c r="P6" i="1"/>
  <c r="O6" i="1"/>
  <c r="M6" i="1"/>
  <c r="N6" i="1" s="1"/>
  <c r="L6" i="1"/>
  <c r="T6" i="1" s="1"/>
  <c r="X5" i="1"/>
  <c r="W5" i="1"/>
  <c r="V5" i="1"/>
  <c r="U5" i="1"/>
  <c r="S5" i="1"/>
  <c r="R5" i="1"/>
  <c r="Q5" i="1"/>
  <c r="P5" i="1"/>
  <c r="O5" i="1"/>
  <c r="M5" i="1"/>
  <c r="N5" i="1" s="1"/>
  <c r="L5" i="1"/>
  <c r="T5" i="1" s="1"/>
  <c r="X4" i="1"/>
  <c r="W4" i="1"/>
  <c r="V4" i="1"/>
  <c r="U4" i="1"/>
  <c r="S4" i="1"/>
  <c r="R4" i="1"/>
  <c r="Q4" i="1"/>
  <c r="P4" i="1"/>
  <c r="O4" i="1"/>
  <c r="M4" i="1"/>
  <c r="N4" i="1" s="1"/>
  <c r="Y4" i="1" s="1"/>
  <c r="L4" i="1"/>
  <c r="T4" i="1" s="1"/>
  <c r="X3" i="1"/>
  <c r="W3" i="1"/>
  <c r="V3" i="1"/>
  <c r="U3" i="1"/>
  <c r="S3" i="1"/>
  <c r="R3" i="1"/>
  <c r="Q3" i="1"/>
  <c r="P3" i="1"/>
  <c r="O3" i="1"/>
  <c r="M3" i="1"/>
  <c r="N3" i="1" s="1"/>
  <c r="L3" i="1"/>
  <c r="T3" i="1" s="1"/>
  <c r="X2" i="1"/>
  <c r="W2" i="1"/>
  <c r="V2" i="1"/>
  <c r="U2" i="1"/>
  <c r="S2" i="1"/>
  <c r="R2" i="1"/>
  <c r="Q2" i="1"/>
  <c r="P2" i="1"/>
  <c r="O2" i="1"/>
  <c r="M2" i="1"/>
  <c r="N2" i="1" s="1"/>
  <c r="Y2" i="1" s="1"/>
  <c r="L2" i="1"/>
  <c r="T2" i="1" s="1"/>
  <c r="Y117" i="1" l="1"/>
  <c r="Y21" i="1"/>
  <c r="Y66" i="1"/>
  <c r="Y71" i="1"/>
  <c r="Y93" i="1"/>
  <c r="Y115" i="1"/>
  <c r="Y124" i="1"/>
  <c r="Y173" i="1"/>
  <c r="Y241" i="1"/>
  <c r="Y268" i="1"/>
  <c r="Y308" i="1"/>
  <c r="Y3" i="1"/>
  <c r="Y8" i="1"/>
  <c r="Y16" i="1"/>
  <c r="Y24" i="1"/>
  <c r="Y32" i="1"/>
  <c r="Y49" i="1"/>
  <c r="Y54" i="1"/>
  <c r="Y59" i="1"/>
  <c r="Y64" i="1"/>
  <c r="Y81" i="1"/>
  <c r="Y86" i="1"/>
  <c r="Y91" i="1"/>
  <c r="Y201" i="1"/>
  <c r="Y260" i="1"/>
  <c r="Y395" i="1"/>
  <c r="Y6" i="1"/>
  <c r="Y11" i="1"/>
  <c r="Y19" i="1"/>
  <c r="Y27" i="1"/>
  <c r="Y37" i="1"/>
  <c r="Y42" i="1"/>
  <c r="Y47" i="1"/>
  <c r="Y52" i="1"/>
  <c r="Y69" i="1"/>
  <c r="Y74" i="1"/>
  <c r="Y79" i="1"/>
  <c r="Y84" i="1"/>
  <c r="Y97" i="1"/>
  <c r="Y109" i="1"/>
  <c r="Y127" i="1"/>
  <c r="Y141" i="1"/>
  <c r="Y157" i="1"/>
  <c r="Y185" i="1"/>
  <c r="Y203" i="1"/>
  <c r="Y204" i="1"/>
  <c r="Y219" i="1"/>
  <c r="Y300" i="1"/>
  <c r="Y340" i="1"/>
  <c r="Y18" i="1"/>
  <c r="Y51" i="1"/>
  <c r="Y83" i="1"/>
  <c r="Y104" i="1"/>
  <c r="Y156" i="1"/>
  <c r="Y316" i="1"/>
  <c r="Y29" i="1"/>
  <c r="Y34" i="1"/>
  <c r="Y61" i="1"/>
  <c r="Y163" i="1"/>
  <c r="Y14" i="1"/>
  <c r="Y22" i="1"/>
  <c r="Y30" i="1"/>
  <c r="Y35" i="1"/>
  <c r="Y40" i="1"/>
  <c r="Y57" i="1"/>
  <c r="Y62" i="1"/>
  <c r="Y67" i="1"/>
  <c r="Y72" i="1"/>
  <c r="Y89" i="1"/>
  <c r="Y137" i="1"/>
  <c r="Y169" i="1"/>
  <c r="Y176" i="1"/>
  <c r="Y252" i="1"/>
  <c r="Y292" i="1"/>
  <c r="Y237" i="1"/>
  <c r="Y332" i="1"/>
  <c r="Y5" i="1"/>
  <c r="Y10" i="1"/>
  <c r="Y26" i="1"/>
  <c r="Y46" i="1"/>
  <c r="Y56" i="1"/>
  <c r="Y78" i="1"/>
  <c r="Y88" i="1"/>
  <c r="Y149" i="1"/>
  <c r="Y13" i="1"/>
  <c r="Y39" i="1"/>
  <c r="Y44" i="1"/>
  <c r="Y76" i="1"/>
  <c r="Y113" i="1"/>
  <c r="Y12" i="1"/>
  <c r="Y20" i="1"/>
  <c r="Y28" i="1"/>
  <c r="Y33" i="1"/>
  <c r="Y38" i="1"/>
  <c r="Y43" i="1"/>
  <c r="Y48" i="1"/>
  <c r="Y65" i="1"/>
  <c r="Y70" i="1"/>
  <c r="Y75" i="1"/>
  <c r="Y80" i="1"/>
  <c r="Y100" i="1"/>
  <c r="Y101" i="1"/>
  <c r="Y121" i="1"/>
  <c r="Y125" i="1"/>
  <c r="Y153" i="1"/>
  <c r="Y160" i="1"/>
  <c r="Y165" i="1"/>
  <c r="Y172" i="1"/>
  <c r="Y188" i="1"/>
  <c r="Y284" i="1"/>
  <c r="Y324" i="1"/>
  <c r="Y217" i="1"/>
  <c r="Y244" i="1"/>
  <c r="Y150" i="1"/>
  <c r="Y226" i="1"/>
  <c r="Y247" i="1"/>
  <c r="Y249" i="1"/>
  <c r="Y261" i="1"/>
  <c r="Y263" i="1"/>
  <c r="Y277" i="1"/>
  <c r="Y279" i="1"/>
  <c r="Y293" i="1"/>
  <c r="Y295" i="1"/>
  <c r="Y309" i="1"/>
  <c r="Y311" i="1"/>
  <c r="Y325" i="1"/>
  <c r="Y327" i="1"/>
  <c r="Y341" i="1"/>
  <c r="Y343" i="1"/>
  <c r="Y347" i="1"/>
  <c r="Y363" i="1"/>
  <c r="Y457" i="1"/>
  <c r="Y166" i="1"/>
  <c r="Y182" i="1"/>
  <c r="Y194" i="1"/>
  <c r="Y220" i="1"/>
  <c r="Y232" i="1"/>
  <c r="Y359" i="1"/>
  <c r="Y394" i="1"/>
  <c r="Y191" i="1"/>
  <c r="Y210" i="1"/>
  <c r="Y350" i="1"/>
  <c r="Y366" i="1"/>
  <c r="Y255" i="1"/>
  <c r="Y257" i="1"/>
  <c r="Y271" i="1"/>
  <c r="Y273" i="1"/>
  <c r="Y287" i="1"/>
  <c r="Y289" i="1"/>
  <c r="Y303" i="1"/>
  <c r="Y305" i="1"/>
  <c r="Y319" i="1"/>
  <c r="Y321" i="1"/>
  <c r="Y335" i="1"/>
  <c r="Y337" i="1"/>
  <c r="Y352" i="1"/>
  <c r="Y368" i="1"/>
  <c r="Y391" i="1"/>
  <c r="Y207" i="1"/>
  <c r="Y248" i="1"/>
  <c r="Y264" i="1"/>
  <c r="Y280" i="1"/>
  <c r="Y296" i="1"/>
  <c r="Y312" i="1"/>
  <c r="Y328" i="1"/>
  <c r="Y344" i="1"/>
  <c r="Y229" i="1"/>
  <c r="Y175" i="1"/>
  <c r="Y238" i="1"/>
  <c r="Y400" i="1"/>
  <c r="Y405" i="1"/>
  <c r="Y399" i="1"/>
  <c r="Y223" i="1"/>
  <c r="Y235" i="1"/>
  <c r="Y377" i="1"/>
  <c r="Y422" i="1"/>
  <c r="Y427" i="1"/>
  <c r="Y442" i="1"/>
  <c r="Y376" i="1"/>
  <c r="Y421" i="1"/>
  <c r="Y440" i="1"/>
  <c r="Y411" i="1"/>
  <c r="Y415" i="1"/>
  <c r="Y433" i="1"/>
  <c r="Y438" i="1"/>
  <c r="Y495" i="1"/>
  <c r="Y592" i="1"/>
  <c r="Y447" i="1"/>
  <c r="Y449" i="1"/>
  <c r="Y456" i="1"/>
  <c r="Y463" i="1"/>
  <c r="Y475" i="1"/>
  <c r="Y531" i="1"/>
  <c r="Y389" i="1"/>
  <c r="Y408" i="1"/>
  <c r="Y432" i="1"/>
  <c r="Y443" i="1"/>
  <c r="Y454" i="1"/>
  <c r="Y486" i="1"/>
  <c r="Y581" i="1"/>
  <c r="Y240" i="1"/>
  <c r="Y379" i="1"/>
  <c r="Y383" i="1"/>
  <c r="Y385" i="1"/>
  <c r="Y406" i="1"/>
  <c r="Y420" i="1"/>
  <c r="Y551" i="1"/>
  <c r="Y611" i="1"/>
  <c r="Y228" i="1"/>
  <c r="Y392" i="1"/>
  <c r="Y437" i="1"/>
  <c r="Y468" i="1"/>
  <c r="Y498" i="1"/>
  <c r="Y549" i="1"/>
  <c r="Y435" i="1"/>
  <c r="Y483" i="1"/>
  <c r="Y487" i="1"/>
  <c r="Y506" i="1"/>
  <c r="Y538" i="1"/>
  <c r="Y570" i="1"/>
  <c r="Y589" i="1"/>
  <c r="Y606" i="1"/>
  <c r="Y643" i="1"/>
  <c r="Y474" i="1"/>
  <c r="Y593" i="1"/>
  <c r="Y461" i="1"/>
  <c r="Y596" i="1"/>
  <c r="Y602" i="1"/>
  <c r="Y610" i="1"/>
  <c r="Y619" i="1"/>
  <c r="Y624" i="1"/>
  <c r="Y635" i="1"/>
  <c r="Y445" i="1"/>
  <c r="Y469" i="1"/>
  <c r="Y511" i="1"/>
  <c r="Y527" i="1"/>
  <c r="Y543" i="1"/>
  <c r="Y559" i="1"/>
  <c r="Y575" i="1"/>
  <c r="Y582" i="1"/>
  <c r="Y494" i="1"/>
  <c r="Y507" i="1"/>
  <c r="Y509" i="1"/>
  <c r="Y539" i="1"/>
  <c r="Y563" i="1"/>
  <c r="Y571" i="1"/>
  <c r="Y627" i="1"/>
  <c r="Y648" i="1"/>
  <c r="Y381" i="1"/>
  <c r="Y397" i="1"/>
  <c r="Y413" i="1"/>
  <c r="Y429" i="1"/>
  <c r="Y466" i="1"/>
  <c r="Y479" i="1"/>
  <c r="Y515" i="1"/>
  <c r="Y521" i="1"/>
  <c r="Y547" i="1"/>
  <c r="Y553" i="1"/>
  <c r="Y579" i="1"/>
  <c r="Y591" i="1"/>
  <c r="Y603" i="1"/>
  <c r="Y607" i="1"/>
  <c r="Y453" i="1"/>
  <c r="Y477" i="1"/>
  <c r="Y501" i="1"/>
  <c r="Y525" i="1"/>
  <c r="Y533" i="1"/>
  <c r="Y557" i="1"/>
  <c r="Y565" i="1"/>
  <c r="Y608" i="1"/>
  <c r="Y613" i="1"/>
  <c r="Y503" i="1"/>
  <c r="Y535" i="1"/>
  <c r="Y567" i="1"/>
  <c r="Y617" i="1"/>
  <c r="Y647" i="1"/>
  <c r="Y656" i="1"/>
  <c r="Y694" i="1"/>
  <c r="Y745" i="1"/>
  <c r="Y766" i="1"/>
  <c r="Y595" i="1"/>
  <c r="Y623" i="1"/>
  <c r="Y638" i="1"/>
  <c r="Y652" i="1"/>
  <c r="Y724" i="1"/>
  <c r="Y614" i="1"/>
  <c r="Y640" i="1"/>
  <c r="Y644" i="1"/>
  <c r="Y650" i="1"/>
  <c r="Y670" i="1"/>
  <c r="Y686" i="1"/>
  <c r="Y690" i="1"/>
  <c r="Y691" i="1"/>
  <c r="Y718" i="1"/>
  <c r="Y767" i="1"/>
  <c r="Y620" i="1"/>
  <c r="Y653" i="1"/>
  <c r="Y659" i="1"/>
  <c r="Y663" i="1"/>
  <c r="Y666" i="1"/>
  <c r="Y685" i="1"/>
  <c r="Y601" i="1"/>
  <c r="Y669" i="1"/>
  <c r="Y675" i="1"/>
  <c r="Y679" i="1"/>
  <c r="Y696" i="1"/>
  <c r="Y703" i="1"/>
  <c r="Y632" i="1"/>
  <c r="Y665" i="1"/>
  <c r="Y667" i="1"/>
  <c r="Y688" i="1"/>
  <c r="Y700" i="1"/>
  <c r="Y743" i="1"/>
  <c r="Y752" i="1"/>
  <c r="Y756" i="1"/>
  <c r="Y783" i="1"/>
  <c r="Y491" i="1"/>
  <c r="Y523" i="1"/>
  <c r="Y555" i="1"/>
  <c r="Y598" i="1"/>
  <c r="Y626" i="1"/>
  <c r="Y660" i="1"/>
  <c r="Y681" i="1"/>
  <c r="Y628" i="1"/>
  <c r="Y706" i="1"/>
  <c r="Y717" i="1"/>
  <c r="Y738" i="1"/>
  <c r="Y749" i="1"/>
  <c r="Y778" i="1"/>
  <c r="Y801" i="1"/>
  <c r="Y820" i="1"/>
  <c r="Y824" i="1"/>
  <c r="Y875" i="1"/>
  <c r="Y668" i="1"/>
  <c r="Y692" i="1"/>
  <c r="Y695" i="1"/>
  <c r="Y704" i="1"/>
  <c r="Y736" i="1"/>
  <c r="Y683" i="1"/>
  <c r="Y714" i="1"/>
  <c r="Y725" i="1"/>
  <c r="Y746" i="1"/>
  <c r="Y757" i="1"/>
  <c r="Y784" i="1"/>
  <c r="Y810" i="1"/>
  <c r="Y827" i="1"/>
  <c r="Y840" i="1"/>
  <c r="Y701" i="1"/>
  <c r="Y722" i="1"/>
  <c r="Y733" i="1"/>
  <c r="Y754" i="1"/>
  <c r="Y773" i="1"/>
  <c r="Y807" i="1"/>
  <c r="Y815" i="1"/>
  <c r="Y819" i="1"/>
  <c r="Y781" i="1"/>
  <c r="Y828" i="1"/>
  <c r="Y868" i="1"/>
  <c r="Y870" i="1"/>
  <c r="Y698" i="1"/>
  <c r="Y709" i="1"/>
  <c r="Y730" i="1"/>
  <c r="Y741" i="1"/>
  <c r="Y762" i="1"/>
  <c r="Y789" i="1"/>
  <c r="Y805" i="1"/>
  <c r="Y760" i="1"/>
  <c r="Y770" i="1"/>
  <c r="Y795" i="1"/>
  <c r="Y803" i="1"/>
  <c r="Y814" i="1"/>
  <c r="Y816" i="1"/>
  <c r="Y830" i="1"/>
  <c r="Y876" i="1"/>
  <c r="Y907" i="1"/>
  <c r="Y885" i="1"/>
  <c r="Y914" i="1"/>
  <c r="Y937" i="1"/>
  <c r="Y949" i="1"/>
  <c r="Y973" i="1"/>
  <c r="Y842" i="1"/>
  <c r="Y888" i="1"/>
  <c r="Y899" i="1"/>
  <c r="Y901" i="1"/>
  <c r="Y971" i="1"/>
  <c r="Y839" i="1"/>
  <c r="Y863" i="1"/>
  <c r="Y904" i="1"/>
  <c r="Y933" i="1"/>
  <c r="Y952" i="1"/>
  <c r="Y953" i="1"/>
  <c r="Y909" i="1"/>
  <c r="Y913" i="1"/>
  <c r="Y943" i="1"/>
  <c r="Y963" i="1"/>
  <c r="Y969" i="1"/>
  <c r="Y975" i="1"/>
  <c r="Y856" i="1"/>
  <c r="Y877" i="1"/>
  <c r="Y908" i="1"/>
  <c r="Y925" i="1"/>
  <c r="Y951" i="1"/>
  <c r="Y845" i="1"/>
  <c r="Y849" i="1"/>
  <c r="Y893" i="1"/>
  <c r="Y897" i="1"/>
  <c r="Y916" i="1"/>
  <c r="Y923" i="1"/>
  <c r="Y942" i="1"/>
  <c r="Y959" i="1"/>
  <c r="Y847" i="1"/>
  <c r="Y872" i="1"/>
  <c r="Y895" i="1"/>
  <c r="Y956" i="1"/>
  <c r="Y950" i="1"/>
  <c r="Y980" i="1"/>
  <c r="Y954" i="1"/>
  <c r="Y958" i="1"/>
  <c r="Y974" i="1"/>
  <c r="Y988" i="1"/>
  <c r="Y993" i="1"/>
  <c r="Y930" i="1"/>
  <c r="Y962" i="1"/>
  <c r="Y970" i="1"/>
  <c r="Y986" i="1"/>
  <c r="Y1000" i="1"/>
  <c r="Y984" i="1"/>
  <c r="Y989" i="1"/>
  <c r="Y982" i="1"/>
  <c r="Y994" i="1"/>
  <c r="Y996" i="1"/>
  <c r="Y1001" i="1"/>
  <c r="Y992" i="1"/>
  <c r="Y999" i="1"/>
</calcChain>
</file>

<file path=xl/sharedStrings.xml><?xml version="1.0" encoding="utf-8"?>
<sst xmlns="http://schemas.openxmlformats.org/spreadsheetml/2006/main" count="77" uniqueCount="66">
  <si>
    <t>Medico</t>
  </si>
  <si>
    <t>Mes (YYYY-MM)</t>
  </si>
  <si>
    <t>Atenciones</t>
  </si>
  <si>
    <t>HorasTrabajadas</t>
  </si>
  <si>
    <t>(oculto)_no_usar</t>
  </si>
  <si>
    <t>Return72h_pct</t>
  </si>
  <si>
    <t>Incidentes_100</t>
  </si>
  <si>
    <t>ConductaMenos6h_pct</t>
  </si>
  <si>
    <t>ConductaMas6h_pct</t>
  </si>
  <si>
    <t>Quejas_pct</t>
  </si>
  <si>
    <t>CalidadHC_pct</t>
  </si>
  <si>
    <t>Dr. Juan Pérez</t>
  </si>
  <si>
    <t>Dra. Mariana Gómez</t>
  </si>
  <si>
    <t>2025-07</t>
  </si>
  <si>
    <t>Fecha</t>
  </si>
  <si>
    <t>Calidad documentación (1-5)</t>
  </si>
  <si>
    <t>Estructura/claridad (1-5)</t>
  </si>
  <si>
    <t>Historia y examen (1-5)</t>
  </si>
  <si>
    <t>Justificación paraclínicos (1-5)</t>
  </si>
  <si>
    <t>Plan y egreso (1-5)</t>
  </si>
  <si>
    <t>Global (auto) 1-5</t>
  </si>
  <si>
    <t>Comentarios</t>
  </si>
  <si>
    <t>Evaluador</t>
  </si>
  <si>
    <t>Feedback global (1-5)</t>
  </si>
  <si>
    <t>Comunicación (1-5)</t>
  </si>
  <si>
    <t>Trabajo en equipo (1-5)</t>
  </si>
  <si>
    <t>Cortesía/respeto (1-5)</t>
  </si>
  <si>
    <t>Gestión de conflictos (1-5)</t>
  </si>
  <si>
    <t>Caso</t>
  </si>
  <si>
    <t>Profesionalismo (1-5)</t>
  </si>
  <si>
    <t>Seguridad paciente (1-5)</t>
  </si>
  <si>
    <t>Ética/Responsabilidad (1-5)</t>
  </si>
  <si>
    <t>Dia1_pacientes_por_hora</t>
  </si>
  <si>
    <t>Dia2_pacientes_por_hora</t>
  </si>
  <si>
    <t>Dia3_pacientes_por_hora</t>
  </si>
  <si>
    <t>Dia4_pacientes_por_hora</t>
  </si>
  <si>
    <t>Dia5_pacientes_por_hora</t>
  </si>
  <si>
    <t>Promedio_5d</t>
  </si>
  <si>
    <t>Ítem</t>
  </si>
  <si>
    <t>Meta</t>
  </si>
  <si>
    <t>DTP objetivo (min) (no se usa)</t>
  </si>
  <si>
    <t>Reingreso 72h (%)</t>
  </si>
  <si>
    <t>Incidentes por 100 atenciones</t>
  </si>
  <si>
    <t>Conducta &lt;6h (%)</t>
  </si>
  <si>
    <t>Conducta &gt;6h (%)</t>
  </si>
  <si>
    <t>Quejas (%)</t>
  </si>
  <si>
    <t>Productividad (pacientes/hora)</t>
  </si>
  <si>
    <t>Calidad historia clínica (%)</t>
  </si>
  <si>
    <t>Documentación (1-5 → 0-100)</t>
  </si>
  <si>
    <t>Feedback 360° (1-5 → 0-100)</t>
  </si>
  <si>
    <t>Profesionalismo (1-5 → 0-100)</t>
  </si>
  <si>
    <t>Seguridad del paciente (1-5 → 0-100)</t>
  </si>
  <si>
    <t>Productividad (Pac/Hora)</t>
  </si>
  <si>
    <t>Pacientes atendidos por hora (5 días) – Promedio</t>
  </si>
  <si>
    <t>Score_Pacientes/h (5d)</t>
  </si>
  <si>
    <t>Score_Reingreso72h</t>
  </si>
  <si>
    <t>Score_SeguridadPaciente</t>
  </si>
  <si>
    <t>Score_Cond&lt;6h</t>
  </si>
  <si>
    <t>Score_Cond&gt;6h</t>
  </si>
  <si>
    <t>Score_Quejas</t>
  </si>
  <si>
    <t>Score_Productividad</t>
  </si>
  <si>
    <t>Score_CalidadHC</t>
  </si>
  <si>
    <t>Score_Documentacion</t>
  </si>
  <si>
    <t>Score_360</t>
  </si>
  <si>
    <t>Score_Profesionalismo</t>
  </si>
  <si>
    <t>TOTAL_PONDERADO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</si>
</sst>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workbookViewId="0"/>
  </sheetViews>
  <sheetFormatPr baseColWidth="10" defaultColWidth="8.83203125" defaultRowHeight="15" x14ac:dyDescent="0.2"/>
  <cols>
    <col min="1" max="4" width="20.6640625" customWidth="1"/>
    <col min="5" max="5" width="0" hidden="1" customWidth="1"/>
    <col min="6" max="11" width="20.6640625" customWidth="1"/>
    <col min="13" max="13" width="26.5" customWidth="1"/>
  </cols>
  <sheetData>
    <row r="1" spans="1:2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</row>
    <row r="2" spans="1:25" x14ac:dyDescent="0.2">
      <c r="A2" t="s">
        <v>11</v>
      </c>
      <c r="B2" t="s">
        <v>13</v>
      </c>
      <c r="C2">
        <v>120</v>
      </c>
      <c r="D2">
        <v>100</v>
      </c>
      <c r="F2">
        <v>3</v>
      </c>
      <c r="G2">
        <v>1</v>
      </c>
      <c r="H2">
        <v>96</v>
      </c>
      <c r="I2">
        <v>4</v>
      </c>
      <c r="J2">
        <v>0.5</v>
      </c>
      <c r="K2">
        <v>97</v>
      </c>
      <c r="L2">
        <f t="shared" ref="L2:L65" si="0">IF(OR(C2="",D2=""),"",C2/D2)</f>
        <v>1.2</v>
      </c>
      <c r="M2" t="str">
        <f>IFERROR(AVERAGEIFS(Prod_5dias!$H$2:$H$1000,Prod_5dias!$A$2:$A$1000,$A2,Prod_5dias!$B$2:$B$1000,$B2),"")</f>
        <v/>
      </c>
      <c r="N2" t="str">
        <f>IF(M2="","",MIN(100,100*M2/Parametros!$B$7))</f>
        <v/>
      </c>
      <c r="O2">
        <f>IF(F2="","",IF(F2=0,100,MIN(100,100*Parametros!$B$3/F2)))</f>
        <v>100</v>
      </c>
      <c r="P2" t="str">
        <f ca="1">IFERROR(((AVERAGEIFS(Observacion_Directa!$E$2:$E$1000,Observacion_Directa!$A$2:$A$1000,$A2,Observacion_Directa!$B$2:$B$1000,"&gt;="&amp;DATEVALUE($B2&amp;"-01"),Observacion_Directa!$B$2:$B$1000,"&lt;="&amp;EOMONTH(DATEVALUE($B2&amp;"-01"),0)))-1)/4*100,"")</f>
        <v/>
      </c>
      <c r="Q2">
        <f>IF(H2="","",MIN(100,100*H2/Parametros!$B$4))</f>
        <v>100</v>
      </c>
      <c r="R2">
        <f>IF(I2="","",IF(I2=0,100,MIN(100,100*Parametros!$B$5/I2)))</f>
        <v>100</v>
      </c>
      <c r="S2">
        <f>IF(J2="","",IF(J2=0,100,MIN(100,100*Parametros!$B$6/J2)))</f>
        <v>100</v>
      </c>
      <c r="T2">
        <f>IF(L2="","",MIN(100,100*L2/Parametros!$B$7))</f>
        <v>100</v>
      </c>
      <c r="U2">
        <f>IF(K2="","",MIN(100,100*K2/Parametros!$B$8))</f>
        <v>100</v>
      </c>
      <c r="V2" t="str">
        <f ca="1">IFERROR(((AVERAGEIFS(Documentacion!$C$2:$C$1000,Documentacion!$A$2:$A$1000,$A2,Documentacion!$B$2:$B$1000,"&gt;="&amp;DATEVALUE($B2&amp;"-01"),Documentacion!$B$2:$B$1000,"&lt;="&amp;EOMONTH(DATEVALUE($B2&amp;"-01"),0)))-1)/4*100,"")</f>
        <v/>
      </c>
      <c r="W2" t="str">
        <f ca="1">IFERROR(((AVERAGEIFS(Feedback_360!$D$2:$D$1000,Feedback_360!$A$2:$A$1000,$A2,Feedback_360!$B$2:$B$1000,"&gt;="&amp;DATEVALUE($B2&amp;"-01"),Feedback_360!$B$2:$B$1000,"&lt;="&amp;EOMONTH(DATEVALUE($B2&amp;"-01"),0)))-1)/4*100,"")</f>
        <v/>
      </c>
      <c r="X2" t="str">
        <f ca="1">IFERROR(((AVERAGEIFS(Observacion_Directa!$D$2:$D$1000,Observacion_Directa!$A$2:$A$1000,$A2,Observacion_Directa!$B$2:$B$1000,"&gt;="&amp;DATEVALUE($B2&amp;"-01"),Observacion_Directa!$B$2:$B$1000,"&lt;="&amp;EOMONTH(DATEVALUE($B2&amp;"-01"),0)))-1)/4*100,"")</f>
        <v/>
      </c>
      <c r="Y2">
        <f t="shared" ref="Y2:Y65" ca="1" si="1">IF(COUNTA(N2:X2)=0,"",AVERAGE(N2:X2))</f>
        <v>100</v>
      </c>
    </row>
    <row r="3" spans="1:25" x14ac:dyDescent="0.2">
      <c r="A3" t="s">
        <v>12</v>
      </c>
      <c r="B3" t="s">
        <v>13</v>
      </c>
      <c r="C3">
        <v>95</v>
      </c>
      <c r="D3">
        <v>100</v>
      </c>
      <c r="F3">
        <v>6</v>
      </c>
      <c r="G3">
        <v>3</v>
      </c>
      <c r="H3">
        <v>85</v>
      </c>
      <c r="I3">
        <v>15</v>
      </c>
      <c r="J3">
        <v>2</v>
      </c>
      <c r="K3">
        <v>88</v>
      </c>
      <c r="L3">
        <f t="shared" si="0"/>
        <v>0.95</v>
      </c>
      <c r="M3" t="str">
        <f>IFERROR(AVERAGEIFS(Prod_5dias!$H$2:$H$1000,Prod_5dias!$A$2:$A$1000,$A3,Prod_5dias!$B$2:$B$1000,$B3),"")</f>
        <v/>
      </c>
      <c r="N3" t="str">
        <f>IF(M3="","",MIN(100,100*M3/Parametros!$B$7))</f>
        <v/>
      </c>
      <c r="O3">
        <f>IF(F3="","",IF(F3=0,100,MIN(100,100*Parametros!$B$3/F3)))</f>
        <v>66.666666666666671</v>
      </c>
      <c r="P3" t="str">
        <f ca="1">IFERROR(((AVERAGEIFS(Observacion_Directa!$E$2:$E$1000,Observacion_Directa!$A$2:$A$1000,$A3,Observacion_Directa!$B$2:$B$1000,"&gt;="&amp;DATEVALUE($B3&amp;"-01"),Observacion_Directa!$B$2:$B$1000,"&lt;="&amp;EOMONTH(DATEVALUE($B3&amp;"-01"),0)))-1)/4*100,"")</f>
        <v/>
      </c>
      <c r="Q3">
        <f>IF(H3="","",MIN(100,100*H3/Parametros!$B$4))</f>
        <v>100</v>
      </c>
      <c r="R3">
        <f>IF(I3="","",IF(I3=0,100,MIN(100,100*Parametros!$B$5/I3)))</f>
        <v>100</v>
      </c>
      <c r="S3">
        <f>IF(J3="","",IF(J3=0,100,MIN(100,100*Parametros!$B$6/J3)))</f>
        <v>100</v>
      </c>
      <c r="T3">
        <f>IF(L3="","",MIN(100,100*L3/Parametros!$B$7))</f>
        <v>95</v>
      </c>
      <c r="U3">
        <f>IF(K3="","",MIN(100,100*K3/Parametros!$B$8))</f>
        <v>100</v>
      </c>
      <c r="V3" t="str">
        <f ca="1">IFERROR(((AVERAGEIFS(Documentacion!$C$2:$C$1000,Documentacion!$A$2:$A$1000,$A3,Documentacion!$B$2:$B$1000,"&gt;="&amp;DATEVALUE($B3&amp;"-01"),Documentacion!$B$2:$B$1000,"&lt;="&amp;EOMONTH(DATEVALUE($B3&amp;"-01"),0)))-1)/4*100,"")</f>
        <v/>
      </c>
      <c r="W3" t="str">
        <f ca="1">IFERROR(((AVERAGEIFS(Feedback_360!$D$2:$D$1000,Feedback_360!$A$2:$A$1000,$A3,Feedback_360!$B$2:$B$1000,"&gt;="&amp;DATEVALUE($B3&amp;"-01"),Feedback_360!$B$2:$B$1000,"&lt;="&amp;EOMONTH(DATEVALUE($B3&amp;"-01"),0)))-1)/4*100,"")</f>
        <v/>
      </c>
      <c r="X3" t="str">
        <f ca="1">IFERROR(((AVERAGEIFS(Observacion_Directa!$D$2:$D$1000,Observacion_Directa!$A$2:$A$1000,$A3,Observacion_Directa!$B$2:$B$1000,"&gt;="&amp;DATEVALUE($B3&amp;"-01"),Observacion_Directa!$B$2:$B$1000,"&lt;="&amp;EOMONTH(DATEVALUE($B3&amp;"-01"),0)))-1)/4*100,"")</f>
        <v/>
      </c>
      <c r="Y3">
        <f t="shared" ca="1" si="1"/>
        <v>93.611111111111128</v>
      </c>
    </row>
    <row r="4" spans="1:25" x14ac:dyDescent="0.2">
      <c r="L4" t="str">
        <f t="shared" si="0"/>
        <v/>
      </c>
      <c r="M4" t="str">
        <f>IFERROR(AVERAGEIFS(Prod_5dias!$H$2:$H$1000,Prod_5dias!$A$2:$A$1000,$A4,Prod_5dias!$B$2:$B$1000,$B4),"")</f>
        <v/>
      </c>
      <c r="N4" t="str">
        <f>IF(M4="","",MIN(100,100*M4/Parametros!$B$7))</f>
        <v/>
      </c>
      <c r="O4" t="str">
        <f>IF(F4="","",IF(F4=0,100,MIN(100,100*Parametros!$B$3/F4)))</f>
        <v/>
      </c>
      <c r="P4" t="str">
        <f ca="1">IFERROR(((AVERAGEIFS(Observacion_Directa!$E$2:$E$1000,Observacion_Directa!$A$2:$A$1000,$A4,Observacion_Directa!$B$2:$B$1000,"&gt;="&amp;DATEVALUE($B4&amp;"-01"),Observacion_Directa!$B$2:$B$1000,"&lt;="&amp;EOMONTH(DATEVALUE($B4&amp;"-01"),0)))-1)/4*100,"")</f>
        <v/>
      </c>
      <c r="Q4" t="str">
        <f>IF(H4="","",MIN(100,100*H4/Parametros!$B$4))</f>
        <v/>
      </c>
      <c r="R4" t="str">
        <f>IF(I4="","",IF(I4=0,100,MIN(100,100*Parametros!$B$5/I4)))</f>
        <v/>
      </c>
      <c r="S4" t="str">
        <f>IF(J4="","",IF(J4=0,100,MIN(100,100*Parametros!$B$6/J4)))</f>
        <v/>
      </c>
      <c r="T4" t="str">
        <f>IF(L4="","",MIN(100,100*L4/Parametros!$B$7))</f>
        <v/>
      </c>
      <c r="U4" t="str">
        <f>IF(K4="","",MIN(100,100*K4/Parametros!$B$8))</f>
        <v/>
      </c>
      <c r="V4" t="str">
        <f ca="1">IFERROR(((AVERAGEIFS(Documentacion!$C$2:$C$1000,Documentacion!$A$2:$A$1000,$A4,Documentacion!$B$2:$B$1000,"&gt;="&amp;DATEVALUE($B4&amp;"-01"),Documentacion!$B$2:$B$1000,"&lt;="&amp;EOMONTH(DATEVALUE($B4&amp;"-01"),0)))-1)/4*100,"")</f>
        <v/>
      </c>
      <c r="W4" t="str">
        <f ca="1">IFERROR(((AVERAGEIFS(Feedback_360!$D$2:$D$1000,Feedback_360!$A$2:$A$1000,$A4,Feedback_360!$B$2:$B$1000,"&gt;="&amp;DATEVALUE($B4&amp;"-01"),Feedback_360!$B$2:$B$1000,"&lt;="&amp;EOMONTH(DATEVALUE($B4&amp;"-01"),0)))-1)/4*100,"")</f>
        <v/>
      </c>
      <c r="X4" t="str">
        <f ca="1">IFERROR(((AVERAGEIFS(Observacion_Directa!$D$2:$D$1000,Observacion_Directa!$A$2:$A$1000,$A4,Observacion_Directa!$B$2:$B$1000,"&gt;="&amp;DATEVALUE($B4&amp;"-01"),Observacion_Directa!$B$2:$B$1000,"&lt;="&amp;EOMONTH(DATEVALUE($B4&amp;"-01"),0)))-1)/4*100,"")</f>
        <v/>
      </c>
      <c r="Y4" t="e">
        <f t="shared" ca="1" si="1"/>
        <v>#DIV/0!</v>
      </c>
    </row>
    <row r="5" spans="1:25" x14ac:dyDescent="0.2">
      <c r="L5" t="str">
        <f t="shared" si="0"/>
        <v/>
      </c>
      <c r="M5" t="str">
        <f>IFERROR(AVERAGEIFS(Prod_5dias!$H$2:$H$1000,Prod_5dias!$A$2:$A$1000,$A5,Prod_5dias!$B$2:$B$1000,$B5),"")</f>
        <v/>
      </c>
      <c r="N5" t="str">
        <f>IF(M5="","",MIN(100,100*M5/Parametros!$B$7))</f>
        <v/>
      </c>
      <c r="O5" t="str">
        <f>IF(F5="","",IF(F5=0,100,MIN(100,100*Parametros!$B$3/F5)))</f>
        <v/>
      </c>
      <c r="P5" t="str">
        <f ca="1">IFERROR(((AVERAGEIFS(Observacion_Directa!$E$2:$E$1000,Observacion_Directa!$A$2:$A$1000,$A5,Observacion_Directa!$B$2:$B$1000,"&gt;="&amp;DATEVALUE($B5&amp;"-01"),Observacion_Directa!$B$2:$B$1000,"&lt;="&amp;EOMONTH(DATEVALUE($B5&amp;"-01"),0)))-1)/4*100,"")</f>
        <v/>
      </c>
      <c r="Q5" t="str">
        <f>IF(H5="","",MIN(100,100*H5/Parametros!$B$4))</f>
        <v/>
      </c>
      <c r="R5" t="str">
        <f>IF(I5="","",IF(I5=0,100,MIN(100,100*Parametros!$B$5/I5)))</f>
        <v/>
      </c>
      <c r="S5" t="str">
        <f>IF(J5="","",IF(J5=0,100,MIN(100,100*Parametros!$B$6/J5)))</f>
        <v/>
      </c>
      <c r="T5" t="str">
        <f>IF(L5="","",MIN(100,100*L5/Parametros!$B$7))</f>
        <v/>
      </c>
      <c r="U5" t="str">
        <f>IF(K5="","",MIN(100,100*K5/Parametros!$B$8))</f>
        <v/>
      </c>
      <c r="V5" t="str">
        <f ca="1">IFERROR(((AVERAGEIFS(Documentacion!$C$2:$C$1000,Documentacion!$A$2:$A$1000,$A5,Documentacion!$B$2:$B$1000,"&gt;="&amp;DATEVALUE($B5&amp;"-01"),Documentacion!$B$2:$B$1000,"&lt;="&amp;EOMONTH(DATEVALUE($B5&amp;"-01"),0)))-1)/4*100,"")</f>
        <v/>
      </c>
      <c r="W5" t="str">
        <f ca="1">IFERROR(((AVERAGEIFS(Feedback_360!$D$2:$D$1000,Feedback_360!$A$2:$A$1000,$A5,Feedback_360!$B$2:$B$1000,"&gt;="&amp;DATEVALUE($B5&amp;"-01"),Feedback_360!$B$2:$B$1000,"&lt;="&amp;EOMONTH(DATEVALUE($B5&amp;"-01"),0)))-1)/4*100,"")</f>
        <v/>
      </c>
      <c r="X5" t="str">
        <f ca="1">IFERROR(((AVERAGEIFS(Observacion_Directa!$D$2:$D$1000,Observacion_Directa!$A$2:$A$1000,$A5,Observacion_Directa!$B$2:$B$1000,"&gt;="&amp;DATEVALUE($B5&amp;"-01"),Observacion_Directa!$B$2:$B$1000,"&lt;="&amp;EOMONTH(DATEVALUE($B5&amp;"-01"),0)))-1)/4*100,"")</f>
        <v/>
      </c>
      <c r="Y5" t="e">
        <f t="shared" ca="1" si="1"/>
        <v>#DIV/0!</v>
      </c>
    </row>
    <row r="6" spans="1:25" x14ac:dyDescent="0.2">
      <c r="L6" t="str">
        <f t="shared" si="0"/>
        <v/>
      </c>
      <c r="M6" t="str">
        <f>IFERROR(AVERAGEIFS(Prod_5dias!$H$2:$H$1000,Prod_5dias!$A$2:$A$1000,$A6,Prod_5dias!$B$2:$B$1000,$B6),"")</f>
        <v/>
      </c>
      <c r="N6" t="str">
        <f>IF(M6="","",MIN(100,100*M6/Parametros!$B$7))</f>
        <v/>
      </c>
      <c r="O6" t="str">
        <f>IF(F6="","",IF(F6=0,100,MIN(100,100*Parametros!$B$3/F6)))</f>
        <v/>
      </c>
      <c r="P6" t="str">
        <f ca="1">IFERROR(((AVERAGEIFS(Observacion_Directa!$E$2:$E$1000,Observacion_Directa!$A$2:$A$1000,$A6,Observacion_Directa!$B$2:$B$1000,"&gt;="&amp;DATEVALUE($B6&amp;"-01"),Observacion_Directa!$B$2:$B$1000,"&lt;="&amp;EOMONTH(DATEVALUE($B6&amp;"-01"),0)))-1)/4*100,"")</f>
        <v/>
      </c>
      <c r="Q6" t="str">
        <f>IF(H6="","",MIN(100,100*H6/Parametros!$B$4))</f>
        <v/>
      </c>
      <c r="R6" t="str">
        <f>IF(I6="","",IF(I6=0,100,MIN(100,100*Parametros!$B$5/I6)))</f>
        <v/>
      </c>
      <c r="S6" t="str">
        <f>IF(J6="","",IF(J6=0,100,MIN(100,100*Parametros!$B$6/J6)))</f>
        <v/>
      </c>
      <c r="T6" t="str">
        <f>IF(L6="","",MIN(100,100*L6/Parametros!$B$7))</f>
        <v/>
      </c>
      <c r="U6" t="str">
        <f>IF(K6="","",MIN(100,100*K6/Parametros!$B$8))</f>
        <v/>
      </c>
      <c r="V6" t="str">
        <f ca="1">IFERROR(((AVERAGEIFS(Documentacion!$C$2:$C$1000,Documentacion!$A$2:$A$1000,$A6,Documentacion!$B$2:$B$1000,"&gt;="&amp;DATEVALUE($B6&amp;"-01"),Documentacion!$B$2:$B$1000,"&lt;="&amp;EOMONTH(DATEVALUE($B6&amp;"-01"),0)))-1)/4*100,"")</f>
        <v/>
      </c>
      <c r="W6" t="str">
        <f ca="1">IFERROR(((AVERAGEIFS(Feedback_360!$D$2:$D$1000,Feedback_360!$A$2:$A$1000,$A6,Feedback_360!$B$2:$B$1000,"&gt;="&amp;DATEVALUE($B6&amp;"-01"),Feedback_360!$B$2:$B$1000,"&lt;="&amp;EOMONTH(DATEVALUE($B6&amp;"-01"),0)))-1)/4*100,"")</f>
        <v/>
      </c>
      <c r="X6" t="str">
        <f ca="1">IFERROR(((AVERAGEIFS(Observacion_Directa!$D$2:$D$1000,Observacion_Directa!$A$2:$A$1000,$A6,Observacion_Directa!$B$2:$B$1000,"&gt;="&amp;DATEVALUE($B6&amp;"-01"),Observacion_Directa!$B$2:$B$1000,"&lt;="&amp;EOMONTH(DATEVALUE($B6&amp;"-01"),0)))-1)/4*100,"")</f>
        <v/>
      </c>
      <c r="Y6" t="e">
        <f t="shared" ca="1" si="1"/>
        <v>#DIV/0!</v>
      </c>
    </row>
    <row r="7" spans="1:25" x14ac:dyDescent="0.2">
      <c r="L7" t="str">
        <f t="shared" si="0"/>
        <v/>
      </c>
      <c r="M7" t="str">
        <f>IFERROR(AVERAGEIFS(Prod_5dias!$H$2:$H$1000,Prod_5dias!$A$2:$A$1000,$A7,Prod_5dias!$B$2:$B$1000,$B7),"")</f>
        <v/>
      </c>
      <c r="N7" t="str">
        <f>IF(M7="","",MIN(100,100*M7/Parametros!$B$7))</f>
        <v/>
      </c>
      <c r="O7" t="str">
        <f>IF(F7="","",IF(F7=0,100,MIN(100,100*Parametros!$B$3/F7)))</f>
        <v/>
      </c>
      <c r="P7" t="str">
        <f ca="1">IFERROR(((AVERAGEIFS(Observacion_Directa!$E$2:$E$1000,Observacion_Directa!$A$2:$A$1000,$A7,Observacion_Directa!$B$2:$B$1000,"&gt;="&amp;DATEVALUE($B7&amp;"-01"),Observacion_Directa!$B$2:$B$1000,"&lt;="&amp;EOMONTH(DATEVALUE($B7&amp;"-01"),0)))-1)/4*100,"")</f>
        <v/>
      </c>
      <c r="Q7" t="str">
        <f>IF(H7="","",MIN(100,100*H7/Parametros!$B$4))</f>
        <v/>
      </c>
      <c r="R7" t="str">
        <f>IF(I7="","",IF(I7=0,100,MIN(100,100*Parametros!$B$5/I7)))</f>
        <v/>
      </c>
      <c r="S7" t="str">
        <f>IF(J7="","",IF(J7=0,100,MIN(100,100*Parametros!$B$6/J7)))</f>
        <v/>
      </c>
      <c r="T7" t="str">
        <f>IF(L7="","",MIN(100,100*L7/Parametros!$B$7))</f>
        <v/>
      </c>
      <c r="U7" t="str">
        <f>IF(K7="","",MIN(100,100*K7/Parametros!$B$8))</f>
        <v/>
      </c>
      <c r="V7" t="str">
        <f ca="1">IFERROR(((AVERAGEIFS(Documentacion!$C$2:$C$1000,Documentacion!$A$2:$A$1000,$A7,Documentacion!$B$2:$B$1000,"&gt;="&amp;DATEVALUE($B7&amp;"-01"),Documentacion!$B$2:$B$1000,"&lt;="&amp;EOMONTH(DATEVALUE($B7&amp;"-01"),0)))-1)/4*100,"")</f>
        <v/>
      </c>
      <c r="W7" t="str">
        <f ca="1">IFERROR(((AVERAGEIFS(Feedback_360!$D$2:$D$1000,Feedback_360!$A$2:$A$1000,$A7,Feedback_360!$B$2:$B$1000,"&gt;="&amp;DATEVALUE($B7&amp;"-01"),Feedback_360!$B$2:$B$1000,"&lt;="&amp;EOMONTH(DATEVALUE($B7&amp;"-01"),0)))-1)/4*100,"")</f>
        <v/>
      </c>
      <c r="X7" t="str">
        <f ca="1">IFERROR(((AVERAGEIFS(Observacion_Directa!$D$2:$D$1000,Observacion_Directa!$A$2:$A$1000,$A7,Observacion_Directa!$B$2:$B$1000,"&gt;="&amp;DATEVALUE($B7&amp;"-01"),Observacion_Directa!$B$2:$B$1000,"&lt;="&amp;EOMONTH(DATEVALUE($B7&amp;"-01"),0)))-1)/4*100,"")</f>
        <v/>
      </c>
      <c r="Y7" t="e">
        <f t="shared" ca="1" si="1"/>
        <v>#DIV/0!</v>
      </c>
    </row>
    <row r="8" spans="1:25" x14ac:dyDescent="0.2">
      <c r="L8" t="str">
        <f t="shared" si="0"/>
        <v/>
      </c>
      <c r="M8" t="str">
        <f>IFERROR(AVERAGEIFS(Prod_5dias!$H$2:$H$1000,Prod_5dias!$A$2:$A$1000,$A8,Prod_5dias!$B$2:$B$1000,$B8),"")</f>
        <v/>
      </c>
      <c r="N8" t="str">
        <f>IF(M8="","",MIN(100,100*M8/Parametros!$B$7))</f>
        <v/>
      </c>
      <c r="O8" t="str">
        <f>IF(F8="","",IF(F8=0,100,MIN(100,100*Parametros!$B$3/F8)))</f>
        <v/>
      </c>
      <c r="P8" t="str">
        <f ca="1">IFERROR(((AVERAGEIFS(Observacion_Directa!$E$2:$E$1000,Observacion_Directa!$A$2:$A$1000,$A8,Observacion_Directa!$B$2:$B$1000,"&gt;="&amp;DATEVALUE($B8&amp;"-01"),Observacion_Directa!$B$2:$B$1000,"&lt;="&amp;EOMONTH(DATEVALUE($B8&amp;"-01"),0)))-1)/4*100,"")</f>
        <v/>
      </c>
      <c r="Q8" t="str">
        <f>IF(H8="","",MIN(100,100*H8/Parametros!$B$4))</f>
        <v/>
      </c>
      <c r="R8" t="str">
        <f>IF(I8="","",IF(I8=0,100,MIN(100,100*Parametros!$B$5/I8)))</f>
        <v/>
      </c>
      <c r="S8" t="str">
        <f>IF(J8="","",IF(J8=0,100,MIN(100,100*Parametros!$B$6/J8)))</f>
        <v/>
      </c>
      <c r="T8" t="str">
        <f>IF(L8="","",MIN(100,100*L8/Parametros!$B$7))</f>
        <v/>
      </c>
      <c r="U8" t="str">
        <f>IF(K8="","",MIN(100,100*K8/Parametros!$B$8))</f>
        <v/>
      </c>
      <c r="V8" t="str">
        <f ca="1">IFERROR(((AVERAGEIFS(Documentacion!$C$2:$C$1000,Documentacion!$A$2:$A$1000,$A8,Documentacion!$B$2:$B$1000,"&gt;="&amp;DATEVALUE($B8&amp;"-01"),Documentacion!$B$2:$B$1000,"&lt;="&amp;EOMONTH(DATEVALUE($B8&amp;"-01"),0)))-1)/4*100,"")</f>
        <v/>
      </c>
      <c r="W8" t="str">
        <f ca="1">IFERROR(((AVERAGEIFS(Feedback_360!$D$2:$D$1000,Feedback_360!$A$2:$A$1000,$A8,Feedback_360!$B$2:$B$1000,"&gt;="&amp;DATEVALUE($B8&amp;"-01"),Feedback_360!$B$2:$B$1000,"&lt;="&amp;EOMONTH(DATEVALUE($B8&amp;"-01"),0)))-1)/4*100,"")</f>
        <v/>
      </c>
      <c r="X8" t="str">
        <f ca="1">IFERROR(((AVERAGEIFS(Observacion_Directa!$D$2:$D$1000,Observacion_Directa!$A$2:$A$1000,$A8,Observacion_Directa!$B$2:$B$1000,"&gt;="&amp;DATEVALUE($B8&amp;"-01"),Observacion_Directa!$B$2:$B$1000,"&lt;="&amp;EOMONTH(DATEVALUE($B8&amp;"-01"),0)))-1)/4*100,"")</f>
        <v/>
      </c>
      <c r="Y8" t="e">
        <f t="shared" ca="1" si="1"/>
        <v>#DIV/0!</v>
      </c>
    </row>
    <row r="9" spans="1:25" x14ac:dyDescent="0.2">
      <c r="L9" t="str">
        <f t="shared" si="0"/>
        <v/>
      </c>
      <c r="M9" t="str">
        <f>IFERROR(AVERAGEIFS(Prod_5dias!$H$2:$H$1000,Prod_5dias!$A$2:$A$1000,$A9,Prod_5dias!$B$2:$B$1000,$B9),"")</f>
        <v/>
      </c>
      <c r="N9" t="str">
        <f>IF(M9="","",MIN(100,100*M9/Parametros!$B$7))</f>
        <v/>
      </c>
      <c r="O9" t="str">
        <f>IF(F9="","",IF(F9=0,100,MIN(100,100*Parametros!$B$3/F9)))</f>
        <v/>
      </c>
      <c r="P9" t="str">
        <f ca="1">IFERROR(((AVERAGEIFS(Observacion_Directa!$E$2:$E$1000,Observacion_Directa!$A$2:$A$1000,$A9,Observacion_Directa!$B$2:$B$1000,"&gt;="&amp;DATEVALUE($B9&amp;"-01"),Observacion_Directa!$B$2:$B$1000,"&lt;="&amp;EOMONTH(DATEVALUE($B9&amp;"-01"),0)))-1)/4*100,"")</f>
        <v/>
      </c>
      <c r="Q9" t="str">
        <f>IF(H9="","",MIN(100,100*H9/Parametros!$B$4))</f>
        <v/>
      </c>
      <c r="R9" t="str">
        <f>IF(I9="","",IF(I9=0,100,MIN(100,100*Parametros!$B$5/I9)))</f>
        <v/>
      </c>
      <c r="S9" t="str">
        <f>IF(J9="","",IF(J9=0,100,MIN(100,100*Parametros!$B$6/J9)))</f>
        <v/>
      </c>
      <c r="T9" t="str">
        <f>IF(L9="","",MIN(100,100*L9/Parametros!$B$7))</f>
        <v/>
      </c>
      <c r="U9" t="str">
        <f>IF(K9="","",MIN(100,100*K9/Parametros!$B$8))</f>
        <v/>
      </c>
      <c r="V9" t="str">
        <f ca="1">IFERROR(((AVERAGEIFS(Documentacion!$C$2:$C$1000,Documentacion!$A$2:$A$1000,$A9,Documentacion!$B$2:$B$1000,"&gt;="&amp;DATEVALUE($B9&amp;"-01"),Documentacion!$B$2:$B$1000,"&lt;="&amp;EOMONTH(DATEVALUE($B9&amp;"-01"),0)))-1)/4*100,"")</f>
        <v/>
      </c>
      <c r="W9" t="str">
        <f ca="1">IFERROR(((AVERAGEIFS(Feedback_360!$D$2:$D$1000,Feedback_360!$A$2:$A$1000,$A9,Feedback_360!$B$2:$B$1000,"&gt;="&amp;DATEVALUE($B9&amp;"-01"),Feedback_360!$B$2:$B$1000,"&lt;="&amp;EOMONTH(DATEVALUE($B9&amp;"-01"),0)))-1)/4*100,"")</f>
        <v/>
      </c>
      <c r="X9" t="str">
        <f ca="1">IFERROR(((AVERAGEIFS(Observacion_Directa!$D$2:$D$1000,Observacion_Directa!$A$2:$A$1000,$A9,Observacion_Directa!$B$2:$B$1000,"&gt;="&amp;DATEVALUE($B9&amp;"-01"),Observacion_Directa!$B$2:$B$1000,"&lt;="&amp;EOMONTH(DATEVALUE($B9&amp;"-01"),0)))-1)/4*100,"")</f>
        <v/>
      </c>
      <c r="Y9" t="e">
        <f t="shared" ca="1" si="1"/>
        <v>#DIV/0!</v>
      </c>
    </row>
    <row r="10" spans="1:25" x14ac:dyDescent="0.2">
      <c r="L10" t="str">
        <f t="shared" si="0"/>
        <v/>
      </c>
      <c r="M10" t="str">
        <f>IFERROR(AVERAGEIFS(Prod_5dias!$H$2:$H$1000,Prod_5dias!$A$2:$A$1000,$A10,Prod_5dias!$B$2:$B$1000,$B10),"")</f>
        <v/>
      </c>
      <c r="N10" t="str">
        <f>IF(M10="","",MIN(100,100*M10/Parametros!$B$7))</f>
        <v/>
      </c>
      <c r="O10" t="str">
        <f>IF(F10="","",IF(F10=0,100,MIN(100,100*Parametros!$B$3/F10)))</f>
        <v/>
      </c>
      <c r="P10" t="str">
        <f ca="1">IFERROR(((AVERAGEIFS(Observacion_Directa!$E$2:$E$1000,Observacion_Directa!$A$2:$A$1000,$A10,Observacion_Directa!$B$2:$B$1000,"&gt;="&amp;DATEVALUE($B10&amp;"-01"),Observacion_Directa!$B$2:$B$1000,"&lt;="&amp;EOMONTH(DATEVALUE($B10&amp;"-01"),0)))-1)/4*100,"")</f>
        <v/>
      </c>
      <c r="Q10" t="str">
        <f>IF(H10="","",MIN(100,100*H10/Parametros!$B$4))</f>
        <v/>
      </c>
      <c r="R10" t="str">
        <f>IF(I10="","",IF(I10=0,100,MIN(100,100*Parametros!$B$5/I10)))</f>
        <v/>
      </c>
      <c r="S10" t="str">
        <f>IF(J10="","",IF(J10=0,100,MIN(100,100*Parametros!$B$6/J10)))</f>
        <v/>
      </c>
      <c r="T10" t="str">
        <f>IF(L10="","",MIN(100,100*L10/Parametros!$B$7))</f>
        <v/>
      </c>
      <c r="U10" t="str">
        <f>IF(K10="","",MIN(100,100*K10/Parametros!$B$8))</f>
        <v/>
      </c>
      <c r="V10" t="str">
        <f ca="1">IFERROR(((AVERAGEIFS(Documentacion!$C$2:$C$1000,Documentacion!$A$2:$A$1000,$A10,Documentacion!$B$2:$B$1000,"&gt;="&amp;DATEVALUE($B10&amp;"-01"),Documentacion!$B$2:$B$1000,"&lt;="&amp;EOMONTH(DATEVALUE($B10&amp;"-01"),0)))-1)/4*100,"")</f>
        <v/>
      </c>
      <c r="W10" t="str">
        <f ca="1">IFERROR(((AVERAGEIFS(Feedback_360!$D$2:$D$1000,Feedback_360!$A$2:$A$1000,$A10,Feedback_360!$B$2:$B$1000,"&gt;="&amp;DATEVALUE($B10&amp;"-01"),Feedback_360!$B$2:$B$1000,"&lt;="&amp;EOMONTH(DATEVALUE($B10&amp;"-01"),0)))-1)/4*100,"")</f>
        <v/>
      </c>
      <c r="X10" t="str">
        <f ca="1">IFERROR(((AVERAGEIFS(Observacion_Directa!$D$2:$D$1000,Observacion_Directa!$A$2:$A$1000,$A10,Observacion_Directa!$B$2:$B$1000,"&gt;="&amp;DATEVALUE($B10&amp;"-01"),Observacion_Directa!$B$2:$B$1000,"&lt;="&amp;EOMONTH(DATEVALUE($B10&amp;"-01"),0)))-1)/4*100,"")</f>
        <v/>
      </c>
      <c r="Y10" t="e">
        <f t="shared" ca="1" si="1"/>
        <v>#DIV/0!</v>
      </c>
    </row>
    <row r="11" spans="1:25" x14ac:dyDescent="0.2">
      <c r="L11" t="str">
        <f t="shared" si="0"/>
        <v/>
      </c>
      <c r="M11" t="str">
        <f>IFERROR(AVERAGEIFS(Prod_5dias!$H$2:$H$1000,Prod_5dias!$A$2:$A$1000,$A11,Prod_5dias!$B$2:$B$1000,$B11),"")</f>
        <v/>
      </c>
      <c r="N11" t="str">
        <f>IF(M11="","",MIN(100,100*M11/Parametros!$B$7))</f>
        <v/>
      </c>
      <c r="O11" t="str">
        <f>IF(F11="","",IF(F11=0,100,MIN(100,100*Parametros!$B$3/F11)))</f>
        <v/>
      </c>
      <c r="P11" t="str">
        <f ca="1">IFERROR(((AVERAGEIFS(Observacion_Directa!$E$2:$E$1000,Observacion_Directa!$A$2:$A$1000,$A11,Observacion_Directa!$B$2:$B$1000,"&gt;="&amp;DATEVALUE($B11&amp;"-01"),Observacion_Directa!$B$2:$B$1000,"&lt;="&amp;EOMONTH(DATEVALUE($B11&amp;"-01"),0)))-1)/4*100,"")</f>
        <v/>
      </c>
      <c r="Q11" t="str">
        <f>IF(H11="","",MIN(100,100*H11/Parametros!$B$4))</f>
        <v/>
      </c>
      <c r="R11" t="str">
        <f>IF(I11="","",IF(I11=0,100,MIN(100,100*Parametros!$B$5/I11)))</f>
        <v/>
      </c>
      <c r="S11" t="str">
        <f>IF(J11="","",IF(J11=0,100,MIN(100,100*Parametros!$B$6/J11)))</f>
        <v/>
      </c>
      <c r="T11" t="str">
        <f>IF(L11="","",MIN(100,100*L11/Parametros!$B$7))</f>
        <v/>
      </c>
      <c r="U11" t="str">
        <f>IF(K11="","",MIN(100,100*K11/Parametros!$B$8))</f>
        <v/>
      </c>
      <c r="V11" t="str">
        <f ca="1">IFERROR(((AVERAGEIFS(Documentacion!$C$2:$C$1000,Documentacion!$A$2:$A$1000,$A11,Documentacion!$B$2:$B$1000,"&gt;="&amp;DATEVALUE($B11&amp;"-01"),Documentacion!$B$2:$B$1000,"&lt;="&amp;EOMONTH(DATEVALUE($B11&amp;"-01"),0)))-1)/4*100,"")</f>
        <v/>
      </c>
      <c r="W11" t="str">
        <f ca="1">IFERROR(((AVERAGEIFS(Feedback_360!$D$2:$D$1000,Feedback_360!$A$2:$A$1000,$A11,Feedback_360!$B$2:$B$1000,"&gt;="&amp;DATEVALUE($B11&amp;"-01"),Feedback_360!$B$2:$B$1000,"&lt;="&amp;EOMONTH(DATEVALUE($B11&amp;"-01"),0)))-1)/4*100,"")</f>
        <v/>
      </c>
      <c r="X11" t="str">
        <f ca="1">IFERROR(((AVERAGEIFS(Observacion_Directa!$D$2:$D$1000,Observacion_Directa!$A$2:$A$1000,$A11,Observacion_Directa!$B$2:$B$1000,"&gt;="&amp;DATEVALUE($B11&amp;"-01"),Observacion_Directa!$B$2:$B$1000,"&lt;="&amp;EOMONTH(DATEVALUE($B11&amp;"-01"),0)))-1)/4*100,"")</f>
        <v/>
      </c>
      <c r="Y11" t="e">
        <f t="shared" ca="1" si="1"/>
        <v>#DIV/0!</v>
      </c>
    </row>
    <row r="12" spans="1:25" x14ac:dyDescent="0.2">
      <c r="L12" t="str">
        <f t="shared" si="0"/>
        <v/>
      </c>
      <c r="M12" t="str">
        <f>IFERROR(AVERAGEIFS(Prod_5dias!$H$2:$H$1000,Prod_5dias!$A$2:$A$1000,$A12,Prod_5dias!$B$2:$B$1000,$B12),"")</f>
        <v/>
      </c>
      <c r="N12" t="str">
        <f>IF(M12="","",MIN(100,100*M12/Parametros!$B$7))</f>
        <v/>
      </c>
      <c r="O12" t="str">
        <f>IF(F12="","",IF(F12=0,100,MIN(100,100*Parametros!$B$3/F12)))</f>
        <v/>
      </c>
      <c r="P12" t="str">
        <f ca="1">IFERROR(((AVERAGEIFS(Observacion_Directa!$E$2:$E$1000,Observacion_Directa!$A$2:$A$1000,$A12,Observacion_Directa!$B$2:$B$1000,"&gt;="&amp;DATEVALUE($B12&amp;"-01"),Observacion_Directa!$B$2:$B$1000,"&lt;="&amp;EOMONTH(DATEVALUE($B12&amp;"-01"),0)))-1)/4*100,"")</f>
        <v/>
      </c>
      <c r="Q12" t="str">
        <f>IF(H12="","",MIN(100,100*H12/Parametros!$B$4))</f>
        <v/>
      </c>
      <c r="R12" t="str">
        <f>IF(I12="","",IF(I12=0,100,MIN(100,100*Parametros!$B$5/I12)))</f>
        <v/>
      </c>
      <c r="S12" t="str">
        <f>IF(J12="","",IF(J12=0,100,MIN(100,100*Parametros!$B$6/J12)))</f>
        <v/>
      </c>
      <c r="T12" t="str">
        <f>IF(L12="","",MIN(100,100*L12/Parametros!$B$7))</f>
        <v/>
      </c>
      <c r="U12" t="str">
        <f>IF(K12="","",MIN(100,100*K12/Parametros!$B$8))</f>
        <v/>
      </c>
      <c r="V12" t="str">
        <f ca="1">IFERROR(((AVERAGEIFS(Documentacion!$C$2:$C$1000,Documentacion!$A$2:$A$1000,$A12,Documentacion!$B$2:$B$1000,"&gt;="&amp;DATEVALUE($B12&amp;"-01"),Documentacion!$B$2:$B$1000,"&lt;="&amp;EOMONTH(DATEVALUE($B12&amp;"-01"),0)))-1)/4*100,"")</f>
        <v/>
      </c>
      <c r="W12" t="str">
        <f ca="1">IFERROR(((AVERAGEIFS(Feedback_360!$D$2:$D$1000,Feedback_360!$A$2:$A$1000,$A12,Feedback_360!$B$2:$B$1000,"&gt;="&amp;DATEVALUE($B12&amp;"-01"),Feedback_360!$B$2:$B$1000,"&lt;="&amp;EOMONTH(DATEVALUE($B12&amp;"-01"),0)))-1)/4*100,"")</f>
        <v/>
      </c>
      <c r="X12" t="str">
        <f ca="1">IFERROR(((AVERAGEIFS(Observacion_Directa!$D$2:$D$1000,Observacion_Directa!$A$2:$A$1000,$A12,Observacion_Directa!$B$2:$B$1000,"&gt;="&amp;DATEVALUE($B12&amp;"-01"),Observacion_Directa!$B$2:$B$1000,"&lt;="&amp;EOMONTH(DATEVALUE($B12&amp;"-01"),0)))-1)/4*100,"")</f>
        <v/>
      </c>
      <c r="Y12" t="e">
        <f t="shared" ca="1" si="1"/>
        <v>#DIV/0!</v>
      </c>
    </row>
    <row r="13" spans="1:25" x14ac:dyDescent="0.2">
      <c r="L13" t="str">
        <f t="shared" si="0"/>
        <v/>
      </c>
      <c r="M13" t="str">
        <f>IFERROR(AVERAGEIFS(Prod_5dias!$H$2:$H$1000,Prod_5dias!$A$2:$A$1000,$A13,Prod_5dias!$B$2:$B$1000,$B13),"")</f>
        <v/>
      </c>
      <c r="N13" t="str">
        <f>IF(M13="","",MIN(100,100*M13/Parametros!$B$7))</f>
        <v/>
      </c>
      <c r="O13" t="str">
        <f>IF(F13="","",IF(F13=0,100,MIN(100,100*Parametros!$B$3/F13)))</f>
        <v/>
      </c>
      <c r="P13" t="str">
        <f ca="1">IFERROR(((AVERAGEIFS(Observacion_Directa!$E$2:$E$1000,Observacion_Directa!$A$2:$A$1000,$A13,Observacion_Directa!$B$2:$B$1000,"&gt;="&amp;DATEVALUE($B13&amp;"-01"),Observacion_Directa!$B$2:$B$1000,"&lt;="&amp;EOMONTH(DATEVALUE($B13&amp;"-01"),0)))-1)/4*100,"")</f>
        <v/>
      </c>
      <c r="Q13" t="str">
        <f>IF(H13="","",MIN(100,100*H13/Parametros!$B$4))</f>
        <v/>
      </c>
      <c r="R13" t="str">
        <f>IF(I13="","",IF(I13=0,100,MIN(100,100*Parametros!$B$5/I13)))</f>
        <v/>
      </c>
      <c r="S13" t="str">
        <f>IF(J13="","",IF(J13=0,100,MIN(100,100*Parametros!$B$6/J13)))</f>
        <v/>
      </c>
      <c r="T13" t="str">
        <f>IF(L13="","",MIN(100,100*L13/Parametros!$B$7))</f>
        <v/>
      </c>
      <c r="U13" t="str">
        <f>IF(K13="","",MIN(100,100*K13/Parametros!$B$8))</f>
        <v/>
      </c>
      <c r="V13" t="str">
        <f ca="1">IFERROR(((AVERAGEIFS(Documentacion!$C$2:$C$1000,Documentacion!$A$2:$A$1000,$A13,Documentacion!$B$2:$B$1000,"&gt;="&amp;DATEVALUE($B13&amp;"-01"),Documentacion!$B$2:$B$1000,"&lt;="&amp;EOMONTH(DATEVALUE($B13&amp;"-01"),0)))-1)/4*100,"")</f>
        <v/>
      </c>
      <c r="W13" t="str">
        <f ca="1">IFERROR(((AVERAGEIFS(Feedback_360!$D$2:$D$1000,Feedback_360!$A$2:$A$1000,$A13,Feedback_360!$B$2:$B$1000,"&gt;="&amp;DATEVALUE($B13&amp;"-01"),Feedback_360!$B$2:$B$1000,"&lt;="&amp;EOMONTH(DATEVALUE($B13&amp;"-01"),0)))-1)/4*100,"")</f>
        <v/>
      </c>
      <c r="X13" t="str">
        <f ca="1">IFERROR(((AVERAGEIFS(Observacion_Directa!$D$2:$D$1000,Observacion_Directa!$A$2:$A$1000,$A13,Observacion_Directa!$B$2:$B$1000,"&gt;="&amp;DATEVALUE($B13&amp;"-01"),Observacion_Directa!$B$2:$B$1000,"&lt;="&amp;EOMONTH(DATEVALUE($B13&amp;"-01"),0)))-1)/4*100,"")</f>
        <v/>
      </c>
      <c r="Y13" t="e">
        <f t="shared" ca="1" si="1"/>
        <v>#DIV/0!</v>
      </c>
    </row>
    <row r="14" spans="1:25" x14ac:dyDescent="0.2">
      <c r="L14" t="str">
        <f t="shared" si="0"/>
        <v/>
      </c>
      <c r="M14" t="str">
        <f>IFERROR(AVERAGEIFS(Prod_5dias!$H$2:$H$1000,Prod_5dias!$A$2:$A$1000,$A14,Prod_5dias!$B$2:$B$1000,$B14),"")</f>
        <v/>
      </c>
      <c r="N14" t="str">
        <f>IF(M14="","",MIN(100,100*M14/Parametros!$B$7))</f>
        <v/>
      </c>
      <c r="O14" t="str">
        <f>IF(F14="","",IF(F14=0,100,MIN(100,100*Parametros!$B$3/F14)))</f>
        <v/>
      </c>
      <c r="P14" t="str">
        <f ca="1">IFERROR(((AVERAGEIFS(Observacion_Directa!$E$2:$E$1000,Observacion_Directa!$A$2:$A$1000,$A14,Observacion_Directa!$B$2:$B$1000,"&gt;="&amp;DATEVALUE($B14&amp;"-01"),Observacion_Directa!$B$2:$B$1000,"&lt;="&amp;EOMONTH(DATEVALUE($B14&amp;"-01"),0)))-1)/4*100,"")</f>
        <v/>
      </c>
      <c r="Q14" t="str">
        <f>IF(H14="","",MIN(100,100*H14/Parametros!$B$4))</f>
        <v/>
      </c>
      <c r="R14" t="str">
        <f>IF(I14="","",IF(I14=0,100,MIN(100,100*Parametros!$B$5/I14)))</f>
        <v/>
      </c>
      <c r="S14" t="str">
        <f>IF(J14="","",IF(J14=0,100,MIN(100,100*Parametros!$B$6/J14)))</f>
        <v/>
      </c>
      <c r="T14" t="str">
        <f>IF(L14="","",MIN(100,100*L14/Parametros!$B$7))</f>
        <v/>
      </c>
      <c r="U14" t="str">
        <f>IF(K14="","",MIN(100,100*K14/Parametros!$B$8))</f>
        <v/>
      </c>
      <c r="V14" t="str">
        <f ca="1">IFERROR(((AVERAGEIFS(Documentacion!$C$2:$C$1000,Documentacion!$A$2:$A$1000,$A14,Documentacion!$B$2:$B$1000,"&gt;="&amp;DATEVALUE($B14&amp;"-01"),Documentacion!$B$2:$B$1000,"&lt;="&amp;EOMONTH(DATEVALUE($B14&amp;"-01"),0)))-1)/4*100,"")</f>
        <v/>
      </c>
      <c r="W14" t="str">
        <f ca="1">IFERROR(((AVERAGEIFS(Feedback_360!$D$2:$D$1000,Feedback_360!$A$2:$A$1000,$A14,Feedback_360!$B$2:$B$1000,"&gt;="&amp;DATEVALUE($B14&amp;"-01"),Feedback_360!$B$2:$B$1000,"&lt;="&amp;EOMONTH(DATEVALUE($B14&amp;"-01"),0)))-1)/4*100,"")</f>
        <v/>
      </c>
      <c r="X14" t="str">
        <f ca="1">IFERROR(((AVERAGEIFS(Observacion_Directa!$D$2:$D$1000,Observacion_Directa!$A$2:$A$1000,$A14,Observacion_Directa!$B$2:$B$1000,"&gt;="&amp;DATEVALUE($B14&amp;"-01"),Observacion_Directa!$B$2:$B$1000,"&lt;="&amp;EOMONTH(DATEVALUE($B14&amp;"-01"),0)))-1)/4*100,"")</f>
        <v/>
      </c>
      <c r="Y14" t="e">
        <f t="shared" ca="1" si="1"/>
        <v>#DIV/0!</v>
      </c>
    </row>
    <row r="15" spans="1:25" x14ac:dyDescent="0.2">
      <c r="L15" t="str">
        <f t="shared" si="0"/>
        <v/>
      </c>
      <c r="M15" t="str">
        <f>IFERROR(AVERAGEIFS(Prod_5dias!$H$2:$H$1000,Prod_5dias!$A$2:$A$1000,$A15,Prod_5dias!$B$2:$B$1000,$B15),"")</f>
        <v/>
      </c>
      <c r="N15" t="str">
        <f>IF(M15="","",MIN(100,100*M15/Parametros!$B$7))</f>
        <v/>
      </c>
      <c r="O15" t="str">
        <f>IF(F15="","",IF(F15=0,100,MIN(100,100*Parametros!$B$3/F15)))</f>
        <v/>
      </c>
      <c r="P15" t="str">
        <f ca="1">IFERROR(((AVERAGEIFS(Observacion_Directa!$E$2:$E$1000,Observacion_Directa!$A$2:$A$1000,$A15,Observacion_Directa!$B$2:$B$1000,"&gt;="&amp;DATEVALUE($B15&amp;"-01"),Observacion_Directa!$B$2:$B$1000,"&lt;="&amp;EOMONTH(DATEVALUE($B15&amp;"-01"),0)))-1)/4*100,"")</f>
        <v/>
      </c>
      <c r="Q15" t="str">
        <f>IF(H15="","",MIN(100,100*H15/Parametros!$B$4))</f>
        <v/>
      </c>
      <c r="R15" t="str">
        <f>IF(I15="","",IF(I15=0,100,MIN(100,100*Parametros!$B$5/I15)))</f>
        <v/>
      </c>
      <c r="S15" t="str">
        <f>IF(J15="","",IF(J15=0,100,MIN(100,100*Parametros!$B$6/J15)))</f>
        <v/>
      </c>
      <c r="T15" t="str">
        <f>IF(L15="","",MIN(100,100*L15/Parametros!$B$7))</f>
        <v/>
      </c>
      <c r="U15" t="str">
        <f>IF(K15="","",MIN(100,100*K15/Parametros!$B$8))</f>
        <v/>
      </c>
      <c r="V15" t="str">
        <f ca="1">IFERROR(((AVERAGEIFS(Documentacion!$C$2:$C$1000,Documentacion!$A$2:$A$1000,$A15,Documentacion!$B$2:$B$1000,"&gt;="&amp;DATEVALUE($B15&amp;"-01"),Documentacion!$B$2:$B$1000,"&lt;="&amp;EOMONTH(DATEVALUE($B15&amp;"-01"),0)))-1)/4*100,"")</f>
        <v/>
      </c>
      <c r="W15" t="str">
        <f ca="1">IFERROR(((AVERAGEIFS(Feedback_360!$D$2:$D$1000,Feedback_360!$A$2:$A$1000,$A15,Feedback_360!$B$2:$B$1000,"&gt;="&amp;DATEVALUE($B15&amp;"-01"),Feedback_360!$B$2:$B$1000,"&lt;="&amp;EOMONTH(DATEVALUE($B15&amp;"-01"),0)))-1)/4*100,"")</f>
        <v/>
      </c>
      <c r="X15" t="str">
        <f ca="1">IFERROR(((AVERAGEIFS(Observacion_Directa!$D$2:$D$1000,Observacion_Directa!$A$2:$A$1000,$A15,Observacion_Directa!$B$2:$B$1000,"&gt;="&amp;DATEVALUE($B15&amp;"-01"),Observacion_Directa!$B$2:$B$1000,"&lt;="&amp;EOMONTH(DATEVALUE($B15&amp;"-01"),0)))-1)/4*100,"")</f>
        <v/>
      </c>
      <c r="Y15" t="e">
        <f t="shared" ca="1" si="1"/>
        <v>#DIV/0!</v>
      </c>
    </row>
    <row r="16" spans="1:25" x14ac:dyDescent="0.2">
      <c r="L16" t="str">
        <f t="shared" si="0"/>
        <v/>
      </c>
      <c r="M16" t="str">
        <f>IFERROR(AVERAGEIFS(Prod_5dias!$H$2:$H$1000,Prod_5dias!$A$2:$A$1000,$A16,Prod_5dias!$B$2:$B$1000,$B16),"")</f>
        <v/>
      </c>
      <c r="N16" t="str">
        <f>IF(M16="","",MIN(100,100*M16/Parametros!$B$7))</f>
        <v/>
      </c>
      <c r="O16" t="str">
        <f>IF(F16="","",IF(F16=0,100,MIN(100,100*Parametros!$B$3/F16)))</f>
        <v/>
      </c>
      <c r="P16" t="str">
        <f ca="1">IFERROR(((AVERAGEIFS(Observacion_Directa!$E$2:$E$1000,Observacion_Directa!$A$2:$A$1000,$A16,Observacion_Directa!$B$2:$B$1000,"&gt;="&amp;DATEVALUE($B16&amp;"-01"),Observacion_Directa!$B$2:$B$1000,"&lt;="&amp;EOMONTH(DATEVALUE($B16&amp;"-01"),0)))-1)/4*100,"")</f>
        <v/>
      </c>
      <c r="Q16" t="str">
        <f>IF(H16="","",MIN(100,100*H16/Parametros!$B$4))</f>
        <v/>
      </c>
      <c r="R16" t="str">
        <f>IF(I16="","",IF(I16=0,100,MIN(100,100*Parametros!$B$5/I16)))</f>
        <v/>
      </c>
      <c r="S16" t="str">
        <f>IF(J16="","",IF(J16=0,100,MIN(100,100*Parametros!$B$6/J16)))</f>
        <v/>
      </c>
      <c r="T16" t="str">
        <f>IF(L16="","",MIN(100,100*L16/Parametros!$B$7))</f>
        <v/>
      </c>
      <c r="U16" t="str">
        <f>IF(K16="","",MIN(100,100*K16/Parametros!$B$8))</f>
        <v/>
      </c>
      <c r="V16" t="str">
        <f ca="1">IFERROR(((AVERAGEIFS(Documentacion!$C$2:$C$1000,Documentacion!$A$2:$A$1000,$A16,Documentacion!$B$2:$B$1000,"&gt;="&amp;DATEVALUE($B16&amp;"-01"),Documentacion!$B$2:$B$1000,"&lt;="&amp;EOMONTH(DATEVALUE($B16&amp;"-01"),0)))-1)/4*100,"")</f>
        <v/>
      </c>
      <c r="W16" t="str">
        <f ca="1">IFERROR(((AVERAGEIFS(Feedback_360!$D$2:$D$1000,Feedback_360!$A$2:$A$1000,$A16,Feedback_360!$B$2:$B$1000,"&gt;="&amp;DATEVALUE($B16&amp;"-01"),Feedback_360!$B$2:$B$1000,"&lt;="&amp;EOMONTH(DATEVALUE($B16&amp;"-01"),0)))-1)/4*100,"")</f>
        <v/>
      </c>
      <c r="X16" t="str">
        <f ca="1">IFERROR(((AVERAGEIFS(Observacion_Directa!$D$2:$D$1000,Observacion_Directa!$A$2:$A$1000,$A16,Observacion_Directa!$B$2:$B$1000,"&gt;="&amp;DATEVALUE($B16&amp;"-01"),Observacion_Directa!$B$2:$B$1000,"&lt;="&amp;EOMONTH(DATEVALUE($B16&amp;"-01"),0)))-1)/4*100,"")</f>
        <v/>
      </c>
      <c r="Y16" t="e">
        <f t="shared" ca="1" si="1"/>
        <v>#DIV/0!</v>
      </c>
    </row>
    <row r="17" spans="12:25" x14ac:dyDescent="0.2">
      <c r="L17" t="str">
        <f t="shared" si="0"/>
        <v/>
      </c>
      <c r="M17" t="str">
        <f>IFERROR(AVERAGEIFS(Prod_5dias!$H$2:$H$1000,Prod_5dias!$A$2:$A$1000,$A17,Prod_5dias!$B$2:$B$1000,$B17),"")</f>
        <v/>
      </c>
      <c r="N17" t="str">
        <f>IF(M17="","",MIN(100,100*M17/Parametros!$B$7))</f>
        <v/>
      </c>
      <c r="O17" t="str">
        <f>IF(F17="","",IF(F17=0,100,MIN(100,100*Parametros!$B$3/F17)))</f>
        <v/>
      </c>
      <c r="P17" t="str">
        <f ca="1">IFERROR(((AVERAGEIFS(Observacion_Directa!$E$2:$E$1000,Observacion_Directa!$A$2:$A$1000,$A17,Observacion_Directa!$B$2:$B$1000,"&gt;="&amp;DATEVALUE($B17&amp;"-01"),Observacion_Directa!$B$2:$B$1000,"&lt;="&amp;EOMONTH(DATEVALUE($B17&amp;"-01"),0)))-1)/4*100,"")</f>
        <v/>
      </c>
      <c r="Q17" t="str">
        <f>IF(H17="","",MIN(100,100*H17/Parametros!$B$4))</f>
        <v/>
      </c>
      <c r="R17" t="str">
        <f>IF(I17="","",IF(I17=0,100,MIN(100,100*Parametros!$B$5/I17)))</f>
        <v/>
      </c>
      <c r="S17" t="str">
        <f>IF(J17="","",IF(J17=0,100,MIN(100,100*Parametros!$B$6/J17)))</f>
        <v/>
      </c>
      <c r="T17" t="str">
        <f>IF(L17="","",MIN(100,100*L17/Parametros!$B$7))</f>
        <v/>
      </c>
      <c r="U17" t="str">
        <f>IF(K17="","",MIN(100,100*K17/Parametros!$B$8))</f>
        <v/>
      </c>
      <c r="V17" t="str">
        <f ca="1">IFERROR(((AVERAGEIFS(Documentacion!$C$2:$C$1000,Documentacion!$A$2:$A$1000,$A17,Documentacion!$B$2:$B$1000,"&gt;="&amp;DATEVALUE($B17&amp;"-01"),Documentacion!$B$2:$B$1000,"&lt;="&amp;EOMONTH(DATEVALUE($B17&amp;"-01"),0)))-1)/4*100,"")</f>
        <v/>
      </c>
      <c r="W17" t="str">
        <f ca="1">IFERROR(((AVERAGEIFS(Feedback_360!$D$2:$D$1000,Feedback_360!$A$2:$A$1000,$A17,Feedback_360!$B$2:$B$1000,"&gt;="&amp;DATEVALUE($B17&amp;"-01"),Feedback_360!$B$2:$B$1000,"&lt;="&amp;EOMONTH(DATEVALUE($B17&amp;"-01"),0)))-1)/4*100,"")</f>
        <v/>
      </c>
      <c r="X17" t="str">
        <f ca="1">IFERROR(((AVERAGEIFS(Observacion_Directa!$D$2:$D$1000,Observacion_Directa!$A$2:$A$1000,$A17,Observacion_Directa!$B$2:$B$1000,"&gt;="&amp;DATEVALUE($B17&amp;"-01"),Observacion_Directa!$B$2:$B$1000,"&lt;="&amp;EOMONTH(DATEVALUE($B17&amp;"-01"),0)))-1)/4*100,"")</f>
        <v/>
      </c>
      <c r="Y17" t="e">
        <f t="shared" ca="1" si="1"/>
        <v>#DIV/0!</v>
      </c>
    </row>
    <row r="18" spans="12:25" x14ac:dyDescent="0.2">
      <c r="L18" t="str">
        <f t="shared" si="0"/>
        <v/>
      </c>
      <c r="M18" t="str">
        <f>IFERROR(AVERAGEIFS(Prod_5dias!$H$2:$H$1000,Prod_5dias!$A$2:$A$1000,$A18,Prod_5dias!$B$2:$B$1000,$B18),"")</f>
        <v/>
      </c>
      <c r="N18" t="str">
        <f>IF(M18="","",MIN(100,100*M18/Parametros!$B$7))</f>
        <v/>
      </c>
      <c r="O18" t="str">
        <f>IF(F18="","",IF(F18=0,100,MIN(100,100*Parametros!$B$3/F18)))</f>
        <v/>
      </c>
      <c r="P18" t="str">
        <f ca="1">IFERROR(((AVERAGEIFS(Observacion_Directa!$E$2:$E$1000,Observacion_Directa!$A$2:$A$1000,$A18,Observacion_Directa!$B$2:$B$1000,"&gt;="&amp;DATEVALUE($B18&amp;"-01"),Observacion_Directa!$B$2:$B$1000,"&lt;="&amp;EOMONTH(DATEVALUE($B18&amp;"-01"),0)))-1)/4*100,"")</f>
        <v/>
      </c>
      <c r="Q18" t="str">
        <f>IF(H18="","",MIN(100,100*H18/Parametros!$B$4))</f>
        <v/>
      </c>
      <c r="R18" t="str">
        <f>IF(I18="","",IF(I18=0,100,MIN(100,100*Parametros!$B$5/I18)))</f>
        <v/>
      </c>
      <c r="S18" t="str">
        <f>IF(J18="","",IF(J18=0,100,MIN(100,100*Parametros!$B$6/J18)))</f>
        <v/>
      </c>
      <c r="T18" t="str">
        <f>IF(L18="","",MIN(100,100*L18/Parametros!$B$7))</f>
        <v/>
      </c>
      <c r="U18" t="str">
        <f>IF(K18="","",MIN(100,100*K18/Parametros!$B$8))</f>
        <v/>
      </c>
      <c r="V18" t="str">
        <f ca="1">IFERROR(((AVERAGEIFS(Documentacion!$C$2:$C$1000,Documentacion!$A$2:$A$1000,$A18,Documentacion!$B$2:$B$1000,"&gt;="&amp;DATEVALUE($B18&amp;"-01"),Documentacion!$B$2:$B$1000,"&lt;="&amp;EOMONTH(DATEVALUE($B18&amp;"-01"),0)))-1)/4*100,"")</f>
        <v/>
      </c>
      <c r="W18" t="str">
        <f ca="1">IFERROR(((AVERAGEIFS(Feedback_360!$D$2:$D$1000,Feedback_360!$A$2:$A$1000,$A18,Feedback_360!$B$2:$B$1000,"&gt;="&amp;DATEVALUE($B18&amp;"-01"),Feedback_360!$B$2:$B$1000,"&lt;="&amp;EOMONTH(DATEVALUE($B18&amp;"-01"),0)))-1)/4*100,"")</f>
        <v/>
      </c>
      <c r="X18" t="str">
        <f ca="1">IFERROR(((AVERAGEIFS(Observacion_Directa!$D$2:$D$1000,Observacion_Directa!$A$2:$A$1000,$A18,Observacion_Directa!$B$2:$B$1000,"&gt;="&amp;DATEVALUE($B18&amp;"-01"),Observacion_Directa!$B$2:$B$1000,"&lt;="&amp;EOMONTH(DATEVALUE($B18&amp;"-01"),0)))-1)/4*100,"")</f>
        <v/>
      </c>
      <c r="Y18" t="e">
        <f t="shared" ca="1" si="1"/>
        <v>#DIV/0!</v>
      </c>
    </row>
    <row r="19" spans="12:25" x14ac:dyDescent="0.2">
      <c r="L19" t="str">
        <f t="shared" si="0"/>
        <v/>
      </c>
      <c r="M19" t="str">
        <f>IFERROR(AVERAGEIFS(Prod_5dias!$H$2:$H$1000,Prod_5dias!$A$2:$A$1000,$A19,Prod_5dias!$B$2:$B$1000,$B19),"")</f>
        <v/>
      </c>
      <c r="N19" t="str">
        <f>IF(M19="","",MIN(100,100*M19/Parametros!$B$7))</f>
        <v/>
      </c>
      <c r="O19" t="str">
        <f>IF(F19="","",IF(F19=0,100,MIN(100,100*Parametros!$B$3/F19)))</f>
        <v/>
      </c>
      <c r="P19" t="str">
        <f ca="1">IFERROR(((AVERAGEIFS(Observacion_Directa!$E$2:$E$1000,Observacion_Directa!$A$2:$A$1000,$A19,Observacion_Directa!$B$2:$B$1000,"&gt;="&amp;DATEVALUE($B19&amp;"-01"),Observacion_Directa!$B$2:$B$1000,"&lt;="&amp;EOMONTH(DATEVALUE($B19&amp;"-01"),0)))-1)/4*100,"")</f>
        <v/>
      </c>
      <c r="Q19" t="str">
        <f>IF(H19="","",MIN(100,100*H19/Parametros!$B$4))</f>
        <v/>
      </c>
      <c r="R19" t="str">
        <f>IF(I19="","",IF(I19=0,100,MIN(100,100*Parametros!$B$5/I19)))</f>
        <v/>
      </c>
      <c r="S19" t="str">
        <f>IF(J19="","",IF(J19=0,100,MIN(100,100*Parametros!$B$6/J19)))</f>
        <v/>
      </c>
      <c r="T19" t="str">
        <f>IF(L19="","",MIN(100,100*L19/Parametros!$B$7))</f>
        <v/>
      </c>
      <c r="U19" t="str">
        <f>IF(K19="","",MIN(100,100*K19/Parametros!$B$8))</f>
        <v/>
      </c>
      <c r="V19" t="str">
        <f ca="1">IFERROR(((AVERAGEIFS(Documentacion!$C$2:$C$1000,Documentacion!$A$2:$A$1000,$A19,Documentacion!$B$2:$B$1000,"&gt;="&amp;DATEVALUE($B19&amp;"-01"),Documentacion!$B$2:$B$1000,"&lt;="&amp;EOMONTH(DATEVALUE($B19&amp;"-01"),0)))-1)/4*100,"")</f>
        <v/>
      </c>
      <c r="W19" t="str">
        <f ca="1">IFERROR(((AVERAGEIFS(Feedback_360!$D$2:$D$1000,Feedback_360!$A$2:$A$1000,$A19,Feedback_360!$B$2:$B$1000,"&gt;="&amp;DATEVALUE($B19&amp;"-01"),Feedback_360!$B$2:$B$1000,"&lt;="&amp;EOMONTH(DATEVALUE($B19&amp;"-01"),0)))-1)/4*100,"")</f>
        <v/>
      </c>
      <c r="X19" t="str">
        <f ca="1">IFERROR(((AVERAGEIFS(Observacion_Directa!$D$2:$D$1000,Observacion_Directa!$A$2:$A$1000,$A19,Observacion_Directa!$B$2:$B$1000,"&gt;="&amp;DATEVALUE($B19&amp;"-01"),Observacion_Directa!$B$2:$B$1000,"&lt;="&amp;EOMONTH(DATEVALUE($B19&amp;"-01"),0)))-1)/4*100,"")</f>
        <v/>
      </c>
      <c r="Y19" t="e">
        <f t="shared" ca="1" si="1"/>
        <v>#DIV/0!</v>
      </c>
    </row>
    <row r="20" spans="12:25" x14ac:dyDescent="0.2">
      <c r="L20" t="str">
        <f t="shared" si="0"/>
        <v/>
      </c>
      <c r="M20" t="str">
        <f>IFERROR(AVERAGEIFS(Prod_5dias!$H$2:$H$1000,Prod_5dias!$A$2:$A$1000,$A20,Prod_5dias!$B$2:$B$1000,$B20),"")</f>
        <v/>
      </c>
      <c r="N20" t="str">
        <f>IF(M20="","",MIN(100,100*M20/Parametros!$B$7))</f>
        <v/>
      </c>
      <c r="O20" t="str">
        <f>IF(F20="","",IF(F20=0,100,MIN(100,100*Parametros!$B$3/F20)))</f>
        <v/>
      </c>
      <c r="P20" t="str">
        <f ca="1">IFERROR(((AVERAGEIFS(Observacion_Directa!$E$2:$E$1000,Observacion_Directa!$A$2:$A$1000,$A20,Observacion_Directa!$B$2:$B$1000,"&gt;="&amp;DATEVALUE($B20&amp;"-01"),Observacion_Directa!$B$2:$B$1000,"&lt;="&amp;EOMONTH(DATEVALUE($B20&amp;"-01"),0)))-1)/4*100,"")</f>
        <v/>
      </c>
      <c r="Q20" t="str">
        <f>IF(H20="","",MIN(100,100*H20/Parametros!$B$4))</f>
        <v/>
      </c>
      <c r="R20" t="str">
        <f>IF(I20="","",IF(I20=0,100,MIN(100,100*Parametros!$B$5/I20)))</f>
        <v/>
      </c>
      <c r="S20" t="str">
        <f>IF(J20="","",IF(J20=0,100,MIN(100,100*Parametros!$B$6/J20)))</f>
        <v/>
      </c>
      <c r="T20" t="str">
        <f>IF(L20="","",MIN(100,100*L20/Parametros!$B$7))</f>
        <v/>
      </c>
      <c r="U20" t="str">
        <f>IF(K20="","",MIN(100,100*K20/Parametros!$B$8))</f>
        <v/>
      </c>
      <c r="V20" t="str">
        <f ca="1">IFERROR(((AVERAGEIFS(Documentacion!$C$2:$C$1000,Documentacion!$A$2:$A$1000,$A20,Documentacion!$B$2:$B$1000,"&gt;="&amp;DATEVALUE($B20&amp;"-01"),Documentacion!$B$2:$B$1000,"&lt;="&amp;EOMONTH(DATEVALUE($B20&amp;"-01"),0)))-1)/4*100,"")</f>
        <v/>
      </c>
      <c r="W20" t="str">
        <f ca="1">IFERROR(((AVERAGEIFS(Feedback_360!$D$2:$D$1000,Feedback_360!$A$2:$A$1000,$A20,Feedback_360!$B$2:$B$1000,"&gt;="&amp;DATEVALUE($B20&amp;"-01"),Feedback_360!$B$2:$B$1000,"&lt;="&amp;EOMONTH(DATEVALUE($B20&amp;"-01"),0)))-1)/4*100,"")</f>
        <v/>
      </c>
      <c r="X20" t="str">
        <f ca="1">IFERROR(((AVERAGEIFS(Observacion_Directa!$D$2:$D$1000,Observacion_Directa!$A$2:$A$1000,$A20,Observacion_Directa!$B$2:$B$1000,"&gt;="&amp;DATEVALUE($B20&amp;"-01"),Observacion_Directa!$B$2:$B$1000,"&lt;="&amp;EOMONTH(DATEVALUE($B20&amp;"-01"),0)))-1)/4*100,"")</f>
        <v/>
      </c>
      <c r="Y20" t="e">
        <f t="shared" ca="1" si="1"/>
        <v>#DIV/0!</v>
      </c>
    </row>
    <row r="21" spans="12:25" x14ac:dyDescent="0.2">
      <c r="L21" t="str">
        <f t="shared" si="0"/>
        <v/>
      </c>
      <c r="M21" t="str">
        <f>IFERROR(AVERAGEIFS(Prod_5dias!$H$2:$H$1000,Prod_5dias!$A$2:$A$1000,$A21,Prod_5dias!$B$2:$B$1000,$B21),"")</f>
        <v/>
      </c>
      <c r="N21" t="str">
        <f>IF(M21="","",MIN(100,100*M21/Parametros!$B$7))</f>
        <v/>
      </c>
      <c r="O21" t="str">
        <f>IF(F21="","",IF(F21=0,100,MIN(100,100*Parametros!$B$3/F21)))</f>
        <v/>
      </c>
      <c r="P21" t="str">
        <f ca="1">IFERROR(((AVERAGEIFS(Observacion_Directa!$E$2:$E$1000,Observacion_Directa!$A$2:$A$1000,$A21,Observacion_Directa!$B$2:$B$1000,"&gt;="&amp;DATEVALUE($B21&amp;"-01"),Observacion_Directa!$B$2:$B$1000,"&lt;="&amp;EOMONTH(DATEVALUE($B21&amp;"-01"),0)))-1)/4*100,"")</f>
        <v/>
      </c>
      <c r="Q21" t="str">
        <f>IF(H21="","",MIN(100,100*H21/Parametros!$B$4))</f>
        <v/>
      </c>
      <c r="R21" t="str">
        <f>IF(I21="","",IF(I21=0,100,MIN(100,100*Parametros!$B$5/I21)))</f>
        <v/>
      </c>
      <c r="S21" t="str">
        <f>IF(J21="","",IF(J21=0,100,MIN(100,100*Parametros!$B$6/J21)))</f>
        <v/>
      </c>
      <c r="T21" t="str">
        <f>IF(L21="","",MIN(100,100*L21/Parametros!$B$7))</f>
        <v/>
      </c>
      <c r="U21" t="str">
        <f>IF(K21="","",MIN(100,100*K21/Parametros!$B$8))</f>
        <v/>
      </c>
      <c r="V21" t="str">
        <f ca="1">IFERROR(((AVERAGEIFS(Documentacion!$C$2:$C$1000,Documentacion!$A$2:$A$1000,$A21,Documentacion!$B$2:$B$1000,"&gt;="&amp;DATEVALUE($B21&amp;"-01"),Documentacion!$B$2:$B$1000,"&lt;="&amp;EOMONTH(DATEVALUE($B21&amp;"-01"),0)))-1)/4*100,"")</f>
        <v/>
      </c>
      <c r="W21" t="str">
        <f ca="1">IFERROR(((AVERAGEIFS(Feedback_360!$D$2:$D$1000,Feedback_360!$A$2:$A$1000,$A21,Feedback_360!$B$2:$B$1000,"&gt;="&amp;DATEVALUE($B21&amp;"-01"),Feedback_360!$B$2:$B$1000,"&lt;="&amp;EOMONTH(DATEVALUE($B21&amp;"-01"),0)))-1)/4*100,"")</f>
        <v/>
      </c>
      <c r="X21" t="str">
        <f ca="1">IFERROR(((AVERAGEIFS(Observacion_Directa!$D$2:$D$1000,Observacion_Directa!$A$2:$A$1000,$A21,Observacion_Directa!$B$2:$B$1000,"&gt;="&amp;DATEVALUE($B21&amp;"-01"),Observacion_Directa!$B$2:$B$1000,"&lt;="&amp;EOMONTH(DATEVALUE($B21&amp;"-01"),0)))-1)/4*100,"")</f>
        <v/>
      </c>
      <c r="Y21" t="e">
        <f t="shared" ca="1" si="1"/>
        <v>#DIV/0!</v>
      </c>
    </row>
    <row r="22" spans="12:25" x14ac:dyDescent="0.2">
      <c r="L22" t="str">
        <f t="shared" si="0"/>
        <v/>
      </c>
      <c r="M22" t="str">
        <f>IFERROR(AVERAGEIFS(Prod_5dias!$H$2:$H$1000,Prod_5dias!$A$2:$A$1000,$A22,Prod_5dias!$B$2:$B$1000,$B22),"")</f>
        <v/>
      </c>
      <c r="N22" t="str">
        <f>IF(M22="","",MIN(100,100*M22/Parametros!$B$7))</f>
        <v/>
      </c>
      <c r="O22" t="str">
        <f>IF(F22="","",IF(F22=0,100,MIN(100,100*Parametros!$B$3/F22)))</f>
        <v/>
      </c>
      <c r="P22" t="str">
        <f ca="1">IFERROR(((AVERAGEIFS(Observacion_Directa!$E$2:$E$1000,Observacion_Directa!$A$2:$A$1000,$A22,Observacion_Directa!$B$2:$B$1000,"&gt;="&amp;DATEVALUE($B22&amp;"-01"),Observacion_Directa!$B$2:$B$1000,"&lt;="&amp;EOMONTH(DATEVALUE($B22&amp;"-01"),0)))-1)/4*100,"")</f>
        <v/>
      </c>
      <c r="Q22" t="str">
        <f>IF(H22="","",MIN(100,100*H22/Parametros!$B$4))</f>
        <v/>
      </c>
      <c r="R22" t="str">
        <f>IF(I22="","",IF(I22=0,100,MIN(100,100*Parametros!$B$5/I22)))</f>
        <v/>
      </c>
      <c r="S22" t="str">
        <f>IF(J22="","",IF(J22=0,100,MIN(100,100*Parametros!$B$6/J22)))</f>
        <v/>
      </c>
      <c r="T22" t="str">
        <f>IF(L22="","",MIN(100,100*L22/Parametros!$B$7))</f>
        <v/>
      </c>
      <c r="U22" t="str">
        <f>IF(K22="","",MIN(100,100*K22/Parametros!$B$8))</f>
        <v/>
      </c>
      <c r="V22" t="str">
        <f ca="1">IFERROR(((AVERAGEIFS(Documentacion!$C$2:$C$1000,Documentacion!$A$2:$A$1000,$A22,Documentacion!$B$2:$B$1000,"&gt;="&amp;DATEVALUE($B22&amp;"-01"),Documentacion!$B$2:$B$1000,"&lt;="&amp;EOMONTH(DATEVALUE($B22&amp;"-01"),0)))-1)/4*100,"")</f>
        <v/>
      </c>
      <c r="W22" t="str">
        <f ca="1">IFERROR(((AVERAGEIFS(Feedback_360!$D$2:$D$1000,Feedback_360!$A$2:$A$1000,$A22,Feedback_360!$B$2:$B$1000,"&gt;="&amp;DATEVALUE($B22&amp;"-01"),Feedback_360!$B$2:$B$1000,"&lt;="&amp;EOMONTH(DATEVALUE($B22&amp;"-01"),0)))-1)/4*100,"")</f>
        <v/>
      </c>
      <c r="X22" t="str">
        <f ca="1">IFERROR(((AVERAGEIFS(Observacion_Directa!$D$2:$D$1000,Observacion_Directa!$A$2:$A$1000,$A22,Observacion_Directa!$B$2:$B$1000,"&gt;="&amp;DATEVALUE($B22&amp;"-01"),Observacion_Directa!$B$2:$B$1000,"&lt;="&amp;EOMONTH(DATEVALUE($B22&amp;"-01"),0)))-1)/4*100,"")</f>
        <v/>
      </c>
      <c r="Y22" t="e">
        <f t="shared" ca="1" si="1"/>
        <v>#DIV/0!</v>
      </c>
    </row>
    <row r="23" spans="12:25" x14ac:dyDescent="0.2">
      <c r="L23" t="str">
        <f t="shared" si="0"/>
        <v/>
      </c>
      <c r="M23" t="str">
        <f>IFERROR(AVERAGEIFS(Prod_5dias!$H$2:$H$1000,Prod_5dias!$A$2:$A$1000,$A23,Prod_5dias!$B$2:$B$1000,$B23),"")</f>
        <v/>
      </c>
      <c r="N23" t="str">
        <f>IF(M23="","",MIN(100,100*M23/Parametros!$B$7))</f>
        <v/>
      </c>
      <c r="O23" t="str">
        <f>IF(F23="","",IF(F23=0,100,MIN(100,100*Parametros!$B$3/F23)))</f>
        <v/>
      </c>
      <c r="P23" t="str">
        <f ca="1">IFERROR(((AVERAGEIFS(Observacion_Directa!$E$2:$E$1000,Observacion_Directa!$A$2:$A$1000,$A23,Observacion_Directa!$B$2:$B$1000,"&gt;="&amp;DATEVALUE($B23&amp;"-01"),Observacion_Directa!$B$2:$B$1000,"&lt;="&amp;EOMONTH(DATEVALUE($B23&amp;"-01"),0)))-1)/4*100,"")</f>
        <v/>
      </c>
      <c r="Q23" t="str">
        <f>IF(H23="","",MIN(100,100*H23/Parametros!$B$4))</f>
        <v/>
      </c>
      <c r="R23" t="str">
        <f>IF(I23="","",IF(I23=0,100,MIN(100,100*Parametros!$B$5/I23)))</f>
        <v/>
      </c>
      <c r="S23" t="str">
        <f>IF(J23="","",IF(J23=0,100,MIN(100,100*Parametros!$B$6/J23)))</f>
        <v/>
      </c>
      <c r="T23" t="str">
        <f>IF(L23="","",MIN(100,100*L23/Parametros!$B$7))</f>
        <v/>
      </c>
      <c r="U23" t="str">
        <f>IF(K23="","",MIN(100,100*K23/Parametros!$B$8))</f>
        <v/>
      </c>
      <c r="V23" t="str">
        <f ca="1">IFERROR(((AVERAGEIFS(Documentacion!$C$2:$C$1000,Documentacion!$A$2:$A$1000,$A23,Documentacion!$B$2:$B$1000,"&gt;="&amp;DATEVALUE($B23&amp;"-01"),Documentacion!$B$2:$B$1000,"&lt;="&amp;EOMONTH(DATEVALUE($B23&amp;"-01"),0)))-1)/4*100,"")</f>
        <v/>
      </c>
      <c r="W23" t="str">
        <f ca="1">IFERROR(((AVERAGEIFS(Feedback_360!$D$2:$D$1000,Feedback_360!$A$2:$A$1000,$A23,Feedback_360!$B$2:$B$1000,"&gt;="&amp;DATEVALUE($B23&amp;"-01"),Feedback_360!$B$2:$B$1000,"&lt;="&amp;EOMONTH(DATEVALUE($B23&amp;"-01"),0)))-1)/4*100,"")</f>
        <v/>
      </c>
      <c r="X23" t="str">
        <f ca="1">IFERROR(((AVERAGEIFS(Observacion_Directa!$D$2:$D$1000,Observacion_Directa!$A$2:$A$1000,$A23,Observacion_Directa!$B$2:$B$1000,"&gt;="&amp;DATEVALUE($B23&amp;"-01"),Observacion_Directa!$B$2:$B$1000,"&lt;="&amp;EOMONTH(DATEVALUE($B23&amp;"-01"),0)))-1)/4*100,"")</f>
        <v/>
      </c>
      <c r="Y23" t="e">
        <f t="shared" ca="1" si="1"/>
        <v>#DIV/0!</v>
      </c>
    </row>
    <row r="24" spans="12:25" x14ac:dyDescent="0.2">
      <c r="L24" t="str">
        <f t="shared" si="0"/>
        <v/>
      </c>
      <c r="M24" t="str">
        <f>IFERROR(AVERAGEIFS(Prod_5dias!$H$2:$H$1000,Prod_5dias!$A$2:$A$1000,$A24,Prod_5dias!$B$2:$B$1000,$B24),"")</f>
        <v/>
      </c>
      <c r="N24" t="str">
        <f>IF(M24="","",MIN(100,100*M24/Parametros!$B$7))</f>
        <v/>
      </c>
      <c r="O24" t="str">
        <f>IF(F24="","",IF(F24=0,100,MIN(100,100*Parametros!$B$3/F24)))</f>
        <v/>
      </c>
      <c r="P24" t="str">
        <f ca="1">IFERROR(((AVERAGEIFS(Observacion_Directa!$E$2:$E$1000,Observacion_Directa!$A$2:$A$1000,$A24,Observacion_Directa!$B$2:$B$1000,"&gt;="&amp;DATEVALUE($B24&amp;"-01"),Observacion_Directa!$B$2:$B$1000,"&lt;="&amp;EOMONTH(DATEVALUE($B24&amp;"-01"),0)))-1)/4*100,"")</f>
        <v/>
      </c>
      <c r="Q24" t="str">
        <f>IF(H24="","",MIN(100,100*H24/Parametros!$B$4))</f>
        <v/>
      </c>
      <c r="R24" t="str">
        <f>IF(I24="","",IF(I24=0,100,MIN(100,100*Parametros!$B$5/I24)))</f>
        <v/>
      </c>
      <c r="S24" t="str">
        <f>IF(J24="","",IF(J24=0,100,MIN(100,100*Parametros!$B$6/J24)))</f>
        <v/>
      </c>
      <c r="T24" t="str">
        <f>IF(L24="","",MIN(100,100*L24/Parametros!$B$7))</f>
        <v/>
      </c>
      <c r="U24" t="str">
        <f>IF(K24="","",MIN(100,100*K24/Parametros!$B$8))</f>
        <v/>
      </c>
      <c r="V24" t="str">
        <f ca="1">IFERROR(((AVERAGEIFS(Documentacion!$C$2:$C$1000,Documentacion!$A$2:$A$1000,$A24,Documentacion!$B$2:$B$1000,"&gt;="&amp;DATEVALUE($B24&amp;"-01"),Documentacion!$B$2:$B$1000,"&lt;="&amp;EOMONTH(DATEVALUE($B24&amp;"-01"),0)))-1)/4*100,"")</f>
        <v/>
      </c>
      <c r="W24" t="str">
        <f ca="1">IFERROR(((AVERAGEIFS(Feedback_360!$D$2:$D$1000,Feedback_360!$A$2:$A$1000,$A24,Feedback_360!$B$2:$B$1000,"&gt;="&amp;DATEVALUE($B24&amp;"-01"),Feedback_360!$B$2:$B$1000,"&lt;="&amp;EOMONTH(DATEVALUE($B24&amp;"-01"),0)))-1)/4*100,"")</f>
        <v/>
      </c>
      <c r="X24" t="str">
        <f ca="1">IFERROR(((AVERAGEIFS(Observacion_Directa!$D$2:$D$1000,Observacion_Directa!$A$2:$A$1000,$A24,Observacion_Directa!$B$2:$B$1000,"&gt;="&amp;DATEVALUE($B24&amp;"-01"),Observacion_Directa!$B$2:$B$1000,"&lt;="&amp;EOMONTH(DATEVALUE($B24&amp;"-01"),0)))-1)/4*100,"")</f>
        <v/>
      </c>
      <c r="Y24" t="e">
        <f t="shared" ca="1" si="1"/>
        <v>#DIV/0!</v>
      </c>
    </row>
    <row r="25" spans="12:25" x14ac:dyDescent="0.2">
      <c r="L25" t="str">
        <f t="shared" si="0"/>
        <v/>
      </c>
      <c r="M25" t="str">
        <f>IFERROR(AVERAGEIFS(Prod_5dias!$H$2:$H$1000,Prod_5dias!$A$2:$A$1000,$A25,Prod_5dias!$B$2:$B$1000,$B25),"")</f>
        <v/>
      </c>
      <c r="N25" t="str">
        <f>IF(M25="","",MIN(100,100*M25/Parametros!$B$7))</f>
        <v/>
      </c>
      <c r="O25" t="str">
        <f>IF(F25="","",IF(F25=0,100,MIN(100,100*Parametros!$B$3/F25)))</f>
        <v/>
      </c>
      <c r="P25" t="str">
        <f ca="1">IFERROR(((AVERAGEIFS(Observacion_Directa!$E$2:$E$1000,Observacion_Directa!$A$2:$A$1000,$A25,Observacion_Directa!$B$2:$B$1000,"&gt;="&amp;DATEVALUE($B25&amp;"-01"),Observacion_Directa!$B$2:$B$1000,"&lt;="&amp;EOMONTH(DATEVALUE($B25&amp;"-01"),0)))-1)/4*100,"")</f>
        <v/>
      </c>
      <c r="Q25" t="str">
        <f>IF(H25="","",MIN(100,100*H25/Parametros!$B$4))</f>
        <v/>
      </c>
      <c r="R25" t="str">
        <f>IF(I25="","",IF(I25=0,100,MIN(100,100*Parametros!$B$5/I25)))</f>
        <v/>
      </c>
      <c r="S25" t="str">
        <f>IF(J25="","",IF(J25=0,100,MIN(100,100*Parametros!$B$6/J25)))</f>
        <v/>
      </c>
      <c r="T25" t="str">
        <f>IF(L25="","",MIN(100,100*L25/Parametros!$B$7))</f>
        <v/>
      </c>
      <c r="U25" t="str">
        <f>IF(K25="","",MIN(100,100*K25/Parametros!$B$8))</f>
        <v/>
      </c>
      <c r="V25" t="str">
        <f ca="1">IFERROR(((AVERAGEIFS(Documentacion!$C$2:$C$1000,Documentacion!$A$2:$A$1000,$A25,Documentacion!$B$2:$B$1000,"&gt;="&amp;DATEVALUE($B25&amp;"-01"),Documentacion!$B$2:$B$1000,"&lt;="&amp;EOMONTH(DATEVALUE($B25&amp;"-01"),0)))-1)/4*100,"")</f>
        <v/>
      </c>
      <c r="W25" t="str">
        <f ca="1">IFERROR(((AVERAGEIFS(Feedback_360!$D$2:$D$1000,Feedback_360!$A$2:$A$1000,$A25,Feedback_360!$B$2:$B$1000,"&gt;="&amp;DATEVALUE($B25&amp;"-01"),Feedback_360!$B$2:$B$1000,"&lt;="&amp;EOMONTH(DATEVALUE($B25&amp;"-01"),0)))-1)/4*100,"")</f>
        <v/>
      </c>
      <c r="X25" t="str">
        <f ca="1">IFERROR(((AVERAGEIFS(Observacion_Directa!$D$2:$D$1000,Observacion_Directa!$A$2:$A$1000,$A25,Observacion_Directa!$B$2:$B$1000,"&gt;="&amp;DATEVALUE($B25&amp;"-01"),Observacion_Directa!$B$2:$B$1000,"&lt;="&amp;EOMONTH(DATEVALUE($B25&amp;"-01"),0)))-1)/4*100,"")</f>
        <v/>
      </c>
      <c r="Y25" t="e">
        <f t="shared" ca="1" si="1"/>
        <v>#DIV/0!</v>
      </c>
    </row>
    <row r="26" spans="12:25" x14ac:dyDescent="0.2">
      <c r="L26" t="str">
        <f t="shared" si="0"/>
        <v/>
      </c>
      <c r="M26" t="str">
        <f>IFERROR(AVERAGEIFS(Prod_5dias!$H$2:$H$1000,Prod_5dias!$A$2:$A$1000,$A26,Prod_5dias!$B$2:$B$1000,$B26),"")</f>
        <v/>
      </c>
      <c r="N26" t="str">
        <f>IF(M26="","",MIN(100,100*M26/Parametros!$B$7))</f>
        <v/>
      </c>
      <c r="O26" t="str">
        <f>IF(F26="","",IF(F26=0,100,MIN(100,100*Parametros!$B$3/F26)))</f>
        <v/>
      </c>
      <c r="P26" t="str">
        <f ca="1">IFERROR(((AVERAGEIFS(Observacion_Directa!$E$2:$E$1000,Observacion_Directa!$A$2:$A$1000,$A26,Observacion_Directa!$B$2:$B$1000,"&gt;="&amp;DATEVALUE($B26&amp;"-01"),Observacion_Directa!$B$2:$B$1000,"&lt;="&amp;EOMONTH(DATEVALUE($B26&amp;"-01"),0)))-1)/4*100,"")</f>
        <v/>
      </c>
      <c r="Q26" t="str">
        <f>IF(H26="","",MIN(100,100*H26/Parametros!$B$4))</f>
        <v/>
      </c>
      <c r="R26" t="str">
        <f>IF(I26="","",IF(I26=0,100,MIN(100,100*Parametros!$B$5/I26)))</f>
        <v/>
      </c>
      <c r="S26" t="str">
        <f>IF(J26="","",IF(J26=0,100,MIN(100,100*Parametros!$B$6/J26)))</f>
        <v/>
      </c>
      <c r="T26" t="str">
        <f>IF(L26="","",MIN(100,100*L26/Parametros!$B$7))</f>
        <v/>
      </c>
      <c r="U26" t="str">
        <f>IF(K26="","",MIN(100,100*K26/Parametros!$B$8))</f>
        <v/>
      </c>
      <c r="V26" t="str">
        <f ca="1">IFERROR(((AVERAGEIFS(Documentacion!$C$2:$C$1000,Documentacion!$A$2:$A$1000,$A26,Documentacion!$B$2:$B$1000,"&gt;="&amp;DATEVALUE($B26&amp;"-01"),Documentacion!$B$2:$B$1000,"&lt;="&amp;EOMONTH(DATEVALUE($B26&amp;"-01"),0)))-1)/4*100,"")</f>
        <v/>
      </c>
      <c r="W26" t="str">
        <f ca="1">IFERROR(((AVERAGEIFS(Feedback_360!$D$2:$D$1000,Feedback_360!$A$2:$A$1000,$A26,Feedback_360!$B$2:$B$1000,"&gt;="&amp;DATEVALUE($B26&amp;"-01"),Feedback_360!$B$2:$B$1000,"&lt;="&amp;EOMONTH(DATEVALUE($B26&amp;"-01"),0)))-1)/4*100,"")</f>
        <v/>
      </c>
      <c r="X26" t="str">
        <f ca="1">IFERROR(((AVERAGEIFS(Observacion_Directa!$D$2:$D$1000,Observacion_Directa!$A$2:$A$1000,$A26,Observacion_Directa!$B$2:$B$1000,"&gt;="&amp;DATEVALUE($B26&amp;"-01"),Observacion_Directa!$B$2:$B$1000,"&lt;="&amp;EOMONTH(DATEVALUE($B26&amp;"-01"),0)))-1)/4*100,"")</f>
        <v/>
      </c>
      <c r="Y26" t="e">
        <f t="shared" ca="1" si="1"/>
        <v>#DIV/0!</v>
      </c>
    </row>
    <row r="27" spans="12:25" x14ac:dyDescent="0.2">
      <c r="L27" t="str">
        <f t="shared" si="0"/>
        <v/>
      </c>
      <c r="M27" t="str">
        <f>IFERROR(AVERAGEIFS(Prod_5dias!$H$2:$H$1000,Prod_5dias!$A$2:$A$1000,$A27,Prod_5dias!$B$2:$B$1000,$B27),"")</f>
        <v/>
      </c>
      <c r="N27" t="str">
        <f>IF(M27="","",MIN(100,100*M27/Parametros!$B$7))</f>
        <v/>
      </c>
      <c r="O27" t="str">
        <f>IF(F27="","",IF(F27=0,100,MIN(100,100*Parametros!$B$3/F27)))</f>
        <v/>
      </c>
      <c r="P27" t="str">
        <f ca="1">IFERROR(((AVERAGEIFS(Observacion_Directa!$E$2:$E$1000,Observacion_Directa!$A$2:$A$1000,$A27,Observacion_Directa!$B$2:$B$1000,"&gt;="&amp;DATEVALUE($B27&amp;"-01"),Observacion_Directa!$B$2:$B$1000,"&lt;="&amp;EOMONTH(DATEVALUE($B27&amp;"-01"),0)))-1)/4*100,"")</f>
        <v/>
      </c>
      <c r="Q27" t="str">
        <f>IF(H27="","",MIN(100,100*H27/Parametros!$B$4))</f>
        <v/>
      </c>
      <c r="R27" t="str">
        <f>IF(I27="","",IF(I27=0,100,MIN(100,100*Parametros!$B$5/I27)))</f>
        <v/>
      </c>
      <c r="S27" t="str">
        <f>IF(J27="","",IF(J27=0,100,MIN(100,100*Parametros!$B$6/J27)))</f>
        <v/>
      </c>
      <c r="T27" t="str">
        <f>IF(L27="","",MIN(100,100*L27/Parametros!$B$7))</f>
        <v/>
      </c>
      <c r="U27" t="str">
        <f>IF(K27="","",MIN(100,100*K27/Parametros!$B$8))</f>
        <v/>
      </c>
      <c r="V27" t="str">
        <f ca="1">IFERROR(((AVERAGEIFS(Documentacion!$C$2:$C$1000,Documentacion!$A$2:$A$1000,$A27,Documentacion!$B$2:$B$1000,"&gt;="&amp;DATEVALUE($B27&amp;"-01"),Documentacion!$B$2:$B$1000,"&lt;="&amp;EOMONTH(DATEVALUE($B27&amp;"-01"),0)))-1)/4*100,"")</f>
        <v/>
      </c>
      <c r="W27" t="str">
        <f ca="1">IFERROR(((AVERAGEIFS(Feedback_360!$D$2:$D$1000,Feedback_360!$A$2:$A$1000,$A27,Feedback_360!$B$2:$B$1000,"&gt;="&amp;DATEVALUE($B27&amp;"-01"),Feedback_360!$B$2:$B$1000,"&lt;="&amp;EOMONTH(DATEVALUE($B27&amp;"-01"),0)))-1)/4*100,"")</f>
        <v/>
      </c>
      <c r="X27" t="str">
        <f ca="1">IFERROR(((AVERAGEIFS(Observacion_Directa!$D$2:$D$1000,Observacion_Directa!$A$2:$A$1000,$A27,Observacion_Directa!$B$2:$B$1000,"&gt;="&amp;DATEVALUE($B27&amp;"-01"),Observacion_Directa!$B$2:$B$1000,"&lt;="&amp;EOMONTH(DATEVALUE($B27&amp;"-01"),0)))-1)/4*100,"")</f>
        <v/>
      </c>
      <c r="Y27" t="e">
        <f t="shared" ca="1" si="1"/>
        <v>#DIV/0!</v>
      </c>
    </row>
    <row r="28" spans="12:25" x14ac:dyDescent="0.2">
      <c r="L28" t="str">
        <f t="shared" si="0"/>
        <v/>
      </c>
      <c r="M28" t="str">
        <f>IFERROR(AVERAGEIFS(Prod_5dias!$H$2:$H$1000,Prod_5dias!$A$2:$A$1000,$A28,Prod_5dias!$B$2:$B$1000,$B28),"")</f>
        <v/>
      </c>
      <c r="N28" t="str">
        <f>IF(M28="","",MIN(100,100*M28/Parametros!$B$7))</f>
        <v/>
      </c>
      <c r="O28" t="str">
        <f>IF(F28="","",IF(F28=0,100,MIN(100,100*Parametros!$B$3/F28)))</f>
        <v/>
      </c>
      <c r="P28" t="str">
        <f ca="1">IFERROR(((AVERAGEIFS(Observacion_Directa!$E$2:$E$1000,Observacion_Directa!$A$2:$A$1000,$A28,Observacion_Directa!$B$2:$B$1000,"&gt;="&amp;DATEVALUE($B28&amp;"-01"),Observacion_Directa!$B$2:$B$1000,"&lt;="&amp;EOMONTH(DATEVALUE($B28&amp;"-01"),0)))-1)/4*100,"")</f>
        <v/>
      </c>
      <c r="Q28" t="str">
        <f>IF(H28="","",MIN(100,100*H28/Parametros!$B$4))</f>
        <v/>
      </c>
      <c r="R28" t="str">
        <f>IF(I28="","",IF(I28=0,100,MIN(100,100*Parametros!$B$5/I28)))</f>
        <v/>
      </c>
      <c r="S28" t="str">
        <f>IF(J28="","",IF(J28=0,100,MIN(100,100*Parametros!$B$6/J28)))</f>
        <v/>
      </c>
      <c r="T28" t="str">
        <f>IF(L28="","",MIN(100,100*L28/Parametros!$B$7))</f>
        <v/>
      </c>
      <c r="U28" t="str">
        <f>IF(K28="","",MIN(100,100*K28/Parametros!$B$8))</f>
        <v/>
      </c>
      <c r="V28" t="str">
        <f ca="1">IFERROR(((AVERAGEIFS(Documentacion!$C$2:$C$1000,Documentacion!$A$2:$A$1000,$A28,Documentacion!$B$2:$B$1000,"&gt;="&amp;DATEVALUE($B28&amp;"-01"),Documentacion!$B$2:$B$1000,"&lt;="&amp;EOMONTH(DATEVALUE($B28&amp;"-01"),0)))-1)/4*100,"")</f>
        <v/>
      </c>
      <c r="W28" t="str">
        <f ca="1">IFERROR(((AVERAGEIFS(Feedback_360!$D$2:$D$1000,Feedback_360!$A$2:$A$1000,$A28,Feedback_360!$B$2:$B$1000,"&gt;="&amp;DATEVALUE($B28&amp;"-01"),Feedback_360!$B$2:$B$1000,"&lt;="&amp;EOMONTH(DATEVALUE($B28&amp;"-01"),0)))-1)/4*100,"")</f>
        <v/>
      </c>
      <c r="X28" t="str">
        <f ca="1">IFERROR(((AVERAGEIFS(Observacion_Directa!$D$2:$D$1000,Observacion_Directa!$A$2:$A$1000,$A28,Observacion_Directa!$B$2:$B$1000,"&gt;="&amp;DATEVALUE($B28&amp;"-01"),Observacion_Directa!$B$2:$B$1000,"&lt;="&amp;EOMONTH(DATEVALUE($B28&amp;"-01"),0)))-1)/4*100,"")</f>
        <v/>
      </c>
      <c r="Y28" t="e">
        <f t="shared" ca="1" si="1"/>
        <v>#DIV/0!</v>
      </c>
    </row>
    <row r="29" spans="12:25" x14ac:dyDescent="0.2">
      <c r="L29" t="str">
        <f t="shared" si="0"/>
        <v/>
      </c>
      <c r="M29" t="str">
        <f>IFERROR(AVERAGEIFS(Prod_5dias!$H$2:$H$1000,Prod_5dias!$A$2:$A$1000,$A29,Prod_5dias!$B$2:$B$1000,$B29),"")</f>
        <v/>
      </c>
      <c r="N29" t="str">
        <f>IF(M29="","",MIN(100,100*M29/Parametros!$B$7))</f>
        <v/>
      </c>
      <c r="O29" t="str">
        <f>IF(F29="","",IF(F29=0,100,MIN(100,100*Parametros!$B$3/F29)))</f>
        <v/>
      </c>
      <c r="P29" t="str">
        <f ca="1">IFERROR(((AVERAGEIFS(Observacion_Directa!$E$2:$E$1000,Observacion_Directa!$A$2:$A$1000,$A29,Observacion_Directa!$B$2:$B$1000,"&gt;="&amp;DATEVALUE($B29&amp;"-01"),Observacion_Directa!$B$2:$B$1000,"&lt;="&amp;EOMONTH(DATEVALUE($B29&amp;"-01"),0)))-1)/4*100,"")</f>
        <v/>
      </c>
      <c r="Q29" t="str">
        <f>IF(H29="","",MIN(100,100*H29/Parametros!$B$4))</f>
        <v/>
      </c>
      <c r="R29" t="str">
        <f>IF(I29="","",IF(I29=0,100,MIN(100,100*Parametros!$B$5/I29)))</f>
        <v/>
      </c>
      <c r="S29" t="str">
        <f>IF(J29="","",IF(J29=0,100,MIN(100,100*Parametros!$B$6/J29)))</f>
        <v/>
      </c>
      <c r="T29" t="str">
        <f>IF(L29="","",MIN(100,100*L29/Parametros!$B$7))</f>
        <v/>
      </c>
      <c r="U29" t="str">
        <f>IF(K29="","",MIN(100,100*K29/Parametros!$B$8))</f>
        <v/>
      </c>
      <c r="V29" t="str">
        <f ca="1">IFERROR(((AVERAGEIFS(Documentacion!$C$2:$C$1000,Documentacion!$A$2:$A$1000,$A29,Documentacion!$B$2:$B$1000,"&gt;="&amp;DATEVALUE($B29&amp;"-01"),Documentacion!$B$2:$B$1000,"&lt;="&amp;EOMONTH(DATEVALUE($B29&amp;"-01"),0)))-1)/4*100,"")</f>
        <v/>
      </c>
      <c r="W29" t="str">
        <f ca="1">IFERROR(((AVERAGEIFS(Feedback_360!$D$2:$D$1000,Feedback_360!$A$2:$A$1000,$A29,Feedback_360!$B$2:$B$1000,"&gt;="&amp;DATEVALUE($B29&amp;"-01"),Feedback_360!$B$2:$B$1000,"&lt;="&amp;EOMONTH(DATEVALUE($B29&amp;"-01"),0)))-1)/4*100,"")</f>
        <v/>
      </c>
      <c r="X29" t="str">
        <f ca="1">IFERROR(((AVERAGEIFS(Observacion_Directa!$D$2:$D$1000,Observacion_Directa!$A$2:$A$1000,$A29,Observacion_Directa!$B$2:$B$1000,"&gt;="&amp;DATEVALUE($B29&amp;"-01"),Observacion_Directa!$B$2:$B$1000,"&lt;="&amp;EOMONTH(DATEVALUE($B29&amp;"-01"),0)))-1)/4*100,"")</f>
        <v/>
      </c>
      <c r="Y29" t="e">
        <f t="shared" ca="1" si="1"/>
        <v>#DIV/0!</v>
      </c>
    </row>
    <row r="30" spans="12:25" x14ac:dyDescent="0.2">
      <c r="L30" t="str">
        <f t="shared" si="0"/>
        <v/>
      </c>
      <c r="M30" t="str">
        <f>IFERROR(AVERAGEIFS(Prod_5dias!$H$2:$H$1000,Prod_5dias!$A$2:$A$1000,$A30,Prod_5dias!$B$2:$B$1000,$B30),"")</f>
        <v/>
      </c>
      <c r="N30" t="str">
        <f>IF(M30="","",MIN(100,100*M30/Parametros!$B$7))</f>
        <v/>
      </c>
      <c r="O30" t="str">
        <f>IF(F30="","",IF(F30=0,100,MIN(100,100*Parametros!$B$3/F30)))</f>
        <v/>
      </c>
      <c r="P30" t="str">
        <f ca="1">IFERROR(((AVERAGEIFS(Observacion_Directa!$E$2:$E$1000,Observacion_Directa!$A$2:$A$1000,$A30,Observacion_Directa!$B$2:$B$1000,"&gt;="&amp;DATEVALUE($B30&amp;"-01"),Observacion_Directa!$B$2:$B$1000,"&lt;="&amp;EOMONTH(DATEVALUE($B30&amp;"-01"),0)))-1)/4*100,"")</f>
        <v/>
      </c>
      <c r="Q30" t="str">
        <f>IF(H30="","",MIN(100,100*H30/Parametros!$B$4))</f>
        <v/>
      </c>
      <c r="R30" t="str">
        <f>IF(I30="","",IF(I30=0,100,MIN(100,100*Parametros!$B$5/I30)))</f>
        <v/>
      </c>
      <c r="S30" t="str">
        <f>IF(J30="","",IF(J30=0,100,MIN(100,100*Parametros!$B$6/J30)))</f>
        <v/>
      </c>
      <c r="T30" t="str">
        <f>IF(L30="","",MIN(100,100*L30/Parametros!$B$7))</f>
        <v/>
      </c>
      <c r="U30" t="str">
        <f>IF(K30="","",MIN(100,100*K30/Parametros!$B$8))</f>
        <v/>
      </c>
      <c r="V30" t="str">
        <f ca="1">IFERROR(((AVERAGEIFS(Documentacion!$C$2:$C$1000,Documentacion!$A$2:$A$1000,$A30,Documentacion!$B$2:$B$1000,"&gt;="&amp;DATEVALUE($B30&amp;"-01"),Documentacion!$B$2:$B$1000,"&lt;="&amp;EOMONTH(DATEVALUE($B30&amp;"-01"),0)))-1)/4*100,"")</f>
        <v/>
      </c>
      <c r="W30" t="str">
        <f ca="1">IFERROR(((AVERAGEIFS(Feedback_360!$D$2:$D$1000,Feedback_360!$A$2:$A$1000,$A30,Feedback_360!$B$2:$B$1000,"&gt;="&amp;DATEVALUE($B30&amp;"-01"),Feedback_360!$B$2:$B$1000,"&lt;="&amp;EOMONTH(DATEVALUE($B30&amp;"-01"),0)))-1)/4*100,"")</f>
        <v/>
      </c>
      <c r="X30" t="str">
        <f ca="1">IFERROR(((AVERAGEIFS(Observacion_Directa!$D$2:$D$1000,Observacion_Directa!$A$2:$A$1000,$A30,Observacion_Directa!$B$2:$B$1000,"&gt;="&amp;DATEVALUE($B30&amp;"-01"),Observacion_Directa!$B$2:$B$1000,"&lt;="&amp;EOMONTH(DATEVALUE($B30&amp;"-01"),0)))-1)/4*100,"")</f>
        <v/>
      </c>
      <c r="Y30" t="e">
        <f t="shared" ca="1" si="1"/>
        <v>#DIV/0!</v>
      </c>
    </row>
    <row r="31" spans="12:25" x14ac:dyDescent="0.2">
      <c r="L31" t="str">
        <f t="shared" si="0"/>
        <v/>
      </c>
      <c r="M31" t="str">
        <f>IFERROR(AVERAGEIFS(Prod_5dias!$H$2:$H$1000,Prod_5dias!$A$2:$A$1000,$A31,Prod_5dias!$B$2:$B$1000,$B31),"")</f>
        <v/>
      </c>
      <c r="N31" t="str">
        <f>IF(M31="","",MIN(100,100*M31/Parametros!$B$7))</f>
        <v/>
      </c>
      <c r="O31" t="str">
        <f>IF(F31="","",IF(F31=0,100,MIN(100,100*Parametros!$B$3/F31)))</f>
        <v/>
      </c>
      <c r="P31" t="str">
        <f ca="1">IFERROR(((AVERAGEIFS(Observacion_Directa!$E$2:$E$1000,Observacion_Directa!$A$2:$A$1000,$A31,Observacion_Directa!$B$2:$B$1000,"&gt;="&amp;DATEVALUE($B31&amp;"-01"),Observacion_Directa!$B$2:$B$1000,"&lt;="&amp;EOMONTH(DATEVALUE($B31&amp;"-01"),0)))-1)/4*100,"")</f>
        <v/>
      </c>
      <c r="Q31" t="str">
        <f>IF(H31="","",MIN(100,100*H31/Parametros!$B$4))</f>
        <v/>
      </c>
      <c r="R31" t="str">
        <f>IF(I31="","",IF(I31=0,100,MIN(100,100*Parametros!$B$5/I31)))</f>
        <v/>
      </c>
      <c r="S31" t="str">
        <f>IF(J31="","",IF(J31=0,100,MIN(100,100*Parametros!$B$6/J31)))</f>
        <v/>
      </c>
      <c r="T31" t="str">
        <f>IF(L31="","",MIN(100,100*L31/Parametros!$B$7))</f>
        <v/>
      </c>
      <c r="U31" t="str">
        <f>IF(K31="","",MIN(100,100*K31/Parametros!$B$8))</f>
        <v/>
      </c>
      <c r="V31" t="str">
        <f ca="1">IFERROR(((AVERAGEIFS(Documentacion!$C$2:$C$1000,Documentacion!$A$2:$A$1000,$A31,Documentacion!$B$2:$B$1000,"&gt;="&amp;DATEVALUE($B31&amp;"-01"),Documentacion!$B$2:$B$1000,"&lt;="&amp;EOMONTH(DATEVALUE($B31&amp;"-01"),0)))-1)/4*100,"")</f>
        <v/>
      </c>
      <c r="W31" t="str">
        <f ca="1">IFERROR(((AVERAGEIFS(Feedback_360!$D$2:$D$1000,Feedback_360!$A$2:$A$1000,$A31,Feedback_360!$B$2:$B$1000,"&gt;="&amp;DATEVALUE($B31&amp;"-01"),Feedback_360!$B$2:$B$1000,"&lt;="&amp;EOMONTH(DATEVALUE($B31&amp;"-01"),0)))-1)/4*100,"")</f>
        <v/>
      </c>
      <c r="X31" t="str">
        <f ca="1">IFERROR(((AVERAGEIFS(Observacion_Directa!$D$2:$D$1000,Observacion_Directa!$A$2:$A$1000,$A31,Observacion_Directa!$B$2:$B$1000,"&gt;="&amp;DATEVALUE($B31&amp;"-01"),Observacion_Directa!$B$2:$B$1000,"&lt;="&amp;EOMONTH(DATEVALUE($B31&amp;"-01"),0)))-1)/4*100,"")</f>
        <v/>
      </c>
      <c r="Y31" t="e">
        <f t="shared" ca="1" si="1"/>
        <v>#DIV/0!</v>
      </c>
    </row>
    <row r="32" spans="12:25" x14ac:dyDescent="0.2">
      <c r="L32" t="str">
        <f t="shared" si="0"/>
        <v/>
      </c>
      <c r="M32" t="str">
        <f>IFERROR(AVERAGEIFS(Prod_5dias!$H$2:$H$1000,Prod_5dias!$A$2:$A$1000,$A32,Prod_5dias!$B$2:$B$1000,$B32),"")</f>
        <v/>
      </c>
      <c r="N32" t="str">
        <f>IF(M32="","",MIN(100,100*M32/Parametros!$B$7))</f>
        <v/>
      </c>
      <c r="O32" t="str">
        <f>IF(F32="","",IF(F32=0,100,MIN(100,100*Parametros!$B$3/F32)))</f>
        <v/>
      </c>
      <c r="P32" t="str">
        <f ca="1">IFERROR(((AVERAGEIFS(Observacion_Directa!$E$2:$E$1000,Observacion_Directa!$A$2:$A$1000,$A32,Observacion_Directa!$B$2:$B$1000,"&gt;="&amp;DATEVALUE($B32&amp;"-01"),Observacion_Directa!$B$2:$B$1000,"&lt;="&amp;EOMONTH(DATEVALUE($B32&amp;"-01"),0)))-1)/4*100,"")</f>
        <v/>
      </c>
      <c r="Q32" t="str">
        <f>IF(H32="","",MIN(100,100*H32/Parametros!$B$4))</f>
        <v/>
      </c>
      <c r="R32" t="str">
        <f>IF(I32="","",IF(I32=0,100,MIN(100,100*Parametros!$B$5/I32)))</f>
        <v/>
      </c>
      <c r="S32" t="str">
        <f>IF(J32="","",IF(J32=0,100,MIN(100,100*Parametros!$B$6/J32)))</f>
        <v/>
      </c>
      <c r="T32" t="str">
        <f>IF(L32="","",MIN(100,100*L32/Parametros!$B$7))</f>
        <v/>
      </c>
      <c r="U32" t="str">
        <f>IF(K32="","",MIN(100,100*K32/Parametros!$B$8))</f>
        <v/>
      </c>
      <c r="V32" t="str">
        <f ca="1">IFERROR(((AVERAGEIFS(Documentacion!$C$2:$C$1000,Documentacion!$A$2:$A$1000,$A32,Documentacion!$B$2:$B$1000,"&gt;="&amp;DATEVALUE($B32&amp;"-01"),Documentacion!$B$2:$B$1000,"&lt;="&amp;EOMONTH(DATEVALUE($B32&amp;"-01"),0)))-1)/4*100,"")</f>
        <v/>
      </c>
      <c r="W32" t="str">
        <f ca="1">IFERROR(((AVERAGEIFS(Feedback_360!$D$2:$D$1000,Feedback_360!$A$2:$A$1000,$A32,Feedback_360!$B$2:$B$1000,"&gt;="&amp;DATEVALUE($B32&amp;"-01"),Feedback_360!$B$2:$B$1000,"&lt;="&amp;EOMONTH(DATEVALUE($B32&amp;"-01"),0)))-1)/4*100,"")</f>
        <v/>
      </c>
      <c r="X32" t="str">
        <f ca="1">IFERROR(((AVERAGEIFS(Observacion_Directa!$D$2:$D$1000,Observacion_Directa!$A$2:$A$1000,$A32,Observacion_Directa!$B$2:$B$1000,"&gt;="&amp;DATEVALUE($B32&amp;"-01"),Observacion_Directa!$B$2:$B$1000,"&lt;="&amp;EOMONTH(DATEVALUE($B32&amp;"-01"),0)))-1)/4*100,"")</f>
        <v/>
      </c>
      <c r="Y32" t="e">
        <f t="shared" ca="1" si="1"/>
        <v>#DIV/0!</v>
      </c>
    </row>
    <row r="33" spans="12:25" x14ac:dyDescent="0.2">
      <c r="L33" t="str">
        <f t="shared" si="0"/>
        <v/>
      </c>
      <c r="M33" t="str">
        <f>IFERROR(AVERAGEIFS(Prod_5dias!$H$2:$H$1000,Prod_5dias!$A$2:$A$1000,$A33,Prod_5dias!$B$2:$B$1000,$B33),"")</f>
        <v/>
      </c>
      <c r="N33" t="str">
        <f>IF(M33="","",MIN(100,100*M33/Parametros!$B$7))</f>
        <v/>
      </c>
      <c r="O33" t="str">
        <f>IF(F33="","",IF(F33=0,100,MIN(100,100*Parametros!$B$3/F33)))</f>
        <v/>
      </c>
      <c r="P33" t="str">
        <f ca="1">IFERROR(((AVERAGEIFS(Observacion_Directa!$E$2:$E$1000,Observacion_Directa!$A$2:$A$1000,$A33,Observacion_Directa!$B$2:$B$1000,"&gt;="&amp;DATEVALUE($B33&amp;"-01"),Observacion_Directa!$B$2:$B$1000,"&lt;="&amp;EOMONTH(DATEVALUE($B33&amp;"-01"),0)))-1)/4*100,"")</f>
        <v/>
      </c>
      <c r="Q33" t="str">
        <f>IF(H33="","",MIN(100,100*H33/Parametros!$B$4))</f>
        <v/>
      </c>
      <c r="R33" t="str">
        <f>IF(I33="","",IF(I33=0,100,MIN(100,100*Parametros!$B$5/I33)))</f>
        <v/>
      </c>
      <c r="S33" t="str">
        <f>IF(J33="","",IF(J33=0,100,MIN(100,100*Parametros!$B$6/J33)))</f>
        <v/>
      </c>
      <c r="T33" t="str">
        <f>IF(L33="","",MIN(100,100*L33/Parametros!$B$7))</f>
        <v/>
      </c>
      <c r="U33" t="str">
        <f>IF(K33="","",MIN(100,100*K33/Parametros!$B$8))</f>
        <v/>
      </c>
      <c r="V33" t="str">
        <f ca="1">IFERROR(((AVERAGEIFS(Documentacion!$C$2:$C$1000,Documentacion!$A$2:$A$1000,$A33,Documentacion!$B$2:$B$1000,"&gt;="&amp;DATEVALUE($B33&amp;"-01"),Documentacion!$B$2:$B$1000,"&lt;="&amp;EOMONTH(DATEVALUE($B33&amp;"-01"),0)))-1)/4*100,"")</f>
        <v/>
      </c>
      <c r="W33" t="str">
        <f ca="1">IFERROR(((AVERAGEIFS(Feedback_360!$D$2:$D$1000,Feedback_360!$A$2:$A$1000,$A33,Feedback_360!$B$2:$B$1000,"&gt;="&amp;DATEVALUE($B33&amp;"-01"),Feedback_360!$B$2:$B$1000,"&lt;="&amp;EOMONTH(DATEVALUE($B33&amp;"-01"),0)))-1)/4*100,"")</f>
        <v/>
      </c>
      <c r="X33" t="str">
        <f ca="1">IFERROR(((AVERAGEIFS(Observacion_Directa!$D$2:$D$1000,Observacion_Directa!$A$2:$A$1000,$A33,Observacion_Directa!$B$2:$B$1000,"&gt;="&amp;DATEVALUE($B33&amp;"-01"),Observacion_Directa!$B$2:$B$1000,"&lt;="&amp;EOMONTH(DATEVALUE($B33&amp;"-01"),0)))-1)/4*100,"")</f>
        <v/>
      </c>
      <c r="Y33" t="e">
        <f t="shared" ca="1" si="1"/>
        <v>#DIV/0!</v>
      </c>
    </row>
    <row r="34" spans="12:25" x14ac:dyDescent="0.2">
      <c r="L34" t="str">
        <f t="shared" si="0"/>
        <v/>
      </c>
      <c r="M34" t="str">
        <f>IFERROR(AVERAGEIFS(Prod_5dias!$H$2:$H$1000,Prod_5dias!$A$2:$A$1000,$A34,Prod_5dias!$B$2:$B$1000,$B34),"")</f>
        <v/>
      </c>
      <c r="N34" t="str">
        <f>IF(M34="","",MIN(100,100*M34/Parametros!$B$7))</f>
        <v/>
      </c>
      <c r="O34" t="str">
        <f>IF(F34="","",IF(F34=0,100,MIN(100,100*Parametros!$B$3/F34)))</f>
        <v/>
      </c>
      <c r="P34" t="str">
        <f ca="1">IFERROR(((AVERAGEIFS(Observacion_Directa!$E$2:$E$1000,Observacion_Directa!$A$2:$A$1000,$A34,Observacion_Directa!$B$2:$B$1000,"&gt;="&amp;DATEVALUE($B34&amp;"-01"),Observacion_Directa!$B$2:$B$1000,"&lt;="&amp;EOMONTH(DATEVALUE($B34&amp;"-01"),0)))-1)/4*100,"")</f>
        <v/>
      </c>
      <c r="Q34" t="str">
        <f>IF(H34="","",MIN(100,100*H34/Parametros!$B$4))</f>
        <v/>
      </c>
      <c r="R34" t="str">
        <f>IF(I34="","",IF(I34=0,100,MIN(100,100*Parametros!$B$5/I34)))</f>
        <v/>
      </c>
      <c r="S34" t="str">
        <f>IF(J34="","",IF(J34=0,100,MIN(100,100*Parametros!$B$6/J34)))</f>
        <v/>
      </c>
      <c r="T34" t="str">
        <f>IF(L34="","",MIN(100,100*L34/Parametros!$B$7))</f>
        <v/>
      </c>
      <c r="U34" t="str">
        <f>IF(K34="","",MIN(100,100*K34/Parametros!$B$8))</f>
        <v/>
      </c>
      <c r="V34" t="str">
        <f ca="1">IFERROR(((AVERAGEIFS(Documentacion!$C$2:$C$1000,Documentacion!$A$2:$A$1000,$A34,Documentacion!$B$2:$B$1000,"&gt;="&amp;DATEVALUE($B34&amp;"-01"),Documentacion!$B$2:$B$1000,"&lt;="&amp;EOMONTH(DATEVALUE($B34&amp;"-01"),0)))-1)/4*100,"")</f>
        <v/>
      </c>
      <c r="W34" t="str">
        <f ca="1">IFERROR(((AVERAGEIFS(Feedback_360!$D$2:$D$1000,Feedback_360!$A$2:$A$1000,$A34,Feedback_360!$B$2:$B$1000,"&gt;="&amp;DATEVALUE($B34&amp;"-01"),Feedback_360!$B$2:$B$1000,"&lt;="&amp;EOMONTH(DATEVALUE($B34&amp;"-01"),0)))-1)/4*100,"")</f>
        <v/>
      </c>
      <c r="X34" t="str">
        <f ca="1">IFERROR(((AVERAGEIFS(Observacion_Directa!$D$2:$D$1000,Observacion_Directa!$A$2:$A$1000,$A34,Observacion_Directa!$B$2:$B$1000,"&gt;="&amp;DATEVALUE($B34&amp;"-01"),Observacion_Directa!$B$2:$B$1000,"&lt;="&amp;EOMONTH(DATEVALUE($B34&amp;"-01"),0)))-1)/4*100,"")</f>
        <v/>
      </c>
      <c r="Y34" t="e">
        <f t="shared" ca="1" si="1"/>
        <v>#DIV/0!</v>
      </c>
    </row>
    <row r="35" spans="12:25" x14ac:dyDescent="0.2">
      <c r="L35" t="str">
        <f t="shared" si="0"/>
        <v/>
      </c>
      <c r="M35" t="str">
        <f>IFERROR(AVERAGEIFS(Prod_5dias!$H$2:$H$1000,Prod_5dias!$A$2:$A$1000,$A35,Prod_5dias!$B$2:$B$1000,$B35),"")</f>
        <v/>
      </c>
      <c r="N35" t="str">
        <f>IF(M35="","",MIN(100,100*M35/Parametros!$B$7))</f>
        <v/>
      </c>
      <c r="O35" t="str">
        <f>IF(F35="","",IF(F35=0,100,MIN(100,100*Parametros!$B$3/F35)))</f>
        <v/>
      </c>
      <c r="P35" t="str">
        <f ca="1">IFERROR(((AVERAGEIFS(Observacion_Directa!$E$2:$E$1000,Observacion_Directa!$A$2:$A$1000,$A35,Observacion_Directa!$B$2:$B$1000,"&gt;="&amp;DATEVALUE($B35&amp;"-01"),Observacion_Directa!$B$2:$B$1000,"&lt;="&amp;EOMONTH(DATEVALUE($B35&amp;"-01"),0)))-1)/4*100,"")</f>
        <v/>
      </c>
      <c r="Q35" t="str">
        <f>IF(H35="","",MIN(100,100*H35/Parametros!$B$4))</f>
        <v/>
      </c>
      <c r="R35" t="str">
        <f>IF(I35="","",IF(I35=0,100,MIN(100,100*Parametros!$B$5/I35)))</f>
        <v/>
      </c>
      <c r="S35" t="str">
        <f>IF(J35="","",IF(J35=0,100,MIN(100,100*Parametros!$B$6/J35)))</f>
        <v/>
      </c>
      <c r="T35" t="str">
        <f>IF(L35="","",MIN(100,100*L35/Parametros!$B$7))</f>
        <v/>
      </c>
      <c r="U35" t="str">
        <f>IF(K35="","",MIN(100,100*K35/Parametros!$B$8))</f>
        <v/>
      </c>
      <c r="V35" t="str">
        <f ca="1">IFERROR(((AVERAGEIFS(Documentacion!$C$2:$C$1000,Documentacion!$A$2:$A$1000,$A35,Documentacion!$B$2:$B$1000,"&gt;="&amp;DATEVALUE($B35&amp;"-01"),Documentacion!$B$2:$B$1000,"&lt;="&amp;EOMONTH(DATEVALUE($B35&amp;"-01"),0)))-1)/4*100,"")</f>
        <v/>
      </c>
      <c r="W35" t="str">
        <f ca="1">IFERROR(((AVERAGEIFS(Feedback_360!$D$2:$D$1000,Feedback_360!$A$2:$A$1000,$A35,Feedback_360!$B$2:$B$1000,"&gt;="&amp;DATEVALUE($B35&amp;"-01"),Feedback_360!$B$2:$B$1000,"&lt;="&amp;EOMONTH(DATEVALUE($B35&amp;"-01"),0)))-1)/4*100,"")</f>
        <v/>
      </c>
      <c r="X35" t="str">
        <f ca="1">IFERROR(((AVERAGEIFS(Observacion_Directa!$D$2:$D$1000,Observacion_Directa!$A$2:$A$1000,$A35,Observacion_Directa!$B$2:$B$1000,"&gt;="&amp;DATEVALUE($B35&amp;"-01"),Observacion_Directa!$B$2:$B$1000,"&lt;="&amp;EOMONTH(DATEVALUE($B35&amp;"-01"),0)))-1)/4*100,"")</f>
        <v/>
      </c>
      <c r="Y35" t="e">
        <f t="shared" ca="1" si="1"/>
        <v>#DIV/0!</v>
      </c>
    </row>
    <row r="36" spans="12:25" x14ac:dyDescent="0.2">
      <c r="L36" t="str">
        <f t="shared" si="0"/>
        <v/>
      </c>
      <c r="M36" t="str">
        <f>IFERROR(AVERAGEIFS(Prod_5dias!$H$2:$H$1000,Prod_5dias!$A$2:$A$1000,$A36,Prod_5dias!$B$2:$B$1000,$B36),"")</f>
        <v/>
      </c>
      <c r="N36" t="str">
        <f>IF(M36="","",MIN(100,100*M36/Parametros!$B$7))</f>
        <v/>
      </c>
      <c r="O36" t="str">
        <f>IF(F36="","",IF(F36=0,100,MIN(100,100*Parametros!$B$3/F36)))</f>
        <v/>
      </c>
      <c r="P36" t="str">
        <f ca="1">IFERROR(((AVERAGEIFS(Observacion_Directa!$E$2:$E$1000,Observacion_Directa!$A$2:$A$1000,$A36,Observacion_Directa!$B$2:$B$1000,"&gt;="&amp;DATEVALUE($B36&amp;"-01"),Observacion_Directa!$B$2:$B$1000,"&lt;="&amp;EOMONTH(DATEVALUE($B36&amp;"-01"),0)))-1)/4*100,"")</f>
        <v/>
      </c>
      <c r="Q36" t="str">
        <f>IF(H36="","",MIN(100,100*H36/Parametros!$B$4))</f>
        <v/>
      </c>
      <c r="R36" t="str">
        <f>IF(I36="","",IF(I36=0,100,MIN(100,100*Parametros!$B$5/I36)))</f>
        <v/>
      </c>
      <c r="S36" t="str">
        <f>IF(J36="","",IF(J36=0,100,MIN(100,100*Parametros!$B$6/J36)))</f>
        <v/>
      </c>
      <c r="T36" t="str">
        <f>IF(L36="","",MIN(100,100*L36/Parametros!$B$7))</f>
        <v/>
      </c>
      <c r="U36" t="str">
        <f>IF(K36="","",MIN(100,100*K36/Parametros!$B$8))</f>
        <v/>
      </c>
      <c r="V36" t="str">
        <f ca="1">IFERROR(((AVERAGEIFS(Documentacion!$C$2:$C$1000,Documentacion!$A$2:$A$1000,$A36,Documentacion!$B$2:$B$1000,"&gt;="&amp;DATEVALUE($B36&amp;"-01"),Documentacion!$B$2:$B$1000,"&lt;="&amp;EOMONTH(DATEVALUE($B36&amp;"-01"),0)))-1)/4*100,"")</f>
        <v/>
      </c>
      <c r="W36" t="str">
        <f ca="1">IFERROR(((AVERAGEIFS(Feedback_360!$D$2:$D$1000,Feedback_360!$A$2:$A$1000,$A36,Feedback_360!$B$2:$B$1000,"&gt;="&amp;DATEVALUE($B36&amp;"-01"),Feedback_360!$B$2:$B$1000,"&lt;="&amp;EOMONTH(DATEVALUE($B36&amp;"-01"),0)))-1)/4*100,"")</f>
        <v/>
      </c>
      <c r="X36" t="str">
        <f ca="1">IFERROR(((AVERAGEIFS(Observacion_Directa!$D$2:$D$1000,Observacion_Directa!$A$2:$A$1000,$A36,Observacion_Directa!$B$2:$B$1000,"&gt;="&amp;DATEVALUE($B36&amp;"-01"),Observacion_Directa!$B$2:$B$1000,"&lt;="&amp;EOMONTH(DATEVALUE($B36&amp;"-01"),0)))-1)/4*100,"")</f>
        <v/>
      </c>
      <c r="Y36" t="e">
        <f t="shared" ca="1" si="1"/>
        <v>#DIV/0!</v>
      </c>
    </row>
    <row r="37" spans="12:25" x14ac:dyDescent="0.2">
      <c r="L37" t="str">
        <f t="shared" si="0"/>
        <v/>
      </c>
      <c r="M37" t="str">
        <f>IFERROR(AVERAGEIFS(Prod_5dias!$H$2:$H$1000,Prod_5dias!$A$2:$A$1000,$A37,Prod_5dias!$B$2:$B$1000,$B37),"")</f>
        <v/>
      </c>
      <c r="N37" t="str">
        <f>IF(M37="","",MIN(100,100*M37/Parametros!$B$7))</f>
        <v/>
      </c>
      <c r="O37" t="str">
        <f>IF(F37="","",IF(F37=0,100,MIN(100,100*Parametros!$B$3/F37)))</f>
        <v/>
      </c>
      <c r="P37" t="str">
        <f ca="1">IFERROR(((AVERAGEIFS(Observacion_Directa!$E$2:$E$1000,Observacion_Directa!$A$2:$A$1000,$A37,Observacion_Directa!$B$2:$B$1000,"&gt;="&amp;DATEVALUE($B37&amp;"-01"),Observacion_Directa!$B$2:$B$1000,"&lt;="&amp;EOMONTH(DATEVALUE($B37&amp;"-01"),0)))-1)/4*100,"")</f>
        <v/>
      </c>
      <c r="Q37" t="str">
        <f>IF(H37="","",MIN(100,100*H37/Parametros!$B$4))</f>
        <v/>
      </c>
      <c r="R37" t="str">
        <f>IF(I37="","",IF(I37=0,100,MIN(100,100*Parametros!$B$5/I37)))</f>
        <v/>
      </c>
      <c r="S37" t="str">
        <f>IF(J37="","",IF(J37=0,100,MIN(100,100*Parametros!$B$6/J37)))</f>
        <v/>
      </c>
      <c r="T37" t="str">
        <f>IF(L37="","",MIN(100,100*L37/Parametros!$B$7))</f>
        <v/>
      </c>
      <c r="U37" t="str">
        <f>IF(K37="","",MIN(100,100*K37/Parametros!$B$8))</f>
        <v/>
      </c>
      <c r="V37" t="str">
        <f ca="1">IFERROR(((AVERAGEIFS(Documentacion!$C$2:$C$1000,Documentacion!$A$2:$A$1000,$A37,Documentacion!$B$2:$B$1000,"&gt;="&amp;DATEVALUE($B37&amp;"-01"),Documentacion!$B$2:$B$1000,"&lt;="&amp;EOMONTH(DATEVALUE($B37&amp;"-01"),0)))-1)/4*100,"")</f>
        <v/>
      </c>
      <c r="W37" t="str">
        <f ca="1">IFERROR(((AVERAGEIFS(Feedback_360!$D$2:$D$1000,Feedback_360!$A$2:$A$1000,$A37,Feedback_360!$B$2:$B$1000,"&gt;="&amp;DATEVALUE($B37&amp;"-01"),Feedback_360!$B$2:$B$1000,"&lt;="&amp;EOMONTH(DATEVALUE($B37&amp;"-01"),0)))-1)/4*100,"")</f>
        <v/>
      </c>
      <c r="X37" t="str">
        <f ca="1">IFERROR(((AVERAGEIFS(Observacion_Directa!$D$2:$D$1000,Observacion_Directa!$A$2:$A$1000,$A37,Observacion_Directa!$B$2:$B$1000,"&gt;="&amp;DATEVALUE($B37&amp;"-01"),Observacion_Directa!$B$2:$B$1000,"&lt;="&amp;EOMONTH(DATEVALUE($B37&amp;"-01"),0)))-1)/4*100,"")</f>
        <v/>
      </c>
      <c r="Y37" t="e">
        <f t="shared" ca="1" si="1"/>
        <v>#DIV/0!</v>
      </c>
    </row>
    <row r="38" spans="12:25" x14ac:dyDescent="0.2">
      <c r="L38" t="str">
        <f t="shared" si="0"/>
        <v/>
      </c>
      <c r="M38" t="str">
        <f>IFERROR(AVERAGEIFS(Prod_5dias!$H$2:$H$1000,Prod_5dias!$A$2:$A$1000,$A38,Prod_5dias!$B$2:$B$1000,$B38),"")</f>
        <v/>
      </c>
      <c r="N38" t="str">
        <f>IF(M38="","",MIN(100,100*M38/Parametros!$B$7))</f>
        <v/>
      </c>
      <c r="O38" t="str">
        <f>IF(F38="","",IF(F38=0,100,MIN(100,100*Parametros!$B$3/F38)))</f>
        <v/>
      </c>
      <c r="P38" t="str">
        <f ca="1">IFERROR(((AVERAGEIFS(Observacion_Directa!$E$2:$E$1000,Observacion_Directa!$A$2:$A$1000,$A38,Observacion_Directa!$B$2:$B$1000,"&gt;="&amp;DATEVALUE($B38&amp;"-01"),Observacion_Directa!$B$2:$B$1000,"&lt;="&amp;EOMONTH(DATEVALUE($B38&amp;"-01"),0)))-1)/4*100,"")</f>
        <v/>
      </c>
      <c r="Q38" t="str">
        <f>IF(H38="","",MIN(100,100*H38/Parametros!$B$4))</f>
        <v/>
      </c>
      <c r="R38" t="str">
        <f>IF(I38="","",IF(I38=0,100,MIN(100,100*Parametros!$B$5/I38)))</f>
        <v/>
      </c>
      <c r="S38" t="str">
        <f>IF(J38="","",IF(J38=0,100,MIN(100,100*Parametros!$B$6/J38)))</f>
        <v/>
      </c>
      <c r="T38" t="str">
        <f>IF(L38="","",MIN(100,100*L38/Parametros!$B$7))</f>
        <v/>
      </c>
      <c r="U38" t="str">
        <f>IF(K38="","",MIN(100,100*K38/Parametros!$B$8))</f>
        <v/>
      </c>
      <c r="V38" t="str">
        <f ca="1">IFERROR(((AVERAGEIFS(Documentacion!$C$2:$C$1000,Documentacion!$A$2:$A$1000,$A38,Documentacion!$B$2:$B$1000,"&gt;="&amp;DATEVALUE($B38&amp;"-01"),Documentacion!$B$2:$B$1000,"&lt;="&amp;EOMONTH(DATEVALUE($B38&amp;"-01"),0)))-1)/4*100,"")</f>
        <v/>
      </c>
      <c r="W38" t="str">
        <f ca="1">IFERROR(((AVERAGEIFS(Feedback_360!$D$2:$D$1000,Feedback_360!$A$2:$A$1000,$A38,Feedback_360!$B$2:$B$1000,"&gt;="&amp;DATEVALUE($B38&amp;"-01"),Feedback_360!$B$2:$B$1000,"&lt;="&amp;EOMONTH(DATEVALUE($B38&amp;"-01"),0)))-1)/4*100,"")</f>
        <v/>
      </c>
      <c r="X38" t="str">
        <f ca="1">IFERROR(((AVERAGEIFS(Observacion_Directa!$D$2:$D$1000,Observacion_Directa!$A$2:$A$1000,$A38,Observacion_Directa!$B$2:$B$1000,"&gt;="&amp;DATEVALUE($B38&amp;"-01"),Observacion_Directa!$B$2:$B$1000,"&lt;="&amp;EOMONTH(DATEVALUE($B38&amp;"-01"),0)))-1)/4*100,"")</f>
        <v/>
      </c>
      <c r="Y38" t="e">
        <f t="shared" ca="1" si="1"/>
        <v>#DIV/0!</v>
      </c>
    </row>
    <row r="39" spans="12:25" x14ac:dyDescent="0.2">
      <c r="L39" t="str">
        <f t="shared" si="0"/>
        <v/>
      </c>
      <c r="M39" t="str">
        <f>IFERROR(AVERAGEIFS(Prod_5dias!$H$2:$H$1000,Prod_5dias!$A$2:$A$1000,$A39,Prod_5dias!$B$2:$B$1000,$B39),"")</f>
        <v/>
      </c>
      <c r="N39" t="str">
        <f>IF(M39="","",MIN(100,100*M39/Parametros!$B$7))</f>
        <v/>
      </c>
      <c r="O39" t="str">
        <f>IF(F39="","",IF(F39=0,100,MIN(100,100*Parametros!$B$3/F39)))</f>
        <v/>
      </c>
      <c r="P39" t="str">
        <f ca="1">IFERROR(((AVERAGEIFS(Observacion_Directa!$E$2:$E$1000,Observacion_Directa!$A$2:$A$1000,$A39,Observacion_Directa!$B$2:$B$1000,"&gt;="&amp;DATEVALUE($B39&amp;"-01"),Observacion_Directa!$B$2:$B$1000,"&lt;="&amp;EOMONTH(DATEVALUE($B39&amp;"-01"),0)))-1)/4*100,"")</f>
        <v/>
      </c>
      <c r="Q39" t="str">
        <f>IF(H39="","",MIN(100,100*H39/Parametros!$B$4))</f>
        <v/>
      </c>
      <c r="R39" t="str">
        <f>IF(I39="","",IF(I39=0,100,MIN(100,100*Parametros!$B$5/I39)))</f>
        <v/>
      </c>
      <c r="S39" t="str">
        <f>IF(J39="","",IF(J39=0,100,MIN(100,100*Parametros!$B$6/J39)))</f>
        <v/>
      </c>
      <c r="T39" t="str">
        <f>IF(L39="","",MIN(100,100*L39/Parametros!$B$7))</f>
        <v/>
      </c>
      <c r="U39" t="str">
        <f>IF(K39="","",MIN(100,100*K39/Parametros!$B$8))</f>
        <v/>
      </c>
      <c r="V39" t="str">
        <f ca="1">IFERROR(((AVERAGEIFS(Documentacion!$C$2:$C$1000,Documentacion!$A$2:$A$1000,$A39,Documentacion!$B$2:$B$1000,"&gt;="&amp;DATEVALUE($B39&amp;"-01"),Documentacion!$B$2:$B$1000,"&lt;="&amp;EOMONTH(DATEVALUE($B39&amp;"-01"),0)))-1)/4*100,"")</f>
        <v/>
      </c>
      <c r="W39" t="str">
        <f ca="1">IFERROR(((AVERAGEIFS(Feedback_360!$D$2:$D$1000,Feedback_360!$A$2:$A$1000,$A39,Feedback_360!$B$2:$B$1000,"&gt;="&amp;DATEVALUE($B39&amp;"-01"),Feedback_360!$B$2:$B$1000,"&lt;="&amp;EOMONTH(DATEVALUE($B39&amp;"-01"),0)))-1)/4*100,"")</f>
        <v/>
      </c>
      <c r="X39" t="str">
        <f ca="1">IFERROR(((AVERAGEIFS(Observacion_Directa!$D$2:$D$1000,Observacion_Directa!$A$2:$A$1000,$A39,Observacion_Directa!$B$2:$B$1000,"&gt;="&amp;DATEVALUE($B39&amp;"-01"),Observacion_Directa!$B$2:$B$1000,"&lt;="&amp;EOMONTH(DATEVALUE($B39&amp;"-01"),0)))-1)/4*100,"")</f>
        <v/>
      </c>
      <c r="Y39" t="e">
        <f t="shared" ca="1" si="1"/>
        <v>#DIV/0!</v>
      </c>
    </row>
    <row r="40" spans="12:25" x14ac:dyDescent="0.2">
      <c r="L40" t="str">
        <f t="shared" si="0"/>
        <v/>
      </c>
      <c r="M40" t="str">
        <f>IFERROR(AVERAGEIFS(Prod_5dias!$H$2:$H$1000,Prod_5dias!$A$2:$A$1000,$A40,Prod_5dias!$B$2:$B$1000,$B40),"")</f>
        <v/>
      </c>
      <c r="N40" t="str">
        <f>IF(M40="","",MIN(100,100*M40/Parametros!$B$7))</f>
        <v/>
      </c>
      <c r="O40" t="str">
        <f>IF(F40="","",IF(F40=0,100,MIN(100,100*Parametros!$B$3/F40)))</f>
        <v/>
      </c>
      <c r="P40" t="str">
        <f ca="1">IFERROR(((AVERAGEIFS(Observacion_Directa!$E$2:$E$1000,Observacion_Directa!$A$2:$A$1000,$A40,Observacion_Directa!$B$2:$B$1000,"&gt;="&amp;DATEVALUE($B40&amp;"-01"),Observacion_Directa!$B$2:$B$1000,"&lt;="&amp;EOMONTH(DATEVALUE($B40&amp;"-01"),0)))-1)/4*100,"")</f>
        <v/>
      </c>
      <c r="Q40" t="str">
        <f>IF(H40="","",MIN(100,100*H40/Parametros!$B$4))</f>
        <v/>
      </c>
      <c r="R40" t="str">
        <f>IF(I40="","",IF(I40=0,100,MIN(100,100*Parametros!$B$5/I40)))</f>
        <v/>
      </c>
      <c r="S40" t="str">
        <f>IF(J40="","",IF(J40=0,100,MIN(100,100*Parametros!$B$6/J40)))</f>
        <v/>
      </c>
      <c r="T40" t="str">
        <f>IF(L40="","",MIN(100,100*L40/Parametros!$B$7))</f>
        <v/>
      </c>
      <c r="U40" t="str">
        <f>IF(K40="","",MIN(100,100*K40/Parametros!$B$8))</f>
        <v/>
      </c>
      <c r="V40" t="str">
        <f ca="1">IFERROR(((AVERAGEIFS(Documentacion!$C$2:$C$1000,Documentacion!$A$2:$A$1000,$A40,Documentacion!$B$2:$B$1000,"&gt;="&amp;DATEVALUE($B40&amp;"-01"),Documentacion!$B$2:$B$1000,"&lt;="&amp;EOMONTH(DATEVALUE($B40&amp;"-01"),0)))-1)/4*100,"")</f>
        <v/>
      </c>
      <c r="W40" t="str">
        <f ca="1">IFERROR(((AVERAGEIFS(Feedback_360!$D$2:$D$1000,Feedback_360!$A$2:$A$1000,$A40,Feedback_360!$B$2:$B$1000,"&gt;="&amp;DATEVALUE($B40&amp;"-01"),Feedback_360!$B$2:$B$1000,"&lt;="&amp;EOMONTH(DATEVALUE($B40&amp;"-01"),0)))-1)/4*100,"")</f>
        <v/>
      </c>
      <c r="X40" t="str">
        <f ca="1">IFERROR(((AVERAGEIFS(Observacion_Directa!$D$2:$D$1000,Observacion_Directa!$A$2:$A$1000,$A40,Observacion_Directa!$B$2:$B$1000,"&gt;="&amp;DATEVALUE($B40&amp;"-01"),Observacion_Directa!$B$2:$B$1000,"&lt;="&amp;EOMONTH(DATEVALUE($B40&amp;"-01"),0)))-1)/4*100,"")</f>
        <v/>
      </c>
      <c r="Y40" t="e">
        <f t="shared" ca="1" si="1"/>
        <v>#DIV/0!</v>
      </c>
    </row>
    <row r="41" spans="12:25" x14ac:dyDescent="0.2">
      <c r="L41" t="str">
        <f t="shared" si="0"/>
        <v/>
      </c>
      <c r="M41" t="str">
        <f>IFERROR(AVERAGEIFS(Prod_5dias!$H$2:$H$1000,Prod_5dias!$A$2:$A$1000,$A41,Prod_5dias!$B$2:$B$1000,$B41),"")</f>
        <v/>
      </c>
      <c r="N41" t="str">
        <f>IF(M41="","",MIN(100,100*M41/Parametros!$B$7))</f>
        <v/>
      </c>
      <c r="O41" t="str">
        <f>IF(F41="","",IF(F41=0,100,MIN(100,100*Parametros!$B$3/F41)))</f>
        <v/>
      </c>
      <c r="P41" t="str">
        <f ca="1">IFERROR(((AVERAGEIFS(Observacion_Directa!$E$2:$E$1000,Observacion_Directa!$A$2:$A$1000,$A41,Observacion_Directa!$B$2:$B$1000,"&gt;="&amp;DATEVALUE($B41&amp;"-01"),Observacion_Directa!$B$2:$B$1000,"&lt;="&amp;EOMONTH(DATEVALUE($B41&amp;"-01"),0)))-1)/4*100,"")</f>
        <v/>
      </c>
      <c r="Q41" t="str">
        <f>IF(H41="","",MIN(100,100*H41/Parametros!$B$4))</f>
        <v/>
      </c>
      <c r="R41" t="str">
        <f>IF(I41="","",IF(I41=0,100,MIN(100,100*Parametros!$B$5/I41)))</f>
        <v/>
      </c>
      <c r="S41" t="str">
        <f>IF(J41="","",IF(J41=0,100,MIN(100,100*Parametros!$B$6/J41)))</f>
        <v/>
      </c>
      <c r="T41" t="str">
        <f>IF(L41="","",MIN(100,100*L41/Parametros!$B$7))</f>
        <v/>
      </c>
      <c r="U41" t="str">
        <f>IF(K41="","",MIN(100,100*K41/Parametros!$B$8))</f>
        <v/>
      </c>
      <c r="V41" t="str">
        <f ca="1">IFERROR(((AVERAGEIFS(Documentacion!$C$2:$C$1000,Documentacion!$A$2:$A$1000,$A41,Documentacion!$B$2:$B$1000,"&gt;="&amp;DATEVALUE($B41&amp;"-01"),Documentacion!$B$2:$B$1000,"&lt;="&amp;EOMONTH(DATEVALUE($B41&amp;"-01"),0)))-1)/4*100,"")</f>
        <v/>
      </c>
      <c r="W41" t="str">
        <f ca="1">IFERROR(((AVERAGEIFS(Feedback_360!$D$2:$D$1000,Feedback_360!$A$2:$A$1000,$A41,Feedback_360!$B$2:$B$1000,"&gt;="&amp;DATEVALUE($B41&amp;"-01"),Feedback_360!$B$2:$B$1000,"&lt;="&amp;EOMONTH(DATEVALUE($B41&amp;"-01"),0)))-1)/4*100,"")</f>
        <v/>
      </c>
      <c r="X41" t="str">
        <f ca="1">IFERROR(((AVERAGEIFS(Observacion_Directa!$D$2:$D$1000,Observacion_Directa!$A$2:$A$1000,$A41,Observacion_Directa!$B$2:$B$1000,"&gt;="&amp;DATEVALUE($B41&amp;"-01"),Observacion_Directa!$B$2:$B$1000,"&lt;="&amp;EOMONTH(DATEVALUE($B41&amp;"-01"),0)))-1)/4*100,"")</f>
        <v/>
      </c>
      <c r="Y41" t="e">
        <f t="shared" ca="1" si="1"/>
        <v>#DIV/0!</v>
      </c>
    </row>
    <row r="42" spans="12:25" x14ac:dyDescent="0.2">
      <c r="L42" t="str">
        <f t="shared" si="0"/>
        <v/>
      </c>
      <c r="M42" t="str">
        <f>IFERROR(AVERAGEIFS(Prod_5dias!$H$2:$H$1000,Prod_5dias!$A$2:$A$1000,$A42,Prod_5dias!$B$2:$B$1000,$B42),"")</f>
        <v/>
      </c>
      <c r="N42" t="str">
        <f>IF(M42="","",MIN(100,100*M42/Parametros!$B$7))</f>
        <v/>
      </c>
      <c r="O42" t="str">
        <f>IF(F42="","",IF(F42=0,100,MIN(100,100*Parametros!$B$3/F42)))</f>
        <v/>
      </c>
      <c r="P42" t="str">
        <f ca="1">IFERROR(((AVERAGEIFS(Observacion_Directa!$E$2:$E$1000,Observacion_Directa!$A$2:$A$1000,$A42,Observacion_Directa!$B$2:$B$1000,"&gt;="&amp;DATEVALUE($B42&amp;"-01"),Observacion_Directa!$B$2:$B$1000,"&lt;="&amp;EOMONTH(DATEVALUE($B42&amp;"-01"),0)))-1)/4*100,"")</f>
        <v/>
      </c>
      <c r="Q42" t="str">
        <f>IF(H42="","",MIN(100,100*H42/Parametros!$B$4))</f>
        <v/>
      </c>
      <c r="R42" t="str">
        <f>IF(I42="","",IF(I42=0,100,MIN(100,100*Parametros!$B$5/I42)))</f>
        <v/>
      </c>
      <c r="S42" t="str">
        <f>IF(J42="","",IF(J42=0,100,MIN(100,100*Parametros!$B$6/J42)))</f>
        <v/>
      </c>
      <c r="T42" t="str">
        <f>IF(L42="","",MIN(100,100*L42/Parametros!$B$7))</f>
        <v/>
      </c>
      <c r="U42" t="str">
        <f>IF(K42="","",MIN(100,100*K42/Parametros!$B$8))</f>
        <v/>
      </c>
      <c r="V42" t="str">
        <f ca="1">IFERROR(((AVERAGEIFS(Documentacion!$C$2:$C$1000,Documentacion!$A$2:$A$1000,$A42,Documentacion!$B$2:$B$1000,"&gt;="&amp;DATEVALUE($B42&amp;"-01"),Documentacion!$B$2:$B$1000,"&lt;="&amp;EOMONTH(DATEVALUE($B42&amp;"-01"),0)))-1)/4*100,"")</f>
        <v/>
      </c>
      <c r="W42" t="str">
        <f ca="1">IFERROR(((AVERAGEIFS(Feedback_360!$D$2:$D$1000,Feedback_360!$A$2:$A$1000,$A42,Feedback_360!$B$2:$B$1000,"&gt;="&amp;DATEVALUE($B42&amp;"-01"),Feedback_360!$B$2:$B$1000,"&lt;="&amp;EOMONTH(DATEVALUE($B42&amp;"-01"),0)))-1)/4*100,"")</f>
        <v/>
      </c>
      <c r="X42" t="str">
        <f ca="1">IFERROR(((AVERAGEIFS(Observacion_Directa!$D$2:$D$1000,Observacion_Directa!$A$2:$A$1000,$A42,Observacion_Directa!$B$2:$B$1000,"&gt;="&amp;DATEVALUE($B42&amp;"-01"),Observacion_Directa!$B$2:$B$1000,"&lt;="&amp;EOMONTH(DATEVALUE($B42&amp;"-01"),0)))-1)/4*100,"")</f>
        <v/>
      </c>
      <c r="Y42" t="e">
        <f t="shared" ca="1" si="1"/>
        <v>#DIV/0!</v>
      </c>
    </row>
    <row r="43" spans="12:25" x14ac:dyDescent="0.2">
      <c r="L43" t="str">
        <f t="shared" si="0"/>
        <v/>
      </c>
      <c r="M43" t="str">
        <f>IFERROR(AVERAGEIFS(Prod_5dias!$H$2:$H$1000,Prod_5dias!$A$2:$A$1000,$A43,Prod_5dias!$B$2:$B$1000,$B43),"")</f>
        <v/>
      </c>
      <c r="N43" t="str">
        <f>IF(M43="","",MIN(100,100*M43/Parametros!$B$7))</f>
        <v/>
      </c>
      <c r="O43" t="str">
        <f>IF(F43="","",IF(F43=0,100,MIN(100,100*Parametros!$B$3/F43)))</f>
        <v/>
      </c>
      <c r="P43" t="str">
        <f ca="1">IFERROR(((AVERAGEIFS(Observacion_Directa!$E$2:$E$1000,Observacion_Directa!$A$2:$A$1000,$A43,Observacion_Directa!$B$2:$B$1000,"&gt;="&amp;DATEVALUE($B43&amp;"-01"),Observacion_Directa!$B$2:$B$1000,"&lt;="&amp;EOMONTH(DATEVALUE($B43&amp;"-01"),0)))-1)/4*100,"")</f>
        <v/>
      </c>
      <c r="Q43" t="str">
        <f>IF(H43="","",MIN(100,100*H43/Parametros!$B$4))</f>
        <v/>
      </c>
      <c r="R43" t="str">
        <f>IF(I43="","",IF(I43=0,100,MIN(100,100*Parametros!$B$5/I43)))</f>
        <v/>
      </c>
      <c r="S43" t="str">
        <f>IF(J43="","",IF(J43=0,100,MIN(100,100*Parametros!$B$6/J43)))</f>
        <v/>
      </c>
      <c r="T43" t="str">
        <f>IF(L43="","",MIN(100,100*L43/Parametros!$B$7))</f>
        <v/>
      </c>
      <c r="U43" t="str">
        <f>IF(K43="","",MIN(100,100*K43/Parametros!$B$8))</f>
        <v/>
      </c>
      <c r="V43" t="str">
        <f ca="1">IFERROR(((AVERAGEIFS(Documentacion!$C$2:$C$1000,Documentacion!$A$2:$A$1000,$A43,Documentacion!$B$2:$B$1000,"&gt;="&amp;DATEVALUE($B43&amp;"-01"),Documentacion!$B$2:$B$1000,"&lt;="&amp;EOMONTH(DATEVALUE($B43&amp;"-01"),0)))-1)/4*100,"")</f>
        <v/>
      </c>
      <c r="W43" t="str">
        <f ca="1">IFERROR(((AVERAGEIFS(Feedback_360!$D$2:$D$1000,Feedback_360!$A$2:$A$1000,$A43,Feedback_360!$B$2:$B$1000,"&gt;="&amp;DATEVALUE($B43&amp;"-01"),Feedback_360!$B$2:$B$1000,"&lt;="&amp;EOMONTH(DATEVALUE($B43&amp;"-01"),0)))-1)/4*100,"")</f>
        <v/>
      </c>
      <c r="X43" t="str">
        <f ca="1">IFERROR(((AVERAGEIFS(Observacion_Directa!$D$2:$D$1000,Observacion_Directa!$A$2:$A$1000,$A43,Observacion_Directa!$B$2:$B$1000,"&gt;="&amp;DATEVALUE($B43&amp;"-01"),Observacion_Directa!$B$2:$B$1000,"&lt;="&amp;EOMONTH(DATEVALUE($B43&amp;"-01"),0)))-1)/4*100,"")</f>
        <v/>
      </c>
      <c r="Y43" t="e">
        <f t="shared" ca="1" si="1"/>
        <v>#DIV/0!</v>
      </c>
    </row>
    <row r="44" spans="12:25" x14ac:dyDescent="0.2">
      <c r="L44" t="str">
        <f t="shared" si="0"/>
        <v/>
      </c>
      <c r="M44" t="str">
        <f>IFERROR(AVERAGEIFS(Prod_5dias!$H$2:$H$1000,Prod_5dias!$A$2:$A$1000,$A44,Prod_5dias!$B$2:$B$1000,$B44),"")</f>
        <v/>
      </c>
      <c r="N44" t="str">
        <f>IF(M44="","",MIN(100,100*M44/Parametros!$B$7))</f>
        <v/>
      </c>
      <c r="O44" t="str">
        <f>IF(F44="","",IF(F44=0,100,MIN(100,100*Parametros!$B$3/F44)))</f>
        <v/>
      </c>
      <c r="P44" t="str">
        <f ca="1">IFERROR(((AVERAGEIFS(Observacion_Directa!$E$2:$E$1000,Observacion_Directa!$A$2:$A$1000,$A44,Observacion_Directa!$B$2:$B$1000,"&gt;="&amp;DATEVALUE($B44&amp;"-01"),Observacion_Directa!$B$2:$B$1000,"&lt;="&amp;EOMONTH(DATEVALUE($B44&amp;"-01"),0)))-1)/4*100,"")</f>
        <v/>
      </c>
      <c r="Q44" t="str">
        <f>IF(H44="","",MIN(100,100*H44/Parametros!$B$4))</f>
        <v/>
      </c>
      <c r="R44" t="str">
        <f>IF(I44="","",IF(I44=0,100,MIN(100,100*Parametros!$B$5/I44)))</f>
        <v/>
      </c>
      <c r="S44" t="str">
        <f>IF(J44="","",IF(J44=0,100,MIN(100,100*Parametros!$B$6/J44)))</f>
        <v/>
      </c>
      <c r="T44" t="str">
        <f>IF(L44="","",MIN(100,100*L44/Parametros!$B$7))</f>
        <v/>
      </c>
      <c r="U44" t="str">
        <f>IF(K44="","",MIN(100,100*K44/Parametros!$B$8))</f>
        <v/>
      </c>
      <c r="V44" t="str">
        <f ca="1">IFERROR(((AVERAGEIFS(Documentacion!$C$2:$C$1000,Documentacion!$A$2:$A$1000,$A44,Documentacion!$B$2:$B$1000,"&gt;="&amp;DATEVALUE($B44&amp;"-01"),Documentacion!$B$2:$B$1000,"&lt;="&amp;EOMONTH(DATEVALUE($B44&amp;"-01"),0)))-1)/4*100,"")</f>
        <v/>
      </c>
      <c r="W44" t="str">
        <f ca="1">IFERROR(((AVERAGEIFS(Feedback_360!$D$2:$D$1000,Feedback_360!$A$2:$A$1000,$A44,Feedback_360!$B$2:$B$1000,"&gt;="&amp;DATEVALUE($B44&amp;"-01"),Feedback_360!$B$2:$B$1000,"&lt;="&amp;EOMONTH(DATEVALUE($B44&amp;"-01"),0)))-1)/4*100,"")</f>
        <v/>
      </c>
      <c r="X44" t="str">
        <f ca="1">IFERROR(((AVERAGEIFS(Observacion_Directa!$D$2:$D$1000,Observacion_Directa!$A$2:$A$1000,$A44,Observacion_Directa!$B$2:$B$1000,"&gt;="&amp;DATEVALUE($B44&amp;"-01"),Observacion_Directa!$B$2:$B$1000,"&lt;="&amp;EOMONTH(DATEVALUE($B44&amp;"-01"),0)))-1)/4*100,"")</f>
        <v/>
      </c>
      <c r="Y44" t="e">
        <f t="shared" ca="1" si="1"/>
        <v>#DIV/0!</v>
      </c>
    </row>
    <row r="45" spans="12:25" x14ac:dyDescent="0.2">
      <c r="L45" t="str">
        <f t="shared" si="0"/>
        <v/>
      </c>
      <c r="M45" t="str">
        <f>IFERROR(AVERAGEIFS(Prod_5dias!$H$2:$H$1000,Prod_5dias!$A$2:$A$1000,$A45,Prod_5dias!$B$2:$B$1000,$B45),"")</f>
        <v/>
      </c>
      <c r="N45" t="str">
        <f>IF(M45="","",MIN(100,100*M45/Parametros!$B$7))</f>
        <v/>
      </c>
      <c r="O45" t="str">
        <f>IF(F45="","",IF(F45=0,100,MIN(100,100*Parametros!$B$3/F45)))</f>
        <v/>
      </c>
      <c r="P45" t="str">
        <f ca="1">IFERROR(((AVERAGEIFS(Observacion_Directa!$E$2:$E$1000,Observacion_Directa!$A$2:$A$1000,$A45,Observacion_Directa!$B$2:$B$1000,"&gt;="&amp;DATEVALUE($B45&amp;"-01"),Observacion_Directa!$B$2:$B$1000,"&lt;="&amp;EOMONTH(DATEVALUE($B45&amp;"-01"),0)))-1)/4*100,"")</f>
        <v/>
      </c>
      <c r="Q45" t="str">
        <f>IF(H45="","",MIN(100,100*H45/Parametros!$B$4))</f>
        <v/>
      </c>
      <c r="R45" t="str">
        <f>IF(I45="","",IF(I45=0,100,MIN(100,100*Parametros!$B$5/I45)))</f>
        <v/>
      </c>
      <c r="S45" t="str">
        <f>IF(J45="","",IF(J45=0,100,MIN(100,100*Parametros!$B$6/J45)))</f>
        <v/>
      </c>
      <c r="T45" t="str">
        <f>IF(L45="","",MIN(100,100*L45/Parametros!$B$7))</f>
        <v/>
      </c>
      <c r="U45" t="str">
        <f>IF(K45="","",MIN(100,100*K45/Parametros!$B$8))</f>
        <v/>
      </c>
      <c r="V45" t="str">
        <f ca="1">IFERROR(((AVERAGEIFS(Documentacion!$C$2:$C$1000,Documentacion!$A$2:$A$1000,$A45,Documentacion!$B$2:$B$1000,"&gt;="&amp;DATEVALUE($B45&amp;"-01"),Documentacion!$B$2:$B$1000,"&lt;="&amp;EOMONTH(DATEVALUE($B45&amp;"-01"),0)))-1)/4*100,"")</f>
        <v/>
      </c>
      <c r="W45" t="str">
        <f ca="1">IFERROR(((AVERAGEIFS(Feedback_360!$D$2:$D$1000,Feedback_360!$A$2:$A$1000,$A45,Feedback_360!$B$2:$B$1000,"&gt;="&amp;DATEVALUE($B45&amp;"-01"),Feedback_360!$B$2:$B$1000,"&lt;="&amp;EOMONTH(DATEVALUE($B45&amp;"-01"),0)))-1)/4*100,"")</f>
        <v/>
      </c>
      <c r="X45" t="str">
        <f ca="1">IFERROR(((AVERAGEIFS(Observacion_Directa!$D$2:$D$1000,Observacion_Directa!$A$2:$A$1000,$A45,Observacion_Directa!$B$2:$B$1000,"&gt;="&amp;DATEVALUE($B45&amp;"-01"),Observacion_Directa!$B$2:$B$1000,"&lt;="&amp;EOMONTH(DATEVALUE($B45&amp;"-01"),0)))-1)/4*100,"")</f>
        <v/>
      </c>
      <c r="Y45" t="e">
        <f t="shared" ca="1" si="1"/>
        <v>#DIV/0!</v>
      </c>
    </row>
    <row r="46" spans="12:25" x14ac:dyDescent="0.2">
      <c r="L46" t="str">
        <f t="shared" si="0"/>
        <v/>
      </c>
      <c r="M46" t="str">
        <f>IFERROR(AVERAGEIFS(Prod_5dias!$H$2:$H$1000,Prod_5dias!$A$2:$A$1000,$A46,Prod_5dias!$B$2:$B$1000,$B46),"")</f>
        <v/>
      </c>
      <c r="N46" t="str">
        <f>IF(M46="","",MIN(100,100*M46/Parametros!$B$7))</f>
        <v/>
      </c>
      <c r="O46" t="str">
        <f>IF(F46="","",IF(F46=0,100,MIN(100,100*Parametros!$B$3/F46)))</f>
        <v/>
      </c>
      <c r="P46" t="str">
        <f ca="1">IFERROR(((AVERAGEIFS(Observacion_Directa!$E$2:$E$1000,Observacion_Directa!$A$2:$A$1000,$A46,Observacion_Directa!$B$2:$B$1000,"&gt;="&amp;DATEVALUE($B46&amp;"-01"),Observacion_Directa!$B$2:$B$1000,"&lt;="&amp;EOMONTH(DATEVALUE($B46&amp;"-01"),0)))-1)/4*100,"")</f>
        <v/>
      </c>
      <c r="Q46" t="str">
        <f>IF(H46="","",MIN(100,100*H46/Parametros!$B$4))</f>
        <v/>
      </c>
      <c r="R46" t="str">
        <f>IF(I46="","",IF(I46=0,100,MIN(100,100*Parametros!$B$5/I46)))</f>
        <v/>
      </c>
      <c r="S46" t="str">
        <f>IF(J46="","",IF(J46=0,100,MIN(100,100*Parametros!$B$6/J46)))</f>
        <v/>
      </c>
      <c r="T46" t="str">
        <f>IF(L46="","",MIN(100,100*L46/Parametros!$B$7))</f>
        <v/>
      </c>
      <c r="U46" t="str">
        <f>IF(K46="","",MIN(100,100*K46/Parametros!$B$8))</f>
        <v/>
      </c>
      <c r="V46" t="str">
        <f ca="1">IFERROR(((AVERAGEIFS(Documentacion!$C$2:$C$1000,Documentacion!$A$2:$A$1000,$A46,Documentacion!$B$2:$B$1000,"&gt;="&amp;DATEVALUE($B46&amp;"-01"),Documentacion!$B$2:$B$1000,"&lt;="&amp;EOMONTH(DATEVALUE($B46&amp;"-01"),0)))-1)/4*100,"")</f>
        <v/>
      </c>
      <c r="W46" t="str">
        <f ca="1">IFERROR(((AVERAGEIFS(Feedback_360!$D$2:$D$1000,Feedback_360!$A$2:$A$1000,$A46,Feedback_360!$B$2:$B$1000,"&gt;="&amp;DATEVALUE($B46&amp;"-01"),Feedback_360!$B$2:$B$1000,"&lt;="&amp;EOMONTH(DATEVALUE($B46&amp;"-01"),0)))-1)/4*100,"")</f>
        <v/>
      </c>
      <c r="X46" t="str">
        <f ca="1">IFERROR(((AVERAGEIFS(Observacion_Directa!$D$2:$D$1000,Observacion_Directa!$A$2:$A$1000,$A46,Observacion_Directa!$B$2:$B$1000,"&gt;="&amp;DATEVALUE($B46&amp;"-01"),Observacion_Directa!$B$2:$B$1000,"&lt;="&amp;EOMONTH(DATEVALUE($B46&amp;"-01"),0)))-1)/4*100,"")</f>
        <v/>
      </c>
      <c r="Y46" t="e">
        <f t="shared" ca="1" si="1"/>
        <v>#DIV/0!</v>
      </c>
    </row>
    <row r="47" spans="12:25" x14ac:dyDescent="0.2">
      <c r="L47" t="str">
        <f t="shared" si="0"/>
        <v/>
      </c>
      <c r="M47" t="str">
        <f>IFERROR(AVERAGEIFS(Prod_5dias!$H$2:$H$1000,Prod_5dias!$A$2:$A$1000,$A47,Prod_5dias!$B$2:$B$1000,$B47),"")</f>
        <v/>
      </c>
      <c r="N47" t="str">
        <f>IF(M47="","",MIN(100,100*M47/Parametros!$B$7))</f>
        <v/>
      </c>
      <c r="O47" t="str">
        <f>IF(F47="","",IF(F47=0,100,MIN(100,100*Parametros!$B$3/F47)))</f>
        <v/>
      </c>
      <c r="P47" t="str">
        <f ca="1">IFERROR(((AVERAGEIFS(Observacion_Directa!$E$2:$E$1000,Observacion_Directa!$A$2:$A$1000,$A47,Observacion_Directa!$B$2:$B$1000,"&gt;="&amp;DATEVALUE($B47&amp;"-01"),Observacion_Directa!$B$2:$B$1000,"&lt;="&amp;EOMONTH(DATEVALUE($B47&amp;"-01"),0)))-1)/4*100,"")</f>
        <v/>
      </c>
      <c r="Q47" t="str">
        <f>IF(H47="","",MIN(100,100*H47/Parametros!$B$4))</f>
        <v/>
      </c>
      <c r="R47" t="str">
        <f>IF(I47="","",IF(I47=0,100,MIN(100,100*Parametros!$B$5/I47)))</f>
        <v/>
      </c>
      <c r="S47" t="str">
        <f>IF(J47="","",IF(J47=0,100,MIN(100,100*Parametros!$B$6/J47)))</f>
        <v/>
      </c>
      <c r="T47" t="str">
        <f>IF(L47="","",MIN(100,100*L47/Parametros!$B$7))</f>
        <v/>
      </c>
      <c r="U47" t="str">
        <f>IF(K47="","",MIN(100,100*K47/Parametros!$B$8))</f>
        <v/>
      </c>
      <c r="V47" t="str">
        <f ca="1">IFERROR(((AVERAGEIFS(Documentacion!$C$2:$C$1000,Documentacion!$A$2:$A$1000,$A47,Documentacion!$B$2:$B$1000,"&gt;="&amp;DATEVALUE($B47&amp;"-01"),Documentacion!$B$2:$B$1000,"&lt;="&amp;EOMONTH(DATEVALUE($B47&amp;"-01"),0)))-1)/4*100,"")</f>
        <v/>
      </c>
      <c r="W47" t="str">
        <f ca="1">IFERROR(((AVERAGEIFS(Feedback_360!$D$2:$D$1000,Feedback_360!$A$2:$A$1000,$A47,Feedback_360!$B$2:$B$1000,"&gt;="&amp;DATEVALUE($B47&amp;"-01"),Feedback_360!$B$2:$B$1000,"&lt;="&amp;EOMONTH(DATEVALUE($B47&amp;"-01"),0)))-1)/4*100,"")</f>
        <v/>
      </c>
      <c r="X47" t="str">
        <f ca="1">IFERROR(((AVERAGEIFS(Observacion_Directa!$D$2:$D$1000,Observacion_Directa!$A$2:$A$1000,$A47,Observacion_Directa!$B$2:$B$1000,"&gt;="&amp;DATEVALUE($B47&amp;"-01"),Observacion_Directa!$B$2:$B$1000,"&lt;="&amp;EOMONTH(DATEVALUE($B47&amp;"-01"),0)))-1)/4*100,"")</f>
        <v/>
      </c>
      <c r="Y47" t="e">
        <f t="shared" ca="1" si="1"/>
        <v>#DIV/0!</v>
      </c>
    </row>
    <row r="48" spans="12:25" x14ac:dyDescent="0.2">
      <c r="L48" t="str">
        <f t="shared" si="0"/>
        <v/>
      </c>
      <c r="M48" t="str">
        <f>IFERROR(AVERAGEIFS(Prod_5dias!$H$2:$H$1000,Prod_5dias!$A$2:$A$1000,$A48,Prod_5dias!$B$2:$B$1000,$B48),"")</f>
        <v/>
      </c>
      <c r="N48" t="str">
        <f>IF(M48="","",MIN(100,100*M48/Parametros!$B$7))</f>
        <v/>
      </c>
      <c r="O48" t="str">
        <f>IF(F48="","",IF(F48=0,100,MIN(100,100*Parametros!$B$3/F48)))</f>
        <v/>
      </c>
      <c r="P48" t="str">
        <f ca="1">IFERROR(((AVERAGEIFS(Observacion_Directa!$E$2:$E$1000,Observacion_Directa!$A$2:$A$1000,$A48,Observacion_Directa!$B$2:$B$1000,"&gt;="&amp;DATEVALUE($B48&amp;"-01"),Observacion_Directa!$B$2:$B$1000,"&lt;="&amp;EOMONTH(DATEVALUE($B48&amp;"-01"),0)))-1)/4*100,"")</f>
        <v/>
      </c>
      <c r="Q48" t="str">
        <f>IF(H48="","",MIN(100,100*H48/Parametros!$B$4))</f>
        <v/>
      </c>
      <c r="R48" t="str">
        <f>IF(I48="","",IF(I48=0,100,MIN(100,100*Parametros!$B$5/I48)))</f>
        <v/>
      </c>
      <c r="S48" t="str">
        <f>IF(J48="","",IF(J48=0,100,MIN(100,100*Parametros!$B$6/J48)))</f>
        <v/>
      </c>
      <c r="T48" t="str">
        <f>IF(L48="","",MIN(100,100*L48/Parametros!$B$7))</f>
        <v/>
      </c>
      <c r="U48" t="str">
        <f>IF(K48="","",MIN(100,100*K48/Parametros!$B$8))</f>
        <v/>
      </c>
      <c r="V48" t="str">
        <f ca="1">IFERROR(((AVERAGEIFS(Documentacion!$C$2:$C$1000,Documentacion!$A$2:$A$1000,$A48,Documentacion!$B$2:$B$1000,"&gt;="&amp;DATEVALUE($B48&amp;"-01"),Documentacion!$B$2:$B$1000,"&lt;="&amp;EOMONTH(DATEVALUE($B48&amp;"-01"),0)))-1)/4*100,"")</f>
        <v/>
      </c>
      <c r="W48" t="str">
        <f ca="1">IFERROR(((AVERAGEIFS(Feedback_360!$D$2:$D$1000,Feedback_360!$A$2:$A$1000,$A48,Feedback_360!$B$2:$B$1000,"&gt;="&amp;DATEVALUE($B48&amp;"-01"),Feedback_360!$B$2:$B$1000,"&lt;="&amp;EOMONTH(DATEVALUE($B48&amp;"-01"),0)))-1)/4*100,"")</f>
        <v/>
      </c>
      <c r="X48" t="str">
        <f ca="1">IFERROR(((AVERAGEIFS(Observacion_Directa!$D$2:$D$1000,Observacion_Directa!$A$2:$A$1000,$A48,Observacion_Directa!$B$2:$B$1000,"&gt;="&amp;DATEVALUE($B48&amp;"-01"),Observacion_Directa!$B$2:$B$1000,"&lt;="&amp;EOMONTH(DATEVALUE($B48&amp;"-01"),0)))-1)/4*100,"")</f>
        <v/>
      </c>
      <c r="Y48" t="e">
        <f t="shared" ca="1" si="1"/>
        <v>#DIV/0!</v>
      </c>
    </row>
    <row r="49" spans="12:25" x14ac:dyDescent="0.2">
      <c r="L49" t="str">
        <f t="shared" si="0"/>
        <v/>
      </c>
      <c r="M49" t="str">
        <f>IFERROR(AVERAGEIFS(Prod_5dias!$H$2:$H$1000,Prod_5dias!$A$2:$A$1000,$A49,Prod_5dias!$B$2:$B$1000,$B49),"")</f>
        <v/>
      </c>
      <c r="N49" t="str">
        <f>IF(M49="","",MIN(100,100*M49/Parametros!$B$7))</f>
        <v/>
      </c>
      <c r="O49" t="str">
        <f>IF(F49="","",IF(F49=0,100,MIN(100,100*Parametros!$B$3/F49)))</f>
        <v/>
      </c>
      <c r="P49" t="str">
        <f ca="1">IFERROR(((AVERAGEIFS(Observacion_Directa!$E$2:$E$1000,Observacion_Directa!$A$2:$A$1000,$A49,Observacion_Directa!$B$2:$B$1000,"&gt;="&amp;DATEVALUE($B49&amp;"-01"),Observacion_Directa!$B$2:$B$1000,"&lt;="&amp;EOMONTH(DATEVALUE($B49&amp;"-01"),0)))-1)/4*100,"")</f>
        <v/>
      </c>
      <c r="Q49" t="str">
        <f>IF(H49="","",MIN(100,100*H49/Parametros!$B$4))</f>
        <v/>
      </c>
      <c r="R49" t="str">
        <f>IF(I49="","",IF(I49=0,100,MIN(100,100*Parametros!$B$5/I49)))</f>
        <v/>
      </c>
      <c r="S49" t="str">
        <f>IF(J49="","",IF(J49=0,100,MIN(100,100*Parametros!$B$6/J49)))</f>
        <v/>
      </c>
      <c r="T49" t="str">
        <f>IF(L49="","",MIN(100,100*L49/Parametros!$B$7))</f>
        <v/>
      </c>
      <c r="U49" t="str">
        <f>IF(K49="","",MIN(100,100*K49/Parametros!$B$8))</f>
        <v/>
      </c>
      <c r="V49" t="str">
        <f ca="1">IFERROR(((AVERAGEIFS(Documentacion!$C$2:$C$1000,Documentacion!$A$2:$A$1000,$A49,Documentacion!$B$2:$B$1000,"&gt;="&amp;DATEVALUE($B49&amp;"-01"),Documentacion!$B$2:$B$1000,"&lt;="&amp;EOMONTH(DATEVALUE($B49&amp;"-01"),0)))-1)/4*100,"")</f>
        <v/>
      </c>
      <c r="W49" t="str">
        <f ca="1">IFERROR(((AVERAGEIFS(Feedback_360!$D$2:$D$1000,Feedback_360!$A$2:$A$1000,$A49,Feedback_360!$B$2:$B$1000,"&gt;="&amp;DATEVALUE($B49&amp;"-01"),Feedback_360!$B$2:$B$1000,"&lt;="&amp;EOMONTH(DATEVALUE($B49&amp;"-01"),0)))-1)/4*100,"")</f>
        <v/>
      </c>
      <c r="X49" t="str">
        <f ca="1">IFERROR(((AVERAGEIFS(Observacion_Directa!$D$2:$D$1000,Observacion_Directa!$A$2:$A$1000,$A49,Observacion_Directa!$B$2:$B$1000,"&gt;="&amp;DATEVALUE($B49&amp;"-01"),Observacion_Directa!$B$2:$B$1000,"&lt;="&amp;EOMONTH(DATEVALUE($B49&amp;"-01"),0)))-1)/4*100,"")</f>
        <v/>
      </c>
      <c r="Y49" t="e">
        <f t="shared" ca="1" si="1"/>
        <v>#DIV/0!</v>
      </c>
    </row>
    <row r="50" spans="12:25" x14ac:dyDescent="0.2">
      <c r="L50" t="str">
        <f t="shared" si="0"/>
        <v/>
      </c>
      <c r="M50" t="str">
        <f>IFERROR(AVERAGEIFS(Prod_5dias!$H$2:$H$1000,Prod_5dias!$A$2:$A$1000,$A50,Prod_5dias!$B$2:$B$1000,$B50),"")</f>
        <v/>
      </c>
      <c r="N50" t="str">
        <f>IF(M50="","",MIN(100,100*M50/Parametros!$B$7))</f>
        <v/>
      </c>
      <c r="O50" t="str">
        <f>IF(F50="","",IF(F50=0,100,MIN(100,100*Parametros!$B$3/F50)))</f>
        <v/>
      </c>
      <c r="P50" t="str">
        <f ca="1">IFERROR(((AVERAGEIFS(Observacion_Directa!$E$2:$E$1000,Observacion_Directa!$A$2:$A$1000,$A50,Observacion_Directa!$B$2:$B$1000,"&gt;="&amp;DATEVALUE($B50&amp;"-01"),Observacion_Directa!$B$2:$B$1000,"&lt;="&amp;EOMONTH(DATEVALUE($B50&amp;"-01"),0)))-1)/4*100,"")</f>
        <v/>
      </c>
      <c r="Q50" t="str">
        <f>IF(H50="","",MIN(100,100*H50/Parametros!$B$4))</f>
        <v/>
      </c>
      <c r="R50" t="str">
        <f>IF(I50="","",IF(I50=0,100,MIN(100,100*Parametros!$B$5/I50)))</f>
        <v/>
      </c>
      <c r="S50" t="str">
        <f>IF(J50="","",IF(J50=0,100,MIN(100,100*Parametros!$B$6/J50)))</f>
        <v/>
      </c>
      <c r="T50" t="str">
        <f>IF(L50="","",MIN(100,100*L50/Parametros!$B$7))</f>
        <v/>
      </c>
      <c r="U50" t="str">
        <f>IF(K50="","",MIN(100,100*K50/Parametros!$B$8))</f>
        <v/>
      </c>
      <c r="V50" t="str">
        <f ca="1">IFERROR(((AVERAGEIFS(Documentacion!$C$2:$C$1000,Documentacion!$A$2:$A$1000,$A50,Documentacion!$B$2:$B$1000,"&gt;="&amp;DATEVALUE($B50&amp;"-01"),Documentacion!$B$2:$B$1000,"&lt;="&amp;EOMONTH(DATEVALUE($B50&amp;"-01"),0)))-1)/4*100,"")</f>
        <v/>
      </c>
      <c r="W50" t="str">
        <f ca="1">IFERROR(((AVERAGEIFS(Feedback_360!$D$2:$D$1000,Feedback_360!$A$2:$A$1000,$A50,Feedback_360!$B$2:$B$1000,"&gt;="&amp;DATEVALUE($B50&amp;"-01"),Feedback_360!$B$2:$B$1000,"&lt;="&amp;EOMONTH(DATEVALUE($B50&amp;"-01"),0)))-1)/4*100,"")</f>
        <v/>
      </c>
      <c r="X50" t="str">
        <f ca="1">IFERROR(((AVERAGEIFS(Observacion_Directa!$D$2:$D$1000,Observacion_Directa!$A$2:$A$1000,$A50,Observacion_Directa!$B$2:$B$1000,"&gt;="&amp;DATEVALUE($B50&amp;"-01"),Observacion_Directa!$B$2:$B$1000,"&lt;="&amp;EOMONTH(DATEVALUE($B50&amp;"-01"),0)))-1)/4*100,"")</f>
        <v/>
      </c>
      <c r="Y50" t="e">
        <f t="shared" ca="1" si="1"/>
        <v>#DIV/0!</v>
      </c>
    </row>
    <row r="51" spans="12:25" x14ac:dyDescent="0.2">
      <c r="L51" t="str">
        <f t="shared" si="0"/>
        <v/>
      </c>
      <c r="M51" t="str">
        <f>IFERROR(AVERAGEIFS(Prod_5dias!$H$2:$H$1000,Prod_5dias!$A$2:$A$1000,$A51,Prod_5dias!$B$2:$B$1000,$B51),"")</f>
        <v/>
      </c>
      <c r="N51" t="str">
        <f>IF(M51="","",MIN(100,100*M51/Parametros!$B$7))</f>
        <v/>
      </c>
      <c r="O51" t="str">
        <f>IF(F51="","",IF(F51=0,100,MIN(100,100*Parametros!$B$3/F51)))</f>
        <v/>
      </c>
      <c r="P51" t="str">
        <f ca="1">IFERROR(((AVERAGEIFS(Observacion_Directa!$E$2:$E$1000,Observacion_Directa!$A$2:$A$1000,$A51,Observacion_Directa!$B$2:$B$1000,"&gt;="&amp;DATEVALUE($B51&amp;"-01"),Observacion_Directa!$B$2:$B$1000,"&lt;="&amp;EOMONTH(DATEVALUE($B51&amp;"-01"),0)))-1)/4*100,"")</f>
        <v/>
      </c>
      <c r="Q51" t="str">
        <f>IF(H51="","",MIN(100,100*H51/Parametros!$B$4))</f>
        <v/>
      </c>
      <c r="R51" t="str">
        <f>IF(I51="","",IF(I51=0,100,MIN(100,100*Parametros!$B$5/I51)))</f>
        <v/>
      </c>
      <c r="S51" t="str">
        <f>IF(J51="","",IF(J51=0,100,MIN(100,100*Parametros!$B$6/J51)))</f>
        <v/>
      </c>
      <c r="T51" t="str">
        <f>IF(L51="","",MIN(100,100*L51/Parametros!$B$7))</f>
        <v/>
      </c>
      <c r="U51" t="str">
        <f>IF(K51="","",MIN(100,100*K51/Parametros!$B$8))</f>
        <v/>
      </c>
      <c r="V51" t="str">
        <f ca="1">IFERROR(((AVERAGEIFS(Documentacion!$C$2:$C$1000,Documentacion!$A$2:$A$1000,$A51,Documentacion!$B$2:$B$1000,"&gt;="&amp;DATEVALUE($B51&amp;"-01"),Documentacion!$B$2:$B$1000,"&lt;="&amp;EOMONTH(DATEVALUE($B51&amp;"-01"),0)))-1)/4*100,"")</f>
        <v/>
      </c>
      <c r="W51" t="str">
        <f ca="1">IFERROR(((AVERAGEIFS(Feedback_360!$D$2:$D$1000,Feedback_360!$A$2:$A$1000,$A51,Feedback_360!$B$2:$B$1000,"&gt;="&amp;DATEVALUE($B51&amp;"-01"),Feedback_360!$B$2:$B$1000,"&lt;="&amp;EOMONTH(DATEVALUE($B51&amp;"-01"),0)))-1)/4*100,"")</f>
        <v/>
      </c>
      <c r="X51" t="str">
        <f ca="1">IFERROR(((AVERAGEIFS(Observacion_Directa!$D$2:$D$1000,Observacion_Directa!$A$2:$A$1000,$A51,Observacion_Directa!$B$2:$B$1000,"&gt;="&amp;DATEVALUE($B51&amp;"-01"),Observacion_Directa!$B$2:$B$1000,"&lt;="&amp;EOMONTH(DATEVALUE($B51&amp;"-01"),0)))-1)/4*100,"")</f>
        <v/>
      </c>
      <c r="Y51" t="e">
        <f t="shared" ca="1" si="1"/>
        <v>#DIV/0!</v>
      </c>
    </row>
    <row r="52" spans="12:25" x14ac:dyDescent="0.2">
      <c r="L52" t="str">
        <f t="shared" si="0"/>
        <v/>
      </c>
      <c r="M52" t="str">
        <f>IFERROR(AVERAGEIFS(Prod_5dias!$H$2:$H$1000,Prod_5dias!$A$2:$A$1000,$A52,Prod_5dias!$B$2:$B$1000,$B52),"")</f>
        <v/>
      </c>
      <c r="N52" t="str">
        <f>IF(M52="","",MIN(100,100*M52/Parametros!$B$7))</f>
        <v/>
      </c>
      <c r="O52" t="str">
        <f>IF(F52="","",IF(F52=0,100,MIN(100,100*Parametros!$B$3/F52)))</f>
        <v/>
      </c>
      <c r="P52" t="str">
        <f ca="1">IFERROR(((AVERAGEIFS(Observacion_Directa!$E$2:$E$1000,Observacion_Directa!$A$2:$A$1000,$A52,Observacion_Directa!$B$2:$B$1000,"&gt;="&amp;DATEVALUE($B52&amp;"-01"),Observacion_Directa!$B$2:$B$1000,"&lt;="&amp;EOMONTH(DATEVALUE($B52&amp;"-01"),0)))-1)/4*100,"")</f>
        <v/>
      </c>
      <c r="Q52" t="str">
        <f>IF(H52="","",MIN(100,100*H52/Parametros!$B$4))</f>
        <v/>
      </c>
      <c r="R52" t="str">
        <f>IF(I52="","",IF(I52=0,100,MIN(100,100*Parametros!$B$5/I52)))</f>
        <v/>
      </c>
      <c r="S52" t="str">
        <f>IF(J52="","",IF(J52=0,100,MIN(100,100*Parametros!$B$6/J52)))</f>
        <v/>
      </c>
      <c r="T52" t="str">
        <f>IF(L52="","",MIN(100,100*L52/Parametros!$B$7))</f>
        <v/>
      </c>
      <c r="U52" t="str">
        <f>IF(K52="","",MIN(100,100*K52/Parametros!$B$8))</f>
        <v/>
      </c>
      <c r="V52" t="str">
        <f ca="1">IFERROR(((AVERAGEIFS(Documentacion!$C$2:$C$1000,Documentacion!$A$2:$A$1000,$A52,Documentacion!$B$2:$B$1000,"&gt;="&amp;DATEVALUE($B52&amp;"-01"),Documentacion!$B$2:$B$1000,"&lt;="&amp;EOMONTH(DATEVALUE($B52&amp;"-01"),0)))-1)/4*100,"")</f>
        <v/>
      </c>
      <c r="W52" t="str">
        <f ca="1">IFERROR(((AVERAGEIFS(Feedback_360!$D$2:$D$1000,Feedback_360!$A$2:$A$1000,$A52,Feedback_360!$B$2:$B$1000,"&gt;="&amp;DATEVALUE($B52&amp;"-01"),Feedback_360!$B$2:$B$1000,"&lt;="&amp;EOMONTH(DATEVALUE($B52&amp;"-01"),0)))-1)/4*100,"")</f>
        <v/>
      </c>
      <c r="X52" t="str">
        <f ca="1">IFERROR(((AVERAGEIFS(Observacion_Directa!$D$2:$D$1000,Observacion_Directa!$A$2:$A$1000,$A52,Observacion_Directa!$B$2:$B$1000,"&gt;="&amp;DATEVALUE($B52&amp;"-01"),Observacion_Directa!$B$2:$B$1000,"&lt;="&amp;EOMONTH(DATEVALUE($B52&amp;"-01"),0)))-1)/4*100,"")</f>
        <v/>
      </c>
      <c r="Y52" t="e">
        <f t="shared" ca="1" si="1"/>
        <v>#DIV/0!</v>
      </c>
    </row>
    <row r="53" spans="12:25" x14ac:dyDescent="0.2">
      <c r="L53" t="str">
        <f t="shared" si="0"/>
        <v/>
      </c>
      <c r="M53" t="str">
        <f>IFERROR(AVERAGEIFS(Prod_5dias!$H$2:$H$1000,Prod_5dias!$A$2:$A$1000,$A53,Prod_5dias!$B$2:$B$1000,$B53),"")</f>
        <v/>
      </c>
      <c r="N53" t="str">
        <f>IF(M53="","",MIN(100,100*M53/Parametros!$B$7))</f>
        <v/>
      </c>
      <c r="O53" t="str">
        <f>IF(F53="","",IF(F53=0,100,MIN(100,100*Parametros!$B$3/F53)))</f>
        <v/>
      </c>
      <c r="P53" t="str">
        <f ca="1">IFERROR(((AVERAGEIFS(Observacion_Directa!$E$2:$E$1000,Observacion_Directa!$A$2:$A$1000,$A53,Observacion_Directa!$B$2:$B$1000,"&gt;="&amp;DATEVALUE($B53&amp;"-01"),Observacion_Directa!$B$2:$B$1000,"&lt;="&amp;EOMONTH(DATEVALUE($B53&amp;"-01"),0)))-1)/4*100,"")</f>
        <v/>
      </c>
      <c r="Q53" t="str">
        <f>IF(H53="","",MIN(100,100*H53/Parametros!$B$4))</f>
        <v/>
      </c>
      <c r="R53" t="str">
        <f>IF(I53="","",IF(I53=0,100,MIN(100,100*Parametros!$B$5/I53)))</f>
        <v/>
      </c>
      <c r="S53" t="str">
        <f>IF(J53="","",IF(J53=0,100,MIN(100,100*Parametros!$B$6/J53)))</f>
        <v/>
      </c>
      <c r="T53" t="str">
        <f>IF(L53="","",MIN(100,100*L53/Parametros!$B$7))</f>
        <v/>
      </c>
      <c r="U53" t="str">
        <f>IF(K53="","",MIN(100,100*K53/Parametros!$B$8))</f>
        <v/>
      </c>
      <c r="V53" t="str">
        <f ca="1">IFERROR(((AVERAGEIFS(Documentacion!$C$2:$C$1000,Documentacion!$A$2:$A$1000,$A53,Documentacion!$B$2:$B$1000,"&gt;="&amp;DATEVALUE($B53&amp;"-01"),Documentacion!$B$2:$B$1000,"&lt;="&amp;EOMONTH(DATEVALUE($B53&amp;"-01"),0)))-1)/4*100,"")</f>
        <v/>
      </c>
      <c r="W53" t="str">
        <f ca="1">IFERROR(((AVERAGEIFS(Feedback_360!$D$2:$D$1000,Feedback_360!$A$2:$A$1000,$A53,Feedback_360!$B$2:$B$1000,"&gt;="&amp;DATEVALUE($B53&amp;"-01"),Feedback_360!$B$2:$B$1000,"&lt;="&amp;EOMONTH(DATEVALUE($B53&amp;"-01"),0)))-1)/4*100,"")</f>
        <v/>
      </c>
      <c r="X53" t="str">
        <f ca="1">IFERROR(((AVERAGEIFS(Observacion_Directa!$D$2:$D$1000,Observacion_Directa!$A$2:$A$1000,$A53,Observacion_Directa!$B$2:$B$1000,"&gt;="&amp;DATEVALUE($B53&amp;"-01"),Observacion_Directa!$B$2:$B$1000,"&lt;="&amp;EOMONTH(DATEVALUE($B53&amp;"-01"),0)))-1)/4*100,"")</f>
        <v/>
      </c>
      <c r="Y53" t="e">
        <f t="shared" ca="1" si="1"/>
        <v>#DIV/0!</v>
      </c>
    </row>
    <row r="54" spans="12:25" x14ac:dyDescent="0.2">
      <c r="L54" t="str">
        <f t="shared" si="0"/>
        <v/>
      </c>
      <c r="M54" t="str">
        <f>IFERROR(AVERAGEIFS(Prod_5dias!$H$2:$H$1000,Prod_5dias!$A$2:$A$1000,$A54,Prod_5dias!$B$2:$B$1000,$B54),"")</f>
        <v/>
      </c>
      <c r="N54" t="str">
        <f>IF(M54="","",MIN(100,100*M54/Parametros!$B$7))</f>
        <v/>
      </c>
      <c r="O54" t="str">
        <f>IF(F54="","",IF(F54=0,100,MIN(100,100*Parametros!$B$3/F54)))</f>
        <v/>
      </c>
      <c r="P54" t="str">
        <f ca="1">IFERROR(((AVERAGEIFS(Observacion_Directa!$E$2:$E$1000,Observacion_Directa!$A$2:$A$1000,$A54,Observacion_Directa!$B$2:$B$1000,"&gt;="&amp;DATEVALUE($B54&amp;"-01"),Observacion_Directa!$B$2:$B$1000,"&lt;="&amp;EOMONTH(DATEVALUE($B54&amp;"-01"),0)))-1)/4*100,"")</f>
        <v/>
      </c>
      <c r="Q54" t="str">
        <f>IF(H54="","",MIN(100,100*H54/Parametros!$B$4))</f>
        <v/>
      </c>
      <c r="R54" t="str">
        <f>IF(I54="","",IF(I54=0,100,MIN(100,100*Parametros!$B$5/I54)))</f>
        <v/>
      </c>
      <c r="S54" t="str">
        <f>IF(J54="","",IF(J54=0,100,MIN(100,100*Parametros!$B$6/J54)))</f>
        <v/>
      </c>
      <c r="T54" t="str">
        <f>IF(L54="","",MIN(100,100*L54/Parametros!$B$7))</f>
        <v/>
      </c>
      <c r="U54" t="str">
        <f>IF(K54="","",MIN(100,100*K54/Parametros!$B$8))</f>
        <v/>
      </c>
      <c r="V54" t="str">
        <f ca="1">IFERROR(((AVERAGEIFS(Documentacion!$C$2:$C$1000,Documentacion!$A$2:$A$1000,$A54,Documentacion!$B$2:$B$1000,"&gt;="&amp;DATEVALUE($B54&amp;"-01"),Documentacion!$B$2:$B$1000,"&lt;="&amp;EOMONTH(DATEVALUE($B54&amp;"-01"),0)))-1)/4*100,"")</f>
        <v/>
      </c>
      <c r="W54" t="str">
        <f ca="1">IFERROR(((AVERAGEIFS(Feedback_360!$D$2:$D$1000,Feedback_360!$A$2:$A$1000,$A54,Feedback_360!$B$2:$B$1000,"&gt;="&amp;DATEVALUE($B54&amp;"-01"),Feedback_360!$B$2:$B$1000,"&lt;="&amp;EOMONTH(DATEVALUE($B54&amp;"-01"),0)))-1)/4*100,"")</f>
        <v/>
      </c>
      <c r="X54" t="str">
        <f ca="1">IFERROR(((AVERAGEIFS(Observacion_Directa!$D$2:$D$1000,Observacion_Directa!$A$2:$A$1000,$A54,Observacion_Directa!$B$2:$B$1000,"&gt;="&amp;DATEVALUE($B54&amp;"-01"),Observacion_Directa!$B$2:$B$1000,"&lt;="&amp;EOMONTH(DATEVALUE($B54&amp;"-01"),0)))-1)/4*100,"")</f>
        <v/>
      </c>
      <c r="Y54" t="e">
        <f t="shared" ca="1" si="1"/>
        <v>#DIV/0!</v>
      </c>
    </row>
    <row r="55" spans="12:25" x14ac:dyDescent="0.2">
      <c r="L55" t="str">
        <f t="shared" si="0"/>
        <v/>
      </c>
      <c r="M55" t="str">
        <f>IFERROR(AVERAGEIFS(Prod_5dias!$H$2:$H$1000,Prod_5dias!$A$2:$A$1000,$A55,Prod_5dias!$B$2:$B$1000,$B55),"")</f>
        <v/>
      </c>
      <c r="N55" t="str">
        <f>IF(M55="","",MIN(100,100*M55/Parametros!$B$7))</f>
        <v/>
      </c>
      <c r="O55" t="str">
        <f>IF(F55="","",IF(F55=0,100,MIN(100,100*Parametros!$B$3/F55)))</f>
        <v/>
      </c>
      <c r="P55" t="str">
        <f ca="1">IFERROR(((AVERAGEIFS(Observacion_Directa!$E$2:$E$1000,Observacion_Directa!$A$2:$A$1000,$A55,Observacion_Directa!$B$2:$B$1000,"&gt;="&amp;DATEVALUE($B55&amp;"-01"),Observacion_Directa!$B$2:$B$1000,"&lt;="&amp;EOMONTH(DATEVALUE($B55&amp;"-01"),0)))-1)/4*100,"")</f>
        <v/>
      </c>
      <c r="Q55" t="str">
        <f>IF(H55="","",MIN(100,100*H55/Parametros!$B$4))</f>
        <v/>
      </c>
      <c r="R55" t="str">
        <f>IF(I55="","",IF(I55=0,100,MIN(100,100*Parametros!$B$5/I55)))</f>
        <v/>
      </c>
      <c r="S55" t="str">
        <f>IF(J55="","",IF(J55=0,100,MIN(100,100*Parametros!$B$6/J55)))</f>
        <v/>
      </c>
      <c r="T55" t="str">
        <f>IF(L55="","",MIN(100,100*L55/Parametros!$B$7))</f>
        <v/>
      </c>
      <c r="U55" t="str">
        <f>IF(K55="","",MIN(100,100*K55/Parametros!$B$8))</f>
        <v/>
      </c>
      <c r="V55" t="str">
        <f ca="1">IFERROR(((AVERAGEIFS(Documentacion!$C$2:$C$1000,Documentacion!$A$2:$A$1000,$A55,Documentacion!$B$2:$B$1000,"&gt;="&amp;DATEVALUE($B55&amp;"-01"),Documentacion!$B$2:$B$1000,"&lt;="&amp;EOMONTH(DATEVALUE($B55&amp;"-01"),0)))-1)/4*100,"")</f>
        <v/>
      </c>
      <c r="W55" t="str">
        <f ca="1">IFERROR(((AVERAGEIFS(Feedback_360!$D$2:$D$1000,Feedback_360!$A$2:$A$1000,$A55,Feedback_360!$B$2:$B$1000,"&gt;="&amp;DATEVALUE($B55&amp;"-01"),Feedback_360!$B$2:$B$1000,"&lt;="&amp;EOMONTH(DATEVALUE($B55&amp;"-01"),0)))-1)/4*100,"")</f>
        <v/>
      </c>
      <c r="X55" t="str">
        <f ca="1">IFERROR(((AVERAGEIFS(Observacion_Directa!$D$2:$D$1000,Observacion_Directa!$A$2:$A$1000,$A55,Observacion_Directa!$B$2:$B$1000,"&gt;="&amp;DATEVALUE($B55&amp;"-01"),Observacion_Directa!$B$2:$B$1000,"&lt;="&amp;EOMONTH(DATEVALUE($B55&amp;"-01"),0)))-1)/4*100,"")</f>
        <v/>
      </c>
      <c r="Y55" t="e">
        <f t="shared" ca="1" si="1"/>
        <v>#DIV/0!</v>
      </c>
    </row>
    <row r="56" spans="12:25" x14ac:dyDescent="0.2">
      <c r="L56" t="str">
        <f t="shared" si="0"/>
        <v/>
      </c>
      <c r="M56" t="str">
        <f>IFERROR(AVERAGEIFS(Prod_5dias!$H$2:$H$1000,Prod_5dias!$A$2:$A$1000,$A56,Prod_5dias!$B$2:$B$1000,$B56),"")</f>
        <v/>
      </c>
      <c r="N56" t="str">
        <f>IF(M56="","",MIN(100,100*M56/Parametros!$B$7))</f>
        <v/>
      </c>
      <c r="O56" t="str">
        <f>IF(F56="","",IF(F56=0,100,MIN(100,100*Parametros!$B$3/F56)))</f>
        <v/>
      </c>
      <c r="P56" t="str">
        <f ca="1">IFERROR(((AVERAGEIFS(Observacion_Directa!$E$2:$E$1000,Observacion_Directa!$A$2:$A$1000,$A56,Observacion_Directa!$B$2:$B$1000,"&gt;="&amp;DATEVALUE($B56&amp;"-01"),Observacion_Directa!$B$2:$B$1000,"&lt;="&amp;EOMONTH(DATEVALUE($B56&amp;"-01"),0)))-1)/4*100,"")</f>
        <v/>
      </c>
      <c r="Q56" t="str">
        <f>IF(H56="","",MIN(100,100*H56/Parametros!$B$4))</f>
        <v/>
      </c>
      <c r="R56" t="str">
        <f>IF(I56="","",IF(I56=0,100,MIN(100,100*Parametros!$B$5/I56)))</f>
        <v/>
      </c>
      <c r="S56" t="str">
        <f>IF(J56="","",IF(J56=0,100,MIN(100,100*Parametros!$B$6/J56)))</f>
        <v/>
      </c>
      <c r="T56" t="str">
        <f>IF(L56="","",MIN(100,100*L56/Parametros!$B$7))</f>
        <v/>
      </c>
      <c r="U56" t="str">
        <f>IF(K56="","",MIN(100,100*K56/Parametros!$B$8))</f>
        <v/>
      </c>
      <c r="V56" t="str">
        <f ca="1">IFERROR(((AVERAGEIFS(Documentacion!$C$2:$C$1000,Documentacion!$A$2:$A$1000,$A56,Documentacion!$B$2:$B$1000,"&gt;="&amp;DATEVALUE($B56&amp;"-01"),Documentacion!$B$2:$B$1000,"&lt;="&amp;EOMONTH(DATEVALUE($B56&amp;"-01"),0)))-1)/4*100,"")</f>
        <v/>
      </c>
      <c r="W56" t="str">
        <f ca="1">IFERROR(((AVERAGEIFS(Feedback_360!$D$2:$D$1000,Feedback_360!$A$2:$A$1000,$A56,Feedback_360!$B$2:$B$1000,"&gt;="&amp;DATEVALUE($B56&amp;"-01"),Feedback_360!$B$2:$B$1000,"&lt;="&amp;EOMONTH(DATEVALUE($B56&amp;"-01"),0)))-1)/4*100,"")</f>
        <v/>
      </c>
      <c r="X56" t="str">
        <f ca="1">IFERROR(((AVERAGEIFS(Observacion_Directa!$D$2:$D$1000,Observacion_Directa!$A$2:$A$1000,$A56,Observacion_Directa!$B$2:$B$1000,"&gt;="&amp;DATEVALUE($B56&amp;"-01"),Observacion_Directa!$B$2:$B$1000,"&lt;="&amp;EOMONTH(DATEVALUE($B56&amp;"-01"),0)))-1)/4*100,"")</f>
        <v/>
      </c>
      <c r="Y56" t="e">
        <f t="shared" ca="1" si="1"/>
        <v>#DIV/0!</v>
      </c>
    </row>
    <row r="57" spans="12:25" x14ac:dyDescent="0.2">
      <c r="L57" t="str">
        <f t="shared" si="0"/>
        <v/>
      </c>
      <c r="M57" t="str">
        <f>IFERROR(AVERAGEIFS(Prod_5dias!$H$2:$H$1000,Prod_5dias!$A$2:$A$1000,$A57,Prod_5dias!$B$2:$B$1000,$B57),"")</f>
        <v/>
      </c>
      <c r="N57" t="str">
        <f>IF(M57="","",MIN(100,100*M57/Parametros!$B$7))</f>
        <v/>
      </c>
      <c r="O57" t="str">
        <f>IF(F57="","",IF(F57=0,100,MIN(100,100*Parametros!$B$3/F57)))</f>
        <v/>
      </c>
      <c r="P57" t="str">
        <f ca="1">IFERROR(((AVERAGEIFS(Observacion_Directa!$E$2:$E$1000,Observacion_Directa!$A$2:$A$1000,$A57,Observacion_Directa!$B$2:$B$1000,"&gt;="&amp;DATEVALUE($B57&amp;"-01"),Observacion_Directa!$B$2:$B$1000,"&lt;="&amp;EOMONTH(DATEVALUE($B57&amp;"-01"),0)))-1)/4*100,"")</f>
        <v/>
      </c>
      <c r="Q57" t="str">
        <f>IF(H57="","",MIN(100,100*H57/Parametros!$B$4))</f>
        <v/>
      </c>
      <c r="R57" t="str">
        <f>IF(I57="","",IF(I57=0,100,MIN(100,100*Parametros!$B$5/I57)))</f>
        <v/>
      </c>
      <c r="S57" t="str">
        <f>IF(J57="","",IF(J57=0,100,MIN(100,100*Parametros!$B$6/J57)))</f>
        <v/>
      </c>
      <c r="T57" t="str">
        <f>IF(L57="","",MIN(100,100*L57/Parametros!$B$7))</f>
        <v/>
      </c>
      <c r="U57" t="str">
        <f>IF(K57="","",MIN(100,100*K57/Parametros!$B$8))</f>
        <v/>
      </c>
      <c r="V57" t="str">
        <f ca="1">IFERROR(((AVERAGEIFS(Documentacion!$C$2:$C$1000,Documentacion!$A$2:$A$1000,$A57,Documentacion!$B$2:$B$1000,"&gt;="&amp;DATEVALUE($B57&amp;"-01"),Documentacion!$B$2:$B$1000,"&lt;="&amp;EOMONTH(DATEVALUE($B57&amp;"-01"),0)))-1)/4*100,"")</f>
        <v/>
      </c>
      <c r="W57" t="str">
        <f ca="1">IFERROR(((AVERAGEIFS(Feedback_360!$D$2:$D$1000,Feedback_360!$A$2:$A$1000,$A57,Feedback_360!$B$2:$B$1000,"&gt;="&amp;DATEVALUE($B57&amp;"-01"),Feedback_360!$B$2:$B$1000,"&lt;="&amp;EOMONTH(DATEVALUE($B57&amp;"-01"),0)))-1)/4*100,"")</f>
        <v/>
      </c>
      <c r="X57" t="str">
        <f ca="1">IFERROR(((AVERAGEIFS(Observacion_Directa!$D$2:$D$1000,Observacion_Directa!$A$2:$A$1000,$A57,Observacion_Directa!$B$2:$B$1000,"&gt;="&amp;DATEVALUE($B57&amp;"-01"),Observacion_Directa!$B$2:$B$1000,"&lt;="&amp;EOMONTH(DATEVALUE($B57&amp;"-01"),0)))-1)/4*100,"")</f>
        <v/>
      </c>
      <c r="Y57" t="e">
        <f t="shared" ca="1" si="1"/>
        <v>#DIV/0!</v>
      </c>
    </row>
    <row r="58" spans="12:25" x14ac:dyDescent="0.2">
      <c r="L58" t="str">
        <f t="shared" si="0"/>
        <v/>
      </c>
      <c r="M58" t="str">
        <f>IFERROR(AVERAGEIFS(Prod_5dias!$H$2:$H$1000,Prod_5dias!$A$2:$A$1000,$A58,Prod_5dias!$B$2:$B$1000,$B58),"")</f>
        <v/>
      </c>
      <c r="N58" t="str">
        <f>IF(M58="","",MIN(100,100*M58/Parametros!$B$7))</f>
        <v/>
      </c>
      <c r="O58" t="str">
        <f>IF(F58="","",IF(F58=0,100,MIN(100,100*Parametros!$B$3/F58)))</f>
        <v/>
      </c>
      <c r="P58" t="str">
        <f ca="1">IFERROR(((AVERAGEIFS(Observacion_Directa!$E$2:$E$1000,Observacion_Directa!$A$2:$A$1000,$A58,Observacion_Directa!$B$2:$B$1000,"&gt;="&amp;DATEVALUE($B58&amp;"-01"),Observacion_Directa!$B$2:$B$1000,"&lt;="&amp;EOMONTH(DATEVALUE($B58&amp;"-01"),0)))-1)/4*100,"")</f>
        <v/>
      </c>
      <c r="Q58" t="str">
        <f>IF(H58="","",MIN(100,100*H58/Parametros!$B$4))</f>
        <v/>
      </c>
      <c r="R58" t="str">
        <f>IF(I58="","",IF(I58=0,100,MIN(100,100*Parametros!$B$5/I58)))</f>
        <v/>
      </c>
      <c r="S58" t="str">
        <f>IF(J58="","",IF(J58=0,100,MIN(100,100*Parametros!$B$6/J58)))</f>
        <v/>
      </c>
      <c r="T58" t="str">
        <f>IF(L58="","",MIN(100,100*L58/Parametros!$B$7))</f>
        <v/>
      </c>
      <c r="U58" t="str">
        <f>IF(K58="","",MIN(100,100*K58/Parametros!$B$8))</f>
        <v/>
      </c>
      <c r="V58" t="str">
        <f ca="1">IFERROR(((AVERAGEIFS(Documentacion!$C$2:$C$1000,Documentacion!$A$2:$A$1000,$A58,Documentacion!$B$2:$B$1000,"&gt;="&amp;DATEVALUE($B58&amp;"-01"),Documentacion!$B$2:$B$1000,"&lt;="&amp;EOMONTH(DATEVALUE($B58&amp;"-01"),0)))-1)/4*100,"")</f>
        <v/>
      </c>
      <c r="W58" t="str">
        <f ca="1">IFERROR(((AVERAGEIFS(Feedback_360!$D$2:$D$1000,Feedback_360!$A$2:$A$1000,$A58,Feedback_360!$B$2:$B$1000,"&gt;="&amp;DATEVALUE($B58&amp;"-01"),Feedback_360!$B$2:$B$1000,"&lt;="&amp;EOMONTH(DATEVALUE($B58&amp;"-01"),0)))-1)/4*100,"")</f>
        <v/>
      </c>
      <c r="X58" t="str">
        <f ca="1">IFERROR(((AVERAGEIFS(Observacion_Directa!$D$2:$D$1000,Observacion_Directa!$A$2:$A$1000,$A58,Observacion_Directa!$B$2:$B$1000,"&gt;="&amp;DATEVALUE($B58&amp;"-01"),Observacion_Directa!$B$2:$B$1000,"&lt;="&amp;EOMONTH(DATEVALUE($B58&amp;"-01"),0)))-1)/4*100,"")</f>
        <v/>
      </c>
      <c r="Y58" t="e">
        <f t="shared" ca="1" si="1"/>
        <v>#DIV/0!</v>
      </c>
    </row>
    <row r="59" spans="12:25" x14ac:dyDescent="0.2">
      <c r="L59" t="str">
        <f t="shared" si="0"/>
        <v/>
      </c>
      <c r="M59" t="str">
        <f>IFERROR(AVERAGEIFS(Prod_5dias!$H$2:$H$1000,Prod_5dias!$A$2:$A$1000,$A59,Prod_5dias!$B$2:$B$1000,$B59),"")</f>
        <v/>
      </c>
      <c r="N59" t="str">
        <f>IF(M59="","",MIN(100,100*M59/Parametros!$B$7))</f>
        <v/>
      </c>
      <c r="O59" t="str">
        <f>IF(F59="","",IF(F59=0,100,MIN(100,100*Parametros!$B$3/F59)))</f>
        <v/>
      </c>
      <c r="P59" t="str">
        <f ca="1">IFERROR(((AVERAGEIFS(Observacion_Directa!$E$2:$E$1000,Observacion_Directa!$A$2:$A$1000,$A59,Observacion_Directa!$B$2:$B$1000,"&gt;="&amp;DATEVALUE($B59&amp;"-01"),Observacion_Directa!$B$2:$B$1000,"&lt;="&amp;EOMONTH(DATEVALUE($B59&amp;"-01"),0)))-1)/4*100,"")</f>
        <v/>
      </c>
      <c r="Q59" t="str">
        <f>IF(H59="","",MIN(100,100*H59/Parametros!$B$4))</f>
        <v/>
      </c>
      <c r="R59" t="str">
        <f>IF(I59="","",IF(I59=0,100,MIN(100,100*Parametros!$B$5/I59)))</f>
        <v/>
      </c>
      <c r="S59" t="str">
        <f>IF(J59="","",IF(J59=0,100,MIN(100,100*Parametros!$B$6/J59)))</f>
        <v/>
      </c>
      <c r="T59" t="str">
        <f>IF(L59="","",MIN(100,100*L59/Parametros!$B$7))</f>
        <v/>
      </c>
      <c r="U59" t="str">
        <f>IF(K59="","",MIN(100,100*K59/Parametros!$B$8))</f>
        <v/>
      </c>
      <c r="V59" t="str">
        <f ca="1">IFERROR(((AVERAGEIFS(Documentacion!$C$2:$C$1000,Documentacion!$A$2:$A$1000,$A59,Documentacion!$B$2:$B$1000,"&gt;="&amp;DATEVALUE($B59&amp;"-01"),Documentacion!$B$2:$B$1000,"&lt;="&amp;EOMONTH(DATEVALUE($B59&amp;"-01"),0)))-1)/4*100,"")</f>
        <v/>
      </c>
      <c r="W59" t="str">
        <f ca="1">IFERROR(((AVERAGEIFS(Feedback_360!$D$2:$D$1000,Feedback_360!$A$2:$A$1000,$A59,Feedback_360!$B$2:$B$1000,"&gt;="&amp;DATEVALUE($B59&amp;"-01"),Feedback_360!$B$2:$B$1000,"&lt;="&amp;EOMONTH(DATEVALUE($B59&amp;"-01"),0)))-1)/4*100,"")</f>
        <v/>
      </c>
      <c r="X59" t="str">
        <f ca="1">IFERROR(((AVERAGEIFS(Observacion_Directa!$D$2:$D$1000,Observacion_Directa!$A$2:$A$1000,$A59,Observacion_Directa!$B$2:$B$1000,"&gt;="&amp;DATEVALUE($B59&amp;"-01"),Observacion_Directa!$B$2:$B$1000,"&lt;="&amp;EOMONTH(DATEVALUE($B59&amp;"-01"),0)))-1)/4*100,"")</f>
        <v/>
      </c>
      <c r="Y59" t="e">
        <f t="shared" ca="1" si="1"/>
        <v>#DIV/0!</v>
      </c>
    </row>
    <row r="60" spans="12:25" x14ac:dyDescent="0.2">
      <c r="L60" t="str">
        <f t="shared" si="0"/>
        <v/>
      </c>
      <c r="M60" t="str">
        <f>IFERROR(AVERAGEIFS(Prod_5dias!$H$2:$H$1000,Prod_5dias!$A$2:$A$1000,$A60,Prod_5dias!$B$2:$B$1000,$B60),"")</f>
        <v/>
      </c>
      <c r="N60" t="str">
        <f>IF(M60="","",MIN(100,100*M60/Parametros!$B$7))</f>
        <v/>
      </c>
      <c r="O60" t="str">
        <f>IF(F60="","",IF(F60=0,100,MIN(100,100*Parametros!$B$3/F60)))</f>
        <v/>
      </c>
      <c r="P60" t="str">
        <f ca="1">IFERROR(((AVERAGEIFS(Observacion_Directa!$E$2:$E$1000,Observacion_Directa!$A$2:$A$1000,$A60,Observacion_Directa!$B$2:$B$1000,"&gt;="&amp;DATEVALUE($B60&amp;"-01"),Observacion_Directa!$B$2:$B$1000,"&lt;="&amp;EOMONTH(DATEVALUE($B60&amp;"-01"),0)))-1)/4*100,"")</f>
        <v/>
      </c>
      <c r="Q60" t="str">
        <f>IF(H60="","",MIN(100,100*H60/Parametros!$B$4))</f>
        <v/>
      </c>
      <c r="R60" t="str">
        <f>IF(I60="","",IF(I60=0,100,MIN(100,100*Parametros!$B$5/I60)))</f>
        <v/>
      </c>
      <c r="S60" t="str">
        <f>IF(J60="","",IF(J60=0,100,MIN(100,100*Parametros!$B$6/J60)))</f>
        <v/>
      </c>
      <c r="T60" t="str">
        <f>IF(L60="","",MIN(100,100*L60/Parametros!$B$7))</f>
        <v/>
      </c>
      <c r="U60" t="str">
        <f>IF(K60="","",MIN(100,100*K60/Parametros!$B$8))</f>
        <v/>
      </c>
      <c r="V60" t="str">
        <f ca="1">IFERROR(((AVERAGEIFS(Documentacion!$C$2:$C$1000,Documentacion!$A$2:$A$1000,$A60,Documentacion!$B$2:$B$1000,"&gt;="&amp;DATEVALUE($B60&amp;"-01"),Documentacion!$B$2:$B$1000,"&lt;="&amp;EOMONTH(DATEVALUE($B60&amp;"-01"),0)))-1)/4*100,"")</f>
        <v/>
      </c>
      <c r="W60" t="str">
        <f ca="1">IFERROR(((AVERAGEIFS(Feedback_360!$D$2:$D$1000,Feedback_360!$A$2:$A$1000,$A60,Feedback_360!$B$2:$B$1000,"&gt;="&amp;DATEVALUE($B60&amp;"-01"),Feedback_360!$B$2:$B$1000,"&lt;="&amp;EOMONTH(DATEVALUE($B60&amp;"-01"),0)))-1)/4*100,"")</f>
        <v/>
      </c>
      <c r="X60" t="str">
        <f ca="1">IFERROR(((AVERAGEIFS(Observacion_Directa!$D$2:$D$1000,Observacion_Directa!$A$2:$A$1000,$A60,Observacion_Directa!$B$2:$B$1000,"&gt;="&amp;DATEVALUE($B60&amp;"-01"),Observacion_Directa!$B$2:$B$1000,"&lt;="&amp;EOMONTH(DATEVALUE($B60&amp;"-01"),0)))-1)/4*100,"")</f>
        <v/>
      </c>
      <c r="Y60" t="e">
        <f t="shared" ca="1" si="1"/>
        <v>#DIV/0!</v>
      </c>
    </row>
    <row r="61" spans="12:25" x14ac:dyDescent="0.2">
      <c r="L61" t="str">
        <f t="shared" si="0"/>
        <v/>
      </c>
      <c r="M61" t="str">
        <f>IFERROR(AVERAGEIFS(Prod_5dias!$H$2:$H$1000,Prod_5dias!$A$2:$A$1000,$A61,Prod_5dias!$B$2:$B$1000,$B61),"")</f>
        <v/>
      </c>
      <c r="N61" t="str">
        <f>IF(M61="","",MIN(100,100*M61/Parametros!$B$7))</f>
        <v/>
      </c>
      <c r="O61" t="str">
        <f>IF(F61="","",IF(F61=0,100,MIN(100,100*Parametros!$B$3/F61)))</f>
        <v/>
      </c>
      <c r="P61" t="str">
        <f ca="1">IFERROR(((AVERAGEIFS(Observacion_Directa!$E$2:$E$1000,Observacion_Directa!$A$2:$A$1000,$A61,Observacion_Directa!$B$2:$B$1000,"&gt;="&amp;DATEVALUE($B61&amp;"-01"),Observacion_Directa!$B$2:$B$1000,"&lt;="&amp;EOMONTH(DATEVALUE($B61&amp;"-01"),0)))-1)/4*100,"")</f>
        <v/>
      </c>
      <c r="Q61" t="str">
        <f>IF(H61="","",MIN(100,100*H61/Parametros!$B$4))</f>
        <v/>
      </c>
      <c r="R61" t="str">
        <f>IF(I61="","",IF(I61=0,100,MIN(100,100*Parametros!$B$5/I61)))</f>
        <v/>
      </c>
      <c r="S61" t="str">
        <f>IF(J61="","",IF(J61=0,100,MIN(100,100*Parametros!$B$6/J61)))</f>
        <v/>
      </c>
      <c r="T61" t="str">
        <f>IF(L61="","",MIN(100,100*L61/Parametros!$B$7))</f>
        <v/>
      </c>
      <c r="U61" t="str">
        <f>IF(K61="","",MIN(100,100*K61/Parametros!$B$8))</f>
        <v/>
      </c>
      <c r="V61" t="str">
        <f ca="1">IFERROR(((AVERAGEIFS(Documentacion!$C$2:$C$1000,Documentacion!$A$2:$A$1000,$A61,Documentacion!$B$2:$B$1000,"&gt;="&amp;DATEVALUE($B61&amp;"-01"),Documentacion!$B$2:$B$1000,"&lt;="&amp;EOMONTH(DATEVALUE($B61&amp;"-01"),0)))-1)/4*100,"")</f>
        <v/>
      </c>
      <c r="W61" t="str">
        <f ca="1">IFERROR(((AVERAGEIFS(Feedback_360!$D$2:$D$1000,Feedback_360!$A$2:$A$1000,$A61,Feedback_360!$B$2:$B$1000,"&gt;="&amp;DATEVALUE($B61&amp;"-01"),Feedback_360!$B$2:$B$1000,"&lt;="&amp;EOMONTH(DATEVALUE($B61&amp;"-01"),0)))-1)/4*100,"")</f>
        <v/>
      </c>
      <c r="X61" t="str">
        <f ca="1">IFERROR(((AVERAGEIFS(Observacion_Directa!$D$2:$D$1000,Observacion_Directa!$A$2:$A$1000,$A61,Observacion_Directa!$B$2:$B$1000,"&gt;="&amp;DATEVALUE($B61&amp;"-01"),Observacion_Directa!$B$2:$B$1000,"&lt;="&amp;EOMONTH(DATEVALUE($B61&amp;"-01"),0)))-1)/4*100,"")</f>
        <v/>
      </c>
      <c r="Y61" t="e">
        <f t="shared" ca="1" si="1"/>
        <v>#DIV/0!</v>
      </c>
    </row>
    <row r="62" spans="12:25" x14ac:dyDescent="0.2">
      <c r="L62" t="str">
        <f t="shared" si="0"/>
        <v/>
      </c>
      <c r="M62" t="str">
        <f>IFERROR(AVERAGEIFS(Prod_5dias!$H$2:$H$1000,Prod_5dias!$A$2:$A$1000,$A62,Prod_5dias!$B$2:$B$1000,$B62),"")</f>
        <v/>
      </c>
      <c r="N62" t="str">
        <f>IF(M62="","",MIN(100,100*M62/Parametros!$B$7))</f>
        <v/>
      </c>
      <c r="O62" t="str">
        <f>IF(F62="","",IF(F62=0,100,MIN(100,100*Parametros!$B$3/F62)))</f>
        <v/>
      </c>
      <c r="P62" t="str">
        <f ca="1">IFERROR(((AVERAGEIFS(Observacion_Directa!$E$2:$E$1000,Observacion_Directa!$A$2:$A$1000,$A62,Observacion_Directa!$B$2:$B$1000,"&gt;="&amp;DATEVALUE($B62&amp;"-01"),Observacion_Directa!$B$2:$B$1000,"&lt;="&amp;EOMONTH(DATEVALUE($B62&amp;"-01"),0)))-1)/4*100,"")</f>
        <v/>
      </c>
      <c r="Q62" t="str">
        <f>IF(H62="","",MIN(100,100*H62/Parametros!$B$4))</f>
        <v/>
      </c>
      <c r="R62" t="str">
        <f>IF(I62="","",IF(I62=0,100,MIN(100,100*Parametros!$B$5/I62)))</f>
        <v/>
      </c>
      <c r="S62" t="str">
        <f>IF(J62="","",IF(J62=0,100,MIN(100,100*Parametros!$B$6/J62)))</f>
        <v/>
      </c>
      <c r="T62" t="str">
        <f>IF(L62="","",MIN(100,100*L62/Parametros!$B$7))</f>
        <v/>
      </c>
      <c r="U62" t="str">
        <f>IF(K62="","",MIN(100,100*K62/Parametros!$B$8))</f>
        <v/>
      </c>
      <c r="V62" t="str">
        <f ca="1">IFERROR(((AVERAGEIFS(Documentacion!$C$2:$C$1000,Documentacion!$A$2:$A$1000,$A62,Documentacion!$B$2:$B$1000,"&gt;="&amp;DATEVALUE($B62&amp;"-01"),Documentacion!$B$2:$B$1000,"&lt;="&amp;EOMONTH(DATEVALUE($B62&amp;"-01"),0)))-1)/4*100,"")</f>
        <v/>
      </c>
      <c r="W62" t="str">
        <f ca="1">IFERROR(((AVERAGEIFS(Feedback_360!$D$2:$D$1000,Feedback_360!$A$2:$A$1000,$A62,Feedback_360!$B$2:$B$1000,"&gt;="&amp;DATEVALUE($B62&amp;"-01"),Feedback_360!$B$2:$B$1000,"&lt;="&amp;EOMONTH(DATEVALUE($B62&amp;"-01"),0)))-1)/4*100,"")</f>
        <v/>
      </c>
      <c r="X62" t="str">
        <f ca="1">IFERROR(((AVERAGEIFS(Observacion_Directa!$D$2:$D$1000,Observacion_Directa!$A$2:$A$1000,$A62,Observacion_Directa!$B$2:$B$1000,"&gt;="&amp;DATEVALUE($B62&amp;"-01"),Observacion_Directa!$B$2:$B$1000,"&lt;="&amp;EOMONTH(DATEVALUE($B62&amp;"-01"),0)))-1)/4*100,"")</f>
        <v/>
      </c>
      <c r="Y62" t="e">
        <f t="shared" ca="1" si="1"/>
        <v>#DIV/0!</v>
      </c>
    </row>
    <row r="63" spans="12:25" x14ac:dyDescent="0.2">
      <c r="L63" t="str">
        <f t="shared" si="0"/>
        <v/>
      </c>
      <c r="M63" t="str">
        <f>IFERROR(AVERAGEIFS(Prod_5dias!$H$2:$H$1000,Prod_5dias!$A$2:$A$1000,$A63,Prod_5dias!$B$2:$B$1000,$B63),"")</f>
        <v/>
      </c>
      <c r="N63" t="str">
        <f>IF(M63="","",MIN(100,100*M63/Parametros!$B$7))</f>
        <v/>
      </c>
      <c r="O63" t="str">
        <f>IF(F63="","",IF(F63=0,100,MIN(100,100*Parametros!$B$3/F63)))</f>
        <v/>
      </c>
      <c r="P63" t="str">
        <f ca="1">IFERROR(((AVERAGEIFS(Observacion_Directa!$E$2:$E$1000,Observacion_Directa!$A$2:$A$1000,$A63,Observacion_Directa!$B$2:$B$1000,"&gt;="&amp;DATEVALUE($B63&amp;"-01"),Observacion_Directa!$B$2:$B$1000,"&lt;="&amp;EOMONTH(DATEVALUE($B63&amp;"-01"),0)))-1)/4*100,"")</f>
        <v/>
      </c>
      <c r="Q63" t="str">
        <f>IF(H63="","",MIN(100,100*H63/Parametros!$B$4))</f>
        <v/>
      </c>
      <c r="R63" t="str">
        <f>IF(I63="","",IF(I63=0,100,MIN(100,100*Parametros!$B$5/I63)))</f>
        <v/>
      </c>
      <c r="S63" t="str">
        <f>IF(J63="","",IF(J63=0,100,MIN(100,100*Parametros!$B$6/J63)))</f>
        <v/>
      </c>
      <c r="T63" t="str">
        <f>IF(L63="","",MIN(100,100*L63/Parametros!$B$7))</f>
        <v/>
      </c>
      <c r="U63" t="str">
        <f>IF(K63="","",MIN(100,100*K63/Parametros!$B$8))</f>
        <v/>
      </c>
      <c r="V63" t="str">
        <f ca="1">IFERROR(((AVERAGEIFS(Documentacion!$C$2:$C$1000,Documentacion!$A$2:$A$1000,$A63,Documentacion!$B$2:$B$1000,"&gt;="&amp;DATEVALUE($B63&amp;"-01"),Documentacion!$B$2:$B$1000,"&lt;="&amp;EOMONTH(DATEVALUE($B63&amp;"-01"),0)))-1)/4*100,"")</f>
        <v/>
      </c>
      <c r="W63" t="str">
        <f ca="1">IFERROR(((AVERAGEIFS(Feedback_360!$D$2:$D$1000,Feedback_360!$A$2:$A$1000,$A63,Feedback_360!$B$2:$B$1000,"&gt;="&amp;DATEVALUE($B63&amp;"-01"),Feedback_360!$B$2:$B$1000,"&lt;="&amp;EOMONTH(DATEVALUE($B63&amp;"-01"),0)))-1)/4*100,"")</f>
        <v/>
      </c>
      <c r="X63" t="str">
        <f ca="1">IFERROR(((AVERAGEIFS(Observacion_Directa!$D$2:$D$1000,Observacion_Directa!$A$2:$A$1000,$A63,Observacion_Directa!$B$2:$B$1000,"&gt;="&amp;DATEVALUE($B63&amp;"-01"),Observacion_Directa!$B$2:$B$1000,"&lt;="&amp;EOMONTH(DATEVALUE($B63&amp;"-01"),0)))-1)/4*100,"")</f>
        <v/>
      </c>
      <c r="Y63" t="e">
        <f t="shared" ca="1" si="1"/>
        <v>#DIV/0!</v>
      </c>
    </row>
    <row r="64" spans="12:25" x14ac:dyDescent="0.2">
      <c r="L64" t="str">
        <f t="shared" si="0"/>
        <v/>
      </c>
      <c r="M64" t="str">
        <f>IFERROR(AVERAGEIFS(Prod_5dias!$H$2:$H$1000,Prod_5dias!$A$2:$A$1000,$A64,Prod_5dias!$B$2:$B$1000,$B64),"")</f>
        <v/>
      </c>
      <c r="N64" t="str">
        <f>IF(M64="","",MIN(100,100*M64/Parametros!$B$7))</f>
        <v/>
      </c>
      <c r="O64" t="str">
        <f>IF(F64="","",IF(F64=0,100,MIN(100,100*Parametros!$B$3/F64)))</f>
        <v/>
      </c>
      <c r="P64" t="str">
        <f ca="1">IFERROR(((AVERAGEIFS(Observacion_Directa!$E$2:$E$1000,Observacion_Directa!$A$2:$A$1000,$A64,Observacion_Directa!$B$2:$B$1000,"&gt;="&amp;DATEVALUE($B64&amp;"-01"),Observacion_Directa!$B$2:$B$1000,"&lt;="&amp;EOMONTH(DATEVALUE($B64&amp;"-01"),0)))-1)/4*100,"")</f>
        <v/>
      </c>
      <c r="Q64" t="str">
        <f>IF(H64="","",MIN(100,100*H64/Parametros!$B$4))</f>
        <v/>
      </c>
      <c r="R64" t="str">
        <f>IF(I64="","",IF(I64=0,100,MIN(100,100*Parametros!$B$5/I64)))</f>
        <v/>
      </c>
      <c r="S64" t="str">
        <f>IF(J64="","",IF(J64=0,100,MIN(100,100*Parametros!$B$6/J64)))</f>
        <v/>
      </c>
      <c r="T64" t="str">
        <f>IF(L64="","",MIN(100,100*L64/Parametros!$B$7))</f>
        <v/>
      </c>
      <c r="U64" t="str">
        <f>IF(K64="","",MIN(100,100*K64/Parametros!$B$8))</f>
        <v/>
      </c>
      <c r="V64" t="str">
        <f ca="1">IFERROR(((AVERAGEIFS(Documentacion!$C$2:$C$1000,Documentacion!$A$2:$A$1000,$A64,Documentacion!$B$2:$B$1000,"&gt;="&amp;DATEVALUE($B64&amp;"-01"),Documentacion!$B$2:$B$1000,"&lt;="&amp;EOMONTH(DATEVALUE($B64&amp;"-01"),0)))-1)/4*100,"")</f>
        <v/>
      </c>
      <c r="W64" t="str">
        <f ca="1">IFERROR(((AVERAGEIFS(Feedback_360!$D$2:$D$1000,Feedback_360!$A$2:$A$1000,$A64,Feedback_360!$B$2:$B$1000,"&gt;="&amp;DATEVALUE($B64&amp;"-01"),Feedback_360!$B$2:$B$1000,"&lt;="&amp;EOMONTH(DATEVALUE($B64&amp;"-01"),0)))-1)/4*100,"")</f>
        <v/>
      </c>
      <c r="X64" t="str">
        <f ca="1">IFERROR(((AVERAGEIFS(Observacion_Directa!$D$2:$D$1000,Observacion_Directa!$A$2:$A$1000,$A64,Observacion_Directa!$B$2:$B$1000,"&gt;="&amp;DATEVALUE($B64&amp;"-01"),Observacion_Directa!$B$2:$B$1000,"&lt;="&amp;EOMONTH(DATEVALUE($B64&amp;"-01"),0)))-1)/4*100,"")</f>
        <v/>
      </c>
      <c r="Y64" t="e">
        <f t="shared" ca="1" si="1"/>
        <v>#DIV/0!</v>
      </c>
    </row>
    <row r="65" spans="12:25" x14ac:dyDescent="0.2">
      <c r="L65" t="str">
        <f t="shared" si="0"/>
        <v/>
      </c>
      <c r="M65" t="str">
        <f>IFERROR(AVERAGEIFS(Prod_5dias!$H$2:$H$1000,Prod_5dias!$A$2:$A$1000,$A65,Prod_5dias!$B$2:$B$1000,$B65),"")</f>
        <v/>
      </c>
      <c r="N65" t="str">
        <f>IF(M65="","",MIN(100,100*M65/Parametros!$B$7))</f>
        <v/>
      </c>
      <c r="O65" t="str">
        <f>IF(F65="","",IF(F65=0,100,MIN(100,100*Parametros!$B$3/F65)))</f>
        <v/>
      </c>
      <c r="P65" t="str">
        <f ca="1">IFERROR(((AVERAGEIFS(Observacion_Directa!$E$2:$E$1000,Observacion_Directa!$A$2:$A$1000,$A65,Observacion_Directa!$B$2:$B$1000,"&gt;="&amp;DATEVALUE($B65&amp;"-01"),Observacion_Directa!$B$2:$B$1000,"&lt;="&amp;EOMONTH(DATEVALUE($B65&amp;"-01"),0)))-1)/4*100,"")</f>
        <v/>
      </c>
      <c r="Q65" t="str">
        <f>IF(H65="","",MIN(100,100*H65/Parametros!$B$4))</f>
        <v/>
      </c>
      <c r="R65" t="str">
        <f>IF(I65="","",IF(I65=0,100,MIN(100,100*Parametros!$B$5/I65)))</f>
        <v/>
      </c>
      <c r="S65" t="str">
        <f>IF(J65="","",IF(J65=0,100,MIN(100,100*Parametros!$B$6/J65)))</f>
        <v/>
      </c>
      <c r="T65" t="str">
        <f>IF(L65="","",MIN(100,100*L65/Parametros!$B$7))</f>
        <v/>
      </c>
      <c r="U65" t="str">
        <f>IF(K65="","",MIN(100,100*K65/Parametros!$B$8))</f>
        <v/>
      </c>
      <c r="V65" t="str">
        <f ca="1">IFERROR(((AVERAGEIFS(Documentacion!$C$2:$C$1000,Documentacion!$A$2:$A$1000,$A65,Documentacion!$B$2:$B$1000,"&gt;="&amp;DATEVALUE($B65&amp;"-01"),Documentacion!$B$2:$B$1000,"&lt;="&amp;EOMONTH(DATEVALUE($B65&amp;"-01"),0)))-1)/4*100,"")</f>
        <v/>
      </c>
      <c r="W65" t="str">
        <f ca="1">IFERROR(((AVERAGEIFS(Feedback_360!$D$2:$D$1000,Feedback_360!$A$2:$A$1000,$A65,Feedback_360!$B$2:$B$1000,"&gt;="&amp;DATEVALUE($B65&amp;"-01"),Feedback_360!$B$2:$B$1000,"&lt;="&amp;EOMONTH(DATEVALUE($B65&amp;"-01"),0)))-1)/4*100,"")</f>
        <v/>
      </c>
      <c r="X65" t="str">
        <f ca="1">IFERROR(((AVERAGEIFS(Observacion_Directa!$D$2:$D$1000,Observacion_Directa!$A$2:$A$1000,$A65,Observacion_Directa!$B$2:$B$1000,"&gt;="&amp;DATEVALUE($B65&amp;"-01"),Observacion_Directa!$B$2:$B$1000,"&lt;="&amp;EOMONTH(DATEVALUE($B65&amp;"-01"),0)))-1)/4*100,"")</f>
        <v/>
      </c>
      <c r="Y65" t="e">
        <f t="shared" ca="1" si="1"/>
        <v>#DIV/0!</v>
      </c>
    </row>
    <row r="66" spans="12:25" x14ac:dyDescent="0.2">
      <c r="L66" t="str">
        <f t="shared" ref="L66:L129" si="2">IF(OR(C66="",D66=""),"",C66/D66)</f>
        <v/>
      </c>
      <c r="M66" t="str">
        <f>IFERROR(AVERAGEIFS(Prod_5dias!$H$2:$H$1000,Prod_5dias!$A$2:$A$1000,$A66,Prod_5dias!$B$2:$B$1000,$B66),"")</f>
        <v/>
      </c>
      <c r="N66" t="str">
        <f>IF(M66="","",MIN(100,100*M66/Parametros!$B$7))</f>
        <v/>
      </c>
      <c r="O66" t="str">
        <f>IF(F66="","",IF(F66=0,100,MIN(100,100*Parametros!$B$3/F66)))</f>
        <v/>
      </c>
      <c r="P66" t="str">
        <f ca="1">IFERROR(((AVERAGEIFS(Observacion_Directa!$E$2:$E$1000,Observacion_Directa!$A$2:$A$1000,$A66,Observacion_Directa!$B$2:$B$1000,"&gt;="&amp;DATEVALUE($B66&amp;"-01"),Observacion_Directa!$B$2:$B$1000,"&lt;="&amp;EOMONTH(DATEVALUE($B66&amp;"-01"),0)))-1)/4*100,"")</f>
        <v/>
      </c>
      <c r="Q66" t="str">
        <f>IF(H66="","",MIN(100,100*H66/Parametros!$B$4))</f>
        <v/>
      </c>
      <c r="R66" t="str">
        <f>IF(I66="","",IF(I66=0,100,MIN(100,100*Parametros!$B$5/I66)))</f>
        <v/>
      </c>
      <c r="S66" t="str">
        <f>IF(J66="","",IF(J66=0,100,MIN(100,100*Parametros!$B$6/J66)))</f>
        <v/>
      </c>
      <c r="T66" t="str">
        <f>IF(L66="","",MIN(100,100*L66/Parametros!$B$7))</f>
        <v/>
      </c>
      <c r="U66" t="str">
        <f>IF(K66="","",MIN(100,100*K66/Parametros!$B$8))</f>
        <v/>
      </c>
      <c r="V66" t="str">
        <f ca="1">IFERROR(((AVERAGEIFS(Documentacion!$C$2:$C$1000,Documentacion!$A$2:$A$1000,$A66,Documentacion!$B$2:$B$1000,"&gt;="&amp;DATEVALUE($B66&amp;"-01"),Documentacion!$B$2:$B$1000,"&lt;="&amp;EOMONTH(DATEVALUE($B66&amp;"-01"),0)))-1)/4*100,"")</f>
        <v/>
      </c>
      <c r="W66" t="str">
        <f ca="1">IFERROR(((AVERAGEIFS(Feedback_360!$D$2:$D$1000,Feedback_360!$A$2:$A$1000,$A66,Feedback_360!$B$2:$B$1000,"&gt;="&amp;DATEVALUE($B66&amp;"-01"),Feedback_360!$B$2:$B$1000,"&lt;="&amp;EOMONTH(DATEVALUE($B66&amp;"-01"),0)))-1)/4*100,"")</f>
        <v/>
      </c>
      <c r="X66" t="str">
        <f ca="1">IFERROR(((AVERAGEIFS(Observacion_Directa!$D$2:$D$1000,Observacion_Directa!$A$2:$A$1000,$A66,Observacion_Directa!$B$2:$B$1000,"&gt;="&amp;DATEVALUE($B66&amp;"-01"),Observacion_Directa!$B$2:$B$1000,"&lt;="&amp;EOMONTH(DATEVALUE($B66&amp;"-01"),0)))-1)/4*100,"")</f>
        <v/>
      </c>
      <c r="Y66" t="e">
        <f t="shared" ref="Y66:Y129" ca="1" si="3">IF(COUNTA(N66:X66)=0,"",AVERAGE(N66:X66))</f>
        <v>#DIV/0!</v>
      </c>
    </row>
    <row r="67" spans="12:25" x14ac:dyDescent="0.2">
      <c r="L67" t="str">
        <f t="shared" si="2"/>
        <v/>
      </c>
      <c r="M67" t="str">
        <f>IFERROR(AVERAGEIFS(Prod_5dias!$H$2:$H$1000,Prod_5dias!$A$2:$A$1000,$A67,Prod_5dias!$B$2:$B$1000,$B67),"")</f>
        <v/>
      </c>
      <c r="N67" t="str">
        <f>IF(M67="","",MIN(100,100*M67/Parametros!$B$7))</f>
        <v/>
      </c>
      <c r="O67" t="str">
        <f>IF(F67="","",IF(F67=0,100,MIN(100,100*Parametros!$B$3/F67)))</f>
        <v/>
      </c>
      <c r="P67" t="str">
        <f ca="1">IFERROR(((AVERAGEIFS(Observacion_Directa!$E$2:$E$1000,Observacion_Directa!$A$2:$A$1000,$A67,Observacion_Directa!$B$2:$B$1000,"&gt;="&amp;DATEVALUE($B67&amp;"-01"),Observacion_Directa!$B$2:$B$1000,"&lt;="&amp;EOMONTH(DATEVALUE($B67&amp;"-01"),0)))-1)/4*100,"")</f>
        <v/>
      </c>
      <c r="Q67" t="str">
        <f>IF(H67="","",MIN(100,100*H67/Parametros!$B$4))</f>
        <v/>
      </c>
      <c r="R67" t="str">
        <f>IF(I67="","",IF(I67=0,100,MIN(100,100*Parametros!$B$5/I67)))</f>
        <v/>
      </c>
      <c r="S67" t="str">
        <f>IF(J67="","",IF(J67=0,100,MIN(100,100*Parametros!$B$6/J67)))</f>
        <v/>
      </c>
      <c r="T67" t="str">
        <f>IF(L67="","",MIN(100,100*L67/Parametros!$B$7))</f>
        <v/>
      </c>
      <c r="U67" t="str">
        <f>IF(K67="","",MIN(100,100*K67/Parametros!$B$8))</f>
        <v/>
      </c>
      <c r="V67" t="str">
        <f ca="1">IFERROR(((AVERAGEIFS(Documentacion!$C$2:$C$1000,Documentacion!$A$2:$A$1000,$A67,Documentacion!$B$2:$B$1000,"&gt;="&amp;DATEVALUE($B67&amp;"-01"),Documentacion!$B$2:$B$1000,"&lt;="&amp;EOMONTH(DATEVALUE($B67&amp;"-01"),0)))-1)/4*100,"")</f>
        <v/>
      </c>
      <c r="W67" t="str">
        <f ca="1">IFERROR(((AVERAGEIFS(Feedback_360!$D$2:$D$1000,Feedback_360!$A$2:$A$1000,$A67,Feedback_360!$B$2:$B$1000,"&gt;="&amp;DATEVALUE($B67&amp;"-01"),Feedback_360!$B$2:$B$1000,"&lt;="&amp;EOMONTH(DATEVALUE($B67&amp;"-01"),0)))-1)/4*100,"")</f>
        <v/>
      </c>
      <c r="X67" t="str">
        <f ca="1">IFERROR(((AVERAGEIFS(Observacion_Directa!$D$2:$D$1000,Observacion_Directa!$A$2:$A$1000,$A67,Observacion_Directa!$B$2:$B$1000,"&gt;="&amp;DATEVALUE($B67&amp;"-01"),Observacion_Directa!$B$2:$B$1000,"&lt;="&amp;EOMONTH(DATEVALUE($B67&amp;"-01"),0)))-1)/4*100,"")</f>
        <v/>
      </c>
      <c r="Y67" t="e">
        <f t="shared" ca="1" si="3"/>
        <v>#DIV/0!</v>
      </c>
    </row>
    <row r="68" spans="12:25" x14ac:dyDescent="0.2">
      <c r="L68" t="str">
        <f t="shared" si="2"/>
        <v/>
      </c>
      <c r="M68" t="str">
        <f>IFERROR(AVERAGEIFS(Prod_5dias!$H$2:$H$1000,Prod_5dias!$A$2:$A$1000,$A68,Prod_5dias!$B$2:$B$1000,$B68),"")</f>
        <v/>
      </c>
      <c r="N68" t="str">
        <f>IF(M68="","",MIN(100,100*M68/Parametros!$B$7))</f>
        <v/>
      </c>
      <c r="O68" t="str">
        <f>IF(F68="","",IF(F68=0,100,MIN(100,100*Parametros!$B$3/F68)))</f>
        <v/>
      </c>
      <c r="P68" t="str">
        <f ca="1">IFERROR(((AVERAGEIFS(Observacion_Directa!$E$2:$E$1000,Observacion_Directa!$A$2:$A$1000,$A68,Observacion_Directa!$B$2:$B$1000,"&gt;="&amp;DATEVALUE($B68&amp;"-01"),Observacion_Directa!$B$2:$B$1000,"&lt;="&amp;EOMONTH(DATEVALUE($B68&amp;"-01"),0)))-1)/4*100,"")</f>
        <v/>
      </c>
      <c r="Q68" t="str">
        <f>IF(H68="","",MIN(100,100*H68/Parametros!$B$4))</f>
        <v/>
      </c>
      <c r="R68" t="str">
        <f>IF(I68="","",IF(I68=0,100,MIN(100,100*Parametros!$B$5/I68)))</f>
        <v/>
      </c>
      <c r="S68" t="str">
        <f>IF(J68="","",IF(J68=0,100,MIN(100,100*Parametros!$B$6/J68)))</f>
        <v/>
      </c>
      <c r="T68" t="str">
        <f>IF(L68="","",MIN(100,100*L68/Parametros!$B$7))</f>
        <v/>
      </c>
      <c r="U68" t="str">
        <f>IF(K68="","",MIN(100,100*K68/Parametros!$B$8))</f>
        <v/>
      </c>
      <c r="V68" t="str">
        <f ca="1">IFERROR(((AVERAGEIFS(Documentacion!$C$2:$C$1000,Documentacion!$A$2:$A$1000,$A68,Documentacion!$B$2:$B$1000,"&gt;="&amp;DATEVALUE($B68&amp;"-01"),Documentacion!$B$2:$B$1000,"&lt;="&amp;EOMONTH(DATEVALUE($B68&amp;"-01"),0)))-1)/4*100,"")</f>
        <v/>
      </c>
      <c r="W68" t="str">
        <f ca="1">IFERROR(((AVERAGEIFS(Feedback_360!$D$2:$D$1000,Feedback_360!$A$2:$A$1000,$A68,Feedback_360!$B$2:$B$1000,"&gt;="&amp;DATEVALUE($B68&amp;"-01"),Feedback_360!$B$2:$B$1000,"&lt;="&amp;EOMONTH(DATEVALUE($B68&amp;"-01"),0)))-1)/4*100,"")</f>
        <v/>
      </c>
      <c r="X68" t="str">
        <f ca="1">IFERROR(((AVERAGEIFS(Observacion_Directa!$D$2:$D$1000,Observacion_Directa!$A$2:$A$1000,$A68,Observacion_Directa!$B$2:$B$1000,"&gt;="&amp;DATEVALUE($B68&amp;"-01"),Observacion_Directa!$B$2:$B$1000,"&lt;="&amp;EOMONTH(DATEVALUE($B68&amp;"-01"),0)))-1)/4*100,"")</f>
        <v/>
      </c>
      <c r="Y68" t="e">
        <f t="shared" ca="1" si="3"/>
        <v>#DIV/0!</v>
      </c>
    </row>
    <row r="69" spans="12:25" x14ac:dyDescent="0.2">
      <c r="L69" t="str">
        <f t="shared" si="2"/>
        <v/>
      </c>
      <c r="M69" t="str">
        <f>IFERROR(AVERAGEIFS(Prod_5dias!$H$2:$H$1000,Prod_5dias!$A$2:$A$1000,$A69,Prod_5dias!$B$2:$B$1000,$B69),"")</f>
        <v/>
      </c>
      <c r="N69" t="str">
        <f>IF(M69="","",MIN(100,100*M69/Parametros!$B$7))</f>
        <v/>
      </c>
      <c r="O69" t="str">
        <f>IF(F69="","",IF(F69=0,100,MIN(100,100*Parametros!$B$3/F69)))</f>
        <v/>
      </c>
      <c r="P69" t="str">
        <f ca="1">IFERROR(((AVERAGEIFS(Observacion_Directa!$E$2:$E$1000,Observacion_Directa!$A$2:$A$1000,$A69,Observacion_Directa!$B$2:$B$1000,"&gt;="&amp;DATEVALUE($B69&amp;"-01"),Observacion_Directa!$B$2:$B$1000,"&lt;="&amp;EOMONTH(DATEVALUE($B69&amp;"-01"),0)))-1)/4*100,"")</f>
        <v/>
      </c>
      <c r="Q69" t="str">
        <f>IF(H69="","",MIN(100,100*H69/Parametros!$B$4))</f>
        <v/>
      </c>
      <c r="R69" t="str">
        <f>IF(I69="","",IF(I69=0,100,MIN(100,100*Parametros!$B$5/I69)))</f>
        <v/>
      </c>
      <c r="S69" t="str">
        <f>IF(J69="","",IF(J69=0,100,MIN(100,100*Parametros!$B$6/J69)))</f>
        <v/>
      </c>
      <c r="T69" t="str">
        <f>IF(L69="","",MIN(100,100*L69/Parametros!$B$7))</f>
        <v/>
      </c>
      <c r="U69" t="str">
        <f>IF(K69="","",MIN(100,100*K69/Parametros!$B$8))</f>
        <v/>
      </c>
      <c r="V69" t="str">
        <f ca="1">IFERROR(((AVERAGEIFS(Documentacion!$C$2:$C$1000,Documentacion!$A$2:$A$1000,$A69,Documentacion!$B$2:$B$1000,"&gt;="&amp;DATEVALUE($B69&amp;"-01"),Documentacion!$B$2:$B$1000,"&lt;="&amp;EOMONTH(DATEVALUE($B69&amp;"-01"),0)))-1)/4*100,"")</f>
        <v/>
      </c>
      <c r="W69" t="str">
        <f ca="1">IFERROR(((AVERAGEIFS(Feedback_360!$D$2:$D$1000,Feedback_360!$A$2:$A$1000,$A69,Feedback_360!$B$2:$B$1000,"&gt;="&amp;DATEVALUE($B69&amp;"-01"),Feedback_360!$B$2:$B$1000,"&lt;="&amp;EOMONTH(DATEVALUE($B69&amp;"-01"),0)))-1)/4*100,"")</f>
        <v/>
      </c>
      <c r="X69" t="str">
        <f ca="1">IFERROR(((AVERAGEIFS(Observacion_Directa!$D$2:$D$1000,Observacion_Directa!$A$2:$A$1000,$A69,Observacion_Directa!$B$2:$B$1000,"&gt;="&amp;DATEVALUE($B69&amp;"-01"),Observacion_Directa!$B$2:$B$1000,"&lt;="&amp;EOMONTH(DATEVALUE($B69&amp;"-01"),0)))-1)/4*100,"")</f>
        <v/>
      </c>
      <c r="Y69" t="e">
        <f t="shared" ca="1" si="3"/>
        <v>#DIV/0!</v>
      </c>
    </row>
    <row r="70" spans="12:25" x14ac:dyDescent="0.2">
      <c r="L70" t="str">
        <f t="shared" si="2"/>
        <v/>
      </c>
      <c r="M70" t="str">
        <f>IFERROR(AVERAGEIFS(Prod_5dias!$H$2:$H$1000,Prod_5dias!$A$2:$A$1000,$A70,Prod_5dias!$B$2:$B$1000,$B70),"")</f>
        <v/>
      </c>
      <c r="N70" t="str">
        <f>IF(M70="","",MIN(100,100*M70/Parametros!$B$7))</f>
        <v/>
      </c>
      <c r="O70" t="str">
        <f>IF(F70="","",IF(F70=0,100,MIN(100,100*Parametros!$B$3/F70)))</f>
        <v/>
      </c>
      <c r="P70" t="str">
        <f ca="1">IFERROR(((AVERAGEIFS(Observacion_Directa!$E$2:$E$1000,Observacion_Directa!$A$2:$A$1000,$A70,Observacion_Directa!$B$2:$B$1000,"&gt;="&amp;DATEVALUE($B70&amp;"-01"),Observacion_Directa!$B$2:$B$1000,"&lt;="&amp;EOMONTH(DATEVALUE($B70&amp;"-01"),0)))-1)/4*100,"")</f>
        <v/>
      </c>
      <c r="Q70" t="str">
        <f>IF(H70="","",MIN(100,100*H70/Parametros!$B$4))</f>
        <v/>
      </c>
      <c r="R70" t="str">
        <f>IF(I70="","",IF(I70=0,100,MIN(100,100*Parametros!$B$5/I70)))</f>
        <v/>
      </c>
      <c r="S70" t="str">
        <f>IF(J70="","",IF(J70=0,100,MIN(100,100*Parametros!$B$6/J70)))</f>
        <v/>
      </c>
      <c r="T70" t="str">
        <f>IF(L70="","",MIN(100,100*L70/Parametros!$B$7))</f>
        <v/>
      </c>
      <c r="U70" t="str">
        <f>IF(K70="","",MIN(100,100*K70/Parametros!$B$8))</f>
        <v/>
      </c>
      <c r="V70" t="str">
        <f ca="1">IFERROR(((AVERAGEIFS(Documentacion!$C$2:$C$1000,Documentacion!$A$2:$A$1000,$A70,Documentacion!$B$2:$B$1000,"&gt;="&amp;DATEVALUE($B70&amp;"-01"),Documentacion!$B$2:$B$1000,"&lt;="&amp;EOMONTH(DATEVALUE($B70&amp;"-01"),0)))-1)/4*100,"")</f>
        <v/>
      </c>
      <c r="W70" t="str">
        <f ca="1">IFERROR(((AVERAGEIFS(Feedback_360!$D$2:$D$1000,Feedback_360!$A$2:$A$1000,$A70,Feedback_360!$B$2:$B$1000,"&gt;="&amp;DATEVALUE($B70&amp;"-01"),Feedback_360!$B$2:$B$1000,"&lt;="&amp;EOMONTH(DATEVALUE($B70&amp;"-01"),0)))-1)/4*100,"")</f>
        <v/>
      </c>
      <c r="X70" t="str">
        <f ca="1">IFERROR(((AVERAGEIFS(Observacion_Directa!$D$2:$D$1000,Observacion_Directa!$A$2:$A$1000,$A70,Observacion_Directa!$B$2:$B$1000,"&gt;="&amp;DATEVALUE($B70&amp;"-01"),Observacion_Directa!$B$2:$B$1000,"&lt;="&amp;EOMONTH(DATEVALUE($B70&amp;"-01"),0)))-1)/4*100,"")</f>
        <v/>
      </c>
      <c r="Y70" t="e">
        <f t="shared" ca="1" si="3"/>
        <v>#DIV/0!</v>
      </c>
    </row>
    <row r="71" spans="12:25" x14ac:dyDescent="0.2">
      <c r="L71" t="str">
        <f t="shared" si="2"/>
        <v/>
      </c>
      <c r="M71" t="str">
        <f>IFERROR(AVERAGEIFS(Prod_5dias!$H$2:$H$1000,Prod_5dias!$A$2:$A$1000,$A71,Prod_5dias!$B$2:$B$1000,$B71),"")</f>
        <v/>
      </c>
      <c r="N71" t="str">
        <f>IF(M71="","",MIN(100,100*M71/Parametros!$B$7))</f>
        <v/>
      </c>
      <c r="O71" t="str">
        <f>IF(F71="","",IF(F71=0,100,MIN(100,100*Parametros!$B$3/F71)))</f>
        <v/>
      </c>
      <c r="P71" t="str">
        <f ca="1">IFERROR(((AVERAGEIFS(Observacion_Directa!$E$2:$E$1000,Observacion_Directa!$A$2:$A$1000,$A71,Observacion_Directa!$B$2:$B$1000,"&gt;="&amp;DATEVALUE($B71&amp;"-01"),Observacion_Directa!$B$2:$B$1000,"&lt;="&amp;EOMONTH(DATEVALUE($B71&amp;"-01"),0)))-1)/4*100,"")</f>
        <v/>
      </c>
      <c r="Q71" t="str">
        <f>IF(H71="","",MIN(100,100*H71/Parametros!$B$4))</f>
        <v/>
      </c>
      <c r="R71" t="str">
        <f>IF(I71="","",IF(I71=0,100,MIN(100,100*Parametros!$B$5/I71)))</f>
        <v/>
      </c>
      <c r="S71" t="str">
        <f>IF(J71="","",IF(J71=0,100,MIN(100,100*Parametros!$B$6/J71)))</f>
        <v/>
      </c>
      <c r="T71" t="str">
        <f>IF(L71="","",MIN(100,100*L71/Parametros!$B$7))</f>
        <v/>
      </c>
      <c r="U71" t="str">
        <f>IF(K71="","",MIN(100,100*K71/Parametros!$B$8))</f>
        <v/>
      </c>
      <c r="V71" t="str">
        <f ca="1">IFERROR(((AVERAGEIFS(Documentacion!$C$2:$C$1000,Documentacion!$A$2:$A$1000,$A71,Documentacion!$B$2:$B$1000,"&gt;="&amp;DATEVALUE($B71&amp;"-01"),Documentacion!$B$2:$B$1000,"&lt;="&amp;EOMONTH(DATEVALUE($B71&amp;"-01"),0)))-1)/4*100,"")</f>
        <v/>
      </c>
      <c r="W71" t="str">
        <f ca="1">IFERROR(((AVERAGEIFS(Feedback_360!$D$2:$D$1000,Feedback_360!$A$2:$A$1000,$A71,Feedback_360!$B$2:$B$1000,"&gt;="&amp;DATEVALUE($B71&amp;"-01"),Feedback_360!$B$2:$B$1000,"&lt;="&amp;EOMONTH(DATEVALUE($B71&amp;"-01"),0)))-1)/4*100,"")</f>
        <v/>
      </c>
      <c r="X71" t="str">
        <f ca="1">IFERROR(((AVERAGEIFS(Observacion_Directa!$D$2:$D$1000,Observacion_Directa!$A$2:$A$1000,$A71,Observacion_Directa!$B$2:$B$1000,"&gt;="&amp;DATEVALUE($B71&amp;"-01"),Observacion_Directa!$B$2:$B$1000,"&lt;="&amp;EOMONTH(DATEVALUE($B71&amp;"-01"),0)))-1)/4*100,"")</f>
        <v/>
      </c>
      <c r="Y71" t="e">
        <f t="shared" ca="1" si="3"/>
        <v>#DIV/0!</v>
      </c>
    </row>
    <row r="72" spans="12:25" x14ac:dyDescent="0.2">
      <c r="L72" t="str">
        <f t="shared" si="2"/>
        <v/>
      </c>
      <c r="M72" t="str">
        <f>IFERROR(AVERAGEIFS(Prod_5dias!$H$2:$H$1000,Prod_5dias!$A$2:$A$1000,$A72,Prod_5dias!$B$2:$B$1000,$B72),"")</f>
        <v/>
      </c>
      <c r="N72" t="str">
        <f>IF(M72="","",MIN(100,100*M72/Parametros!$B$7))</f>
        <v/>
      </c>
      <c r="O72" t="str">
        <f>IF(F72="","",IF(F72=0,100,MIN(100,100*Parametros!$B$3/F72)))</f>
        <v/>
      </c>
      <c r="P72" t="str">
        <f ca="1">IFERROR(((AVERAGEIFS(Observacion_Directa!$E$2:$E$1000,Observacion_Directa!$A$2:$A$1000,$A72,Observacion_Directa!$B$2:$B$1000,"&gt;="&amp;DATEVALUE($B72&amp;"-01"),Observacion_Directa!$B$2:$B$1000,"&lt;="&amp;EOMONTH(DATEVALUE($B72&amp;"-01"),0)))-1)/4*100,"")</f>
        <v/>
      </c>
      <c r="Q72" t="str">
        <f>IF(H72="","",MIN(100,100*H72/Parametros!$B$4))</f>
        <v/>
      </c>
      <c r="R72" t="str">
        <f>IF(I72="","",IF(I72=0,100,MIN(100,100*Parametros!$B$5/I72)))</f>
        <v/>
      </c>
      <c r="S72" t="str">
        <f>IF(J72="","",IF(J72=0,100,MIN(100,100*Parametros!$B$6/J72)))</f>
        <v/>
      </c>
      <c r="T72" t="str">
        <f>IF(L72="","",MIN(100,100*L72/Parametros!$B$7))</f>
        <v/>
      </c>
      <c r="U72" t="str">
        <f>IF(K72="","",MIN(100,100*K72/Parametros!$B$8))</f>
        <v/>
      </c>
      <c r="V72" t="str">
        <f ca="1">IFERROR(((AVERAGEIFS(Documentacion!$C$2:$C$1000,Documentacion!$A$2:$A$1000,$A72,Documentacion!$B$2:$B$1000,"&gt;="&amp;DATEVALUE($B72&amp;"-01"),Documentacion!$B$2:$B$1000,"&lt;="&amp;EOMONTH(DATEVALUE($B72&amp;"-01"),0)))-1)/4*100,"")</f>
        <v/>
      </c>
      <c r="W72" t="str">
        <f ca="1">IFERROR(((AVERAGEIFS(Feedback_360!$D$2:$D$1000,Feedback_360!$A$2:$A$1000,$A72,Feedback_360!$B$2:$B$1000,"&gt;="&amp;DATEVALUE($B72&amp;"-01"),Feedback_360!$B$2:$B$1000,"&lt;="&amp;EOMONTH(DATEVALUE($B72&amp;"-01"),0)))-1)/4*100,"")</f>
        <v/>
      </c>
      <c r="X72" t="str">
        <f ca="1">IFERROR(((AVERAGEIFS(Observacion_Directa!$D$2:$D$1000,Observacion_Directa!$A$2:$A$1000,$A72,Observacion_Directa!$B$2:$B$1000,"&gt;="&amp;DATEVALUE($B72&amp;"-01"),Observacion_Directa!$B$2:$B$1000,"&lt;="&amp;EOMONTH(DATEVALUE($B72&amp;"-01"),0)))-1)/4*100,"")</f>
        <v/>
      </c>
      <c r="Y72" t="e">
        <f t="shared" ca="1" si="3"/>
        <v>#DIV/0!</v>
      </c>
    </row>
    <row r="73" spans="12:25" x14ac:dyDescent="0.2">
      <c r="L73" t="str">
        <f t="shared" si="2"/>
        <v/>
      </c>
      <c r="M73" t="str">
        <f>IFERROR(AVERAGEIFS(Prod_5dias!$H$2:$H$1000,Prod_5dias!$A$2:$A$1000,$A73,Prod_5dias!$B$2:$B$1000,$B73),"")</f>
        <v/>
      </c>
      <c r="N73" t="str">
        <f>IF(M73="","",MIN(100,100*M73/Parametros!$B$7))</f>
        <v/>
      </c>
      <c r="O73" t="str">
        <f>IF(F73="","",IF(F73=0,100,MIN(100,100*Parametros!$B$3/F73)))</f>
        <v/>
      </c>
      <c r="P73" t="str">
        <f ca="1">IFERROR(((AVERAGEIFS(Observacion_Directa!$E$2:$E$1000,Observacion_Directa!$A$2:$A$1000,$A73,Observacion_Directa!$B$2:$B$1000,"&gt;="&amp;DATEVALUE($B73&amp;"-01"),Observacion_Directa!$B$2:$B$1000,"&lt;="&amp;EOMONTH(DATEVALUE($B73&amp;"-01"),0)))-1)/4*100,"")</f>
        <v/>
      </c>
      <c r="Q73" t="str">
        <f>IF(H73="","",MIN(100,100*H73/Parametros!$B$4))</f>
        <v/>
      </c>
      <c r="R73" t="str">
        <f>IF(I73="","",IF(I73=0,100,MIN(100,100*Parametros!$B$5/I73)))</f>
        <v/>
      </c>
      <c r="S73" t="str">
        <f>IF(J73="","",IF(J73=0,100,MIN(100,100*Parametros!$B$6/J73)))</f>
        <v/>
      </c>
      <c r="T73" t="str">
        <f>IF(L73="","",MIN(100,100*L73/Parametros!$B$7))</f>
        <v/>
      </c>
      <c r="U73" t="str">
        <f>IF(K73="","",MIN(100,100*K73/Parametros!$B$8))</f>
        <v/>
      </c>
      <c r="V73" t="str">
        <f ca="1">IFERROR(((AVERAGEIFS(Documentacion!$C$2:$C$1000,Documentacion!$A$2:$A$1000,$A73,Documentacion!$B$2:$B$1000,"&gt;="&amp;DATEVALUE($B73&amp;"-01"),Documentacion!$B$2:$B$1000,"&lt;="&amp;EOMONTH(DATEVALUE($B73&amp;"-01"),0)))-1)/4*100,"")</f>
        <v/>
      </c>
      <c r="W73" t="str">
        <f ca="1">IFERROR(((AVERAGEIFS(Feedback_360!$D$2:$D$1000,Feedback_360!$A$2:$A$1000,$A73,Feedback_360!$B$2:$B$1000,"&gt;="&amp;DATEVALUE($B73&amp;"-01"),Feedback_360!$B$2:$B$1000,"&lt;="&amp;EOMONTH(DATEVALUE($B73&amp;"-01"),0)))-1)/4*100,"")</f>
        <v/>
      </c>
      <c r="X73" t="str">
        <f ca="1">IFERROR(((AVERAGEIFS(Observacion_Directa!$D$2:$D$1000,Observacion_Directa!$A$2:$A$1000,$A73,Observacion_Directa!$B$2:$B$1000,"&gt;="&amp;DATEVALUE($B73&amp;"-01"),Observacion_Directa!$B$2:$B$1000,"&lt;="&amp;EOMONTH(DATEVALUE($B73&amp;"-01"),0)))-1)/4*100,"")</f>
        <v/>
      </c>
      <c r="Y73" t="e">
        <f t="shared" ca="1" si="3"/>
        <v>#DIV/0!</v>
      </c>
    </row>
    <row r="74" spans="12:25" x14ac:dyDescent="0.2">
      <c r="L74" t="str">
        <f t="shared" si="2"/>
        <v/>
      </c>
      <c r="M74" t="str">
        <f>IFERROR(AVERAGEIFS(Prod_5dias!$H$2:$H$1000,Prod_5dias!$A$2:$A$1000,$A74,Prod_5dias!$B$2:$B$1000,$B74),"")</f>
        <v/>
      </c>
      <c r="N74" t="str">
        <f>IF(M74="","",MIN(100,100*M74/Parametros!$B$7))</f>
        <v/>
      </c>
      <c r="O74" t="str">
        <f>IF(F74="","",IF(F74=0,100,MIN(100,100*Parametros!$B$3/F74)))</f>
        <v/>
      </c>
      <c r="P74" t="str">
        <f ca="1">IFERROR(((AVERAGEIFS(Observacion_Directa!$E$2:$E$1000,Observacion_Directa!$A$2:$A$1000,$A74,Observacion_Directa!$B$2:$B$1000,"&gt;="&amp;DATEVALUE($B74&amp;"-01"),Observacion_Directa!$B$2:$B$1000,"&lt;="&amp;EOMONTH(DATEVALUE($B74&amp;"-01"),0)))-1)/4*100,"")</f>
        <v/>
      </c>
      <c r="Q74" t="str">
        <f>IF(H74="","",MIN(100,100*H74/Parametros!$B$4))</f>
        <v/>
      </c>
      <c r="R74" t="str">
        <f>IF(I74="","",IF(I74=0,100,MIN(100,100*Parametros!$B$5/I74)))</f>
        <v/>
      </c>
      <c r="S74" t="str">
        <f>IF(J74="","",IF(J74=0,100,MIN(100,100*Parametros!$B$6/J74)))</f>
        <v/>
      </c>
      <c r="T74" t="str">
        <f>IF(L74="","",MIN(100,100*L74/Parametros!$B$7))</f>
        <v/>
      </c>
      <c r="U74" t="str">
        <f>IF(K74="","",MIN(100,100*K74/Parametros!$B$8))</f>
        <v/>
      </c>
      <c r="V74" t="str">
        <f ca="1">IFERROR(((AVERAGEIFS(Documentacion!$C$2:$C$1000,Documentacion!$A$2:$A$1000,$A74,Documentacion!$B$2:$B$1000,"&gt;="&amp;DATEVALUE($B74&amp;"-01"),Documentacion!$B$2:$B$1000,"&lt;="&amp;EOMONTH(DATEVALUE($B74&amp;"-01"),0)))-1)/4*100,"")</f>
        <v/>
      </c>
      <c r="W74" t="str">
        <f ca="1">IFERROR(((AVERAGEIFS(Feedback_360!$D$2:$D$1000,Feedback_360!$A$2:$A$1000,$A74,Feedback_360!$B$2:$B$1000,"&gt;="&amp;DATEVALUE($B74&amp;"-01"),Feedback_360!$B$2:$B$1000,"&lt;="&amp;EOMONTH(DATEVALUE($B74&amp;"-01"),0)))-1)/4*100,"")</f>
        <v/>
      </c>
      <c r="X74" t="str">
        <f ca="1">IFERROR(((AVERAGEIFS(Observacion_Directa!$D$2:$D$1000,Observacion_Directa!$A$2:$A$1000,$A74,Observacion_Directa!$B$2:$B$1000,"&gt;="&amp;DATEVALUE($B74&amp;"-01"),Observacion_Directa!$B$2:$B$1000,"&lt;="&amp;EOMONTH(DATEVALUE($B74&amp;"-01"),0)))-1)/4*100,"")</f>
        <v/>
      </c>
      <c r="Y74" t="e">
        <f t="shared" ca="1" si="3"/>
        <v>#DIV/0!</v>
      </c>
    </row>
    <row r="75" spans="12:25" x14ac:dyDescent="0.2">
      <c r="L75" t="str">
        <f t="shared" si="2"/>
        <v/>
      </c>
      <c r="M75" t="str">
        <f>IFERROR(AVERAGEIFS(Prod_5dias!$H$2:$H$1000,Prod_5dias!$A$2:$A$1000,$A75,Prod_5dias!$B$2:$B$1000,$B75),"")</f>
        <v/>
      </c>
      <c r="N75" t="str">
        <f>IF(M75="","",MIN(100,100*M75/Parametros!$B$7))</f>
        <v/>
      </c>
      <c r="O75" t="str">
        <f>IF(F75="","",IF(F75=0,100,MIN(100,100*Parametros!$B$3/F75)))</f>
        <v/>
      </c>
      <c r="P75" t="str">
        <f ca="1">IFERROR(((AVERAGEIFS(Observacion_Directa!$E$2:$E$1000,Observacion_Directa!$A$2:$A$1000,$A75,Observacion_Directa!$B$2:$B$1000,"&gt;="&amp;DATEVALUE($B75&amp;"-01"),Observacion_Directa!$B$2:$B$1000,"&lt;="&amp;EOMONTH(DATEVALUE($B75&amp;"-01"),0)))-1)/4*100,"")</f>
        <v/>
      </c>
      <c r="Q75" t="str">
        <f>IF(H75="","",MIN(100,100*H75/Parametros!$B$4))</f>
        <v/>
      </c>
      <c r="R75" t="str">
        <f>IF(I75="","",IF(I75=0,100,MIN(100,100*Parametros!$B$5/I75)))</f>
        <v/>
      </c>
      <c r="S75" t="str">
        <f>IF(J75="","",IF(J75=0,100,MIN(100,100*Parametros!$B$6/J75)))</f>
        <v/>
      </c>
      <c r="T75" t="str">
        <f>IF(L75="","",MIN(100,100*L75/Parametros!$B$7))</f>
        <v/>
      </c>
      <c r="U75" t="str">
        <f>IF(K75="","",MIN(100,100*K75/Parametros!$B$8))</f>
        <v/>
      </c>
      <c r="V75" t="str">
        <f ca="1">IFERROR(((AVERAGEIFS(Documentacion!$C$2:$C$1000,Documentacion!$A$2:$A$1000,$A75,Documentacion!$B$2:$B$1000,"&gt;="&amp;DATEVALUE($B75&amp;"-01"),Documentacion!$B$2:$B$1000,"&lt;="&amp;EOMONTH(DATEVALUE($B75&amp;"-01"),0)))-1)/4*100,"")</f>
        <v/>
      </c>
      <c r="W75" t="str">
        <f ca="1">IFERROR(((AVERAGEIFS(Feedback_360!$D$2:$D$1000,Feedback_360!$A$2:$A$1000,$A75,Feedback_360!$B$2:$B$1000,"&gt;="&amp;DATEVALUE($B75&amp;"-01"),Feedback_360!$B$2:$B$1000,"&lt;="&amp;EOMONTH(DATEVALUE($B75&amp;"-01"),0)))-1)/4*100,"")</f>
        <v/>
      </c>
      <c r="X75" t="str">
        <f ca="1">IFERROR(((AVERAGEIFS(Observacion_Directa!$D$2:$D$1000,Observacion_Directa!$A$2:$A$1000,$A75,Observacion_Directa!$B$2:$B$1000,"&gt;="&amp;DATEVALUE($B75&amp;"-01"),Observacion_Directa!$B$2:$B$1000,"&lt;="&amp;EOMONTH(DATEVALUE($B75&amp;"-01"),0)))-1)/4*100,"")</f>
        <v/>
      </c>
      <c r="Y75" t="e">
        <f t="shared" ca="1" si="3"/>
        <v>#DIV/0!</v>
      </c>
    </row>
    <row r="76" spans="12:25" x14ac:dyDescent="0.2">
      <c r="L76" t="str">
        <f t="shared" si="2"/>
        <v/>
      </c>
      <c r="M76" t="str">
        <f>IFERROR(AVERAGEIFS(Prod_5dias!$H$2:$H$1000,Prod_5dias!$A$2:$A$1000,$A76,Prod_5dias!$B$2:$B$1000,$B76),"")</f>
        <v/>
      </c>
      <c r="N76" t="str">
        <f>IF(M76="","",MIN(100,100*M76/Parametros!$B$7))</f>
        <v/>
      </c>
      <c r="O76" t="str">
        <f>IF(F76="","",IF(F76=0,100,MIN(100,100*Parametros!$B$3/F76)))</f>
        <v/>
      </c>
      <c r="P76" t="str">
        <f ca="1">IFERROR(((AVERAGEIFS(Observacion_Directa!$E$2:$E$1000,Observacion_Directa!$A$2:$A$1000,$A76,Observacion_Directa!$B$2:$B$1000,"&gt;="&amp;DATEVALUE($B76&amp;"-01"),Observacion_Directa!$B$2:$B$1000,"&lt;="&amp;EOMONTH(DATEVALUE($B76&amp;"-01"),0)))-1)/4*100,"")</f>
        <v/>
      </c>
      <c r="Q76" t="str">
        <f>IF(H76="","",MIN(100,100*H76/Parametros!$B$4))</f>
        <v/>
      </c>
      <c r="R76" t="str">
        <f>IF(I76="","",IF(I76=0,100,MIN(100,100*Parametros!$B$5/I76)))</f>
        <v/>
      </c>
      <c r="S76" t="str">
        <f>IF(J76="","",IF(J76=0,100,MIN(100,100*Parametros!$B$6/J76)))</f>
        <v/>
      </c>
      <c r="T76" t="str">
        <f>IF(L76="","",MIN(100,100*L76/Parametros!$B$7))</f>
        <v/>
      </c>
      <c r="U76" t="str">
        <f>IF(K76="","",MIN(100,100*K76/Parametros!$B$8))</f>
        <v/>
      </c>
      <c r="V76" t="str">
        <f ca="1">IFERROR(((AVERAGEIFS(Documentacion!$C$2:$C$1000,Documentacion!$A$2:$A$1000,$A76,Documentacion!$B$2:$B$1000,"&gt;="&amp;DATEVALUE($B76&amp;"-01"),Documentacion!$B$2:$B$1000,"&lt;="&amp;EOMONTH(DATEVALUE($B76&amp;"-01"),0)))-1)/4*100,"")</f>
        <v/>
      </c>
      <c r="W76" t="str">
        <f ca="1">IFERROR(((AVERAGEIFS(Feedback_360!$D$2:$D$1000,Feedback_360!$A$2:$A$1000,$A76,Feedback_360!$B$2:$B$1000,"&gt;="&amp;DATEVALUE($B76&amp;"-01"),Feedback_360!$B$2:$B$1000,"&lt;="&amp;EOMONTH(DATEVALUE($B76&amp;"-01"),0)))-1)/4*100,"")</f>
        <v/>
      </c>
      <c r="X76" t="str">
        <f ca="1">IFERROR(((AVERAGEIFS(Observacion_Directa!$D$2:$D$1000,Observacion_Directa!$A$2:$A$1000,$A76,Observacion_Directa!$B$2:$B$1000,"&gt;="&amp;DATEVALUE($B76&amp;"-01"),Observacion_Directa!$B$2:$B$1000,"&lt;="&amp;EOMONTH(DATEVALUE($B76&amp;"-01"),0)))-1)/4*100,"")</f>
        <v/>
      </c>
      <c r="Y76" t="e">
        <f t="shared" ca="1" si="3"/>
        <v>#DIV/0!</v>
      </c>
    </row>
    <row r="77" spans="12:25" x14ac:dyDescent="0.2">
      <c r="L77" t="str">
        <f t="shared" si="2"/>
        <v/>
      </c>
      <c r="M77" t="str">
        <f>IFERROR(AVERAGEIFS(Prod_5dias!$H$2:$H$1000,Prod_5dias!$A$2:$A$1000,$A77,Prod_5dias!$B$2:$B$1000,$B77),"")</f>
        <v/>
      </c>
      <c r="N77" t="str">
        <f>IF(M77="","",MIN(100,100*M77/Parametros!$B$7))</f>
        <v/>
      </c>
      <c r="O77" t="str">
        <f>IF(F77="","",IF(F77=0,100,MIN(100,100*Parametros!$B$3/F77)))</f>
        <v/>
      </c>
      <c r="P77" t="str">
        <f ca="1">IFERROR(((AVERAGEIFS(Observacion_Directa!$E$2:$E$1000,Observacion_Directa!$A$2:$A$1000,$A77,Observacion_Directa!$B$2:$B$1000,"&gt;="&amp;DATEVALUE($B77&amp;"-01"),Observacion_Directa!$B$2:$B$1000,"&lt;="&amp;EOMONTH(DATEVALUE($B77&amp;"-01"),0)))-1)/4*100,"")</f>
        <v/>
      </c>
      <c r="Q77" t="str">
        <f>IF(H77="","",MIN(100,100*H77/Parametros!$B$4))</f>
        <v/>
      </c>
      <c r="R77" t="str">
        <f>IF(I77="","",IF(I77=0,100,MIN(100,100*Parametros!$B$5/I77)))</f>
        <v/>
      </c>
      <c r="S77" t="str">
        <f>IF(J77="","",IF(J77=0,100,MIN(100,100*Parametros!$B$6/J77)))</f>
        <v/>
      </c>
      <c r="T77" t="str">
        <f>IF(L77="","",MIN(100,100*L77/Parametros!$B$7))</f>
        <v/>
      </c>
      <c r="U77" t="str">
        <f>IF(K77="","",MIN(100,100*K77/Parametros!$B$8))</f>
        <v/>
      </c>
      <c r="V77" t="str">
        <f ca="1">IFERROR(((AVERAGEIFS(Documentacion!$C$2:$C$1000,Documentacion!$A$2:$A$1000,$A77,Documentacion!$B$2:$B$1000,"&gt;="&amp;DATEVALUE($B77&amp;"-01"),Documentacion!$B$2:$B$1000,"&lt;="&amp;EOMONTH(DATEVALUE($B77&amp;"-01"),0)))-1)/4*100,"")</f>
        <v/>
      </c>
      <c r="W77" t="str">
        <f ca="1">IFERROR(((AVERAGEIFS(Feedback_360!$D$2:$D$1000,Feedback_360!$A$2:$A$1000,$A77,Feedback_360!$B$2:$B$1000,"&gt;="&amp;DATEVALUE($B77&amp;"-01"),Feedback_360!$B$2:$B$1000,"&lt;="&amp;EOMONTH(DATEVALUE($B77&amp;"-01"),0)))-1)/4*100,"")</f>
        <v/>
      </c>
      <c r="X77" t="str">
        <f ca="1">IFERROR(((AVERAGEIFS(Observacion_Directa!$D$2:$D$1000,Observacion_Directa!$A$2:$A$1000,$A77,Observacion_Directa!$B$2:$B$1000,"&gt;="&amp;DATEVALUE($B77&amp;"-01"),Observacion_Directa!$B$2:$B$1000,"&lt;="&amp;EOMONTH(DATEVALUE($B77&amp;"-01"),0)))-1)/4*100,"")</f>
        <v/>
      </c>
      <c r="Y77" t="e">
        <f t="shared" ca="1" si="3"/>
        <v>#DIV/0!</v>
      </c>
    </row>
    <row r="78" spans="12:25" x14ac:dyDescent="0.2">
      <c r="L78" t="str">
        <f t="shared" si="2"/>
        <v/>
      </c>
      <c r="M78" t="str">
        <f>IFERROR(AVERAGEIFS(Prod_5dias!$H$2:$H$1000,Prod_5dias!$A$2:$A$1000,$A78,Prod_5dias!$B$2:$B$1000,$B78),"")</f>
        <v/>
      </c>
      <c r="N78" t="str">
        <f>IF(M78="","",MIN(100,100*M78/Parametros!$B$7))</f>
        <v/>
      </c>
      <c r="O78" t="str">
        <f>IF(F78="","",IF(F78=0,100,MIN(100,100*Parametros!$B$3/F78)))</f>
        <v/>
      </c>
      <c r="P78" t="str">
        <f ca="1">IFERROR(((AVERAGEIFS(Observacion_Directa!$E$2:$E$1000,Observacion_Directa!$A$2:$A$1000,$A78,Observacion_Directa!$B$2:$B$1000,"&gt;="&amp;DATEVALUE($B78&amp;"-01"),Observacion_Directa!$B$2:$B$1000,"&lt;="&amp;EOMONTH(DATEVALUE($B78&amp;"-01"),0)))-1)/4*100,"")</f>
        <v/>
      </c>
      <c r="Q78" t="str">
        <f>IF(H78="","",MIN(100,100*H78/Parametros!$B$4))</f>
        <v/>
      </c>
      <c r="R78" t="str">
        <f>IF(I78="","",IF(I78=0,100,MIN(100,100*Parametros!$B$5/I78)))</f>
        <v/>
      </c>
      <c r="S78" t="str">
        <f>IF(J78="","",IF(J78=0,100,MIN(100,100*Parametros!$B$6/J78)))</f>
        <v/>
      </c>
      <c r="T78" t="str">
        <f>IF(L78="","",MIN(100,100*L78/Parametros!$B$7))</f>
        <v/>
      </c>
      <c r="U78" t="str">
        <f>IF(K78="","",MIN(100,100*K78/Parametros!$B$8))</f>
        <v/>
      </c>
      <c r="V78" t="str">
        <f ca="1">IFERROR(((AVERAGEIFS(Documentacion!$C$2:$C$1000,Documentacion!$A$2:$A$1000,$A78,Documentacion!$B$2:$B$1000,"&gt;="&amp;DATEVALUE($B78&amp;"-01"),Documentacion!$B$2:$B$1000,"&lt;="&amp;EOMONTH(DATEVALUE($B78&amp;"-01"),0)))-1)/4*100,"")</f>
        <v/>
      </c>
      <c r="W78" t="str">
        <f ca="1">IFERROR(((AVERAGEIFS(Feedback_360!$D$2:$D$1000,Feedback_360!$A$2:$A$1000,$A78,Feedback_360!$B$2:$B$1000,"&gt;="&amp;DATEVALUE($B78&amp;"-01"),Feedback_360!$B$2:$B$1000,"&lt;="&amp;EOMONTH(DATEVALUE($B78&amp;"-01"),0)))-1)/4*100,"")</f>
        <v/>
      </c>
      <c r="X78" t="str">
        <f ca="1">IFERROR(((AVERAGEIFS(Observacion_Directa!$D$2:$D$1000,Observacion_Directa!$A$2:$A$1000,$A78,Observacion_Directa!$B$2:$B$1000,"&gt;="&amp;DATEVALUE($B78&amp;"-01"),Observacion_Directa!$B$2:$B$1000,"&lt;="&amp;EOMONTH(DATEVALUE($B78&amp;"-01"),0)))-1)/4*100,"")</f>
        <v/>
      </c>
      <c r="Y78" t="e">
        <f t="shared" ca="1" si="3"/>
        <v>#DIV/0!</v>
      </c>
    </row>
    <row r="79" spans="12:25" x14ac:dyDescent="0.2">
      <c r="L79" t="str">
        <f t="shared" si="2"/>
        <v/>
      </c>
      <c r="M79" t="str">
        <f>IFERROR(AVERAGEIFS(Prod_5dias!$H$2:$H$1000,Prod_5dias!$A$2:$A$1000,$A79,Prod_5dias!$B$2:$B$1000,$B79),"")</f>
        <v/>
      </c>
      <c r="N79" t="str">
        <f>IF(M79="","",MIN(100,100*M79/Parametros!$B$7))</f>
        <v/>
      </c>
      <c r="O79" t="str">
        <f>IF(F79="","",IF(F79=0,100,MIN(100,100*Parametros!$B$3/F79)))</f>
        <v/>
      </c>
      <c r="P79" t="str">
        <f ca="1">IFERROR(((AVERAGEIFS(Observacion_Directa!$E$2:$E$1000,Observacion_Directa!$A$2:$A$1000,$A79,Observacion_Directa!$B$2:$B$1000,"&gt;="&amp;DATEVALUE($B79&amp;"-01"),Observacion_Directa!$B$2:$B$1000,"&lt;="&amp;EOMONTH(DATEVALUE($B79&amp;"-01"),0)))-1)/4*100,"")</f>
        <v/>
      </c>
      <c r="Q79" t="str">
        <f>IF(H79="","",MIN(100,100*H79/Parametros!$B$4))</f>
        <v/>
      </c>
      <c r="R79" t="str">
        <f>IF(I79="","",IF(I79=0,100,MIN(100,100*Parametros!$B$5/I79)))</f>
        <v/>
      </c>
      <c r="S79" t="str">
        <f>IF(J79="","",IF(J79=0,100,MIN(100,100*Parametros!$B$6/J79)))</f>
        <v/>
      </c>
      <c r="T79" t="str">
        <f>IF(L79="","",MIN(100,100*L79/Parametros!$B$7))</f>
        <v/>
      </c>
      <c r="U79" t="str">
        <f>IF(K79="","",MIN(100,100*K79/Parametros!$B$8))</f>
        <v/>
      </c>
      <c r="V79" t="str">
        <f ca="1">IFERROR(((AVERAGEIFS(Documentacion!$C$2:$C$1000,Documentacion!$A$2:$A$1000,$A79,Documentacion!$B$2:$B$1000,"&gt;="&amp;DATEVALUE($B79&amp;"-01"),Documentacion!$B$2:$B$1000,"&lt;="&amp;EOMONTH(DATEVALUE($B79&amp;"-01"),0)))-1)/4*100,"")</f>
        <v/>
      </c>
      <c r="W79" t="str">
        <f ca="1">IFERROR(((AVERAGEIFS(Feedback_360!$D$2:$D$1000,Feedback_360!$A$2:$A$1000,$A79,Feedback_360!$B$2:$B$1000,"&gt;="&amp;DATEVALUE($B79&amp;"-01"),Feedback_360!$B$2:$B$1000,"&lt;="&amp;EOMONTH(DATEVALUE($B79&amp;"-01"),0)))-1)/4*100,"")</f>
        <v/>
      </c>
      <c r="X79" t="str">
        <f ca="1">IFERROR(((AVERAGEIFS(Observacion_Directa!$D$2:$D$1000,Observacion_Directa!$A$2:$A$1000,$A79,Observacion_Directa!$B$2:$B$1000,"&gt;="&amp;DATEVALUE($B79&amp;"-01"),Observacion_Directa!$B$2:$B$1000,"&lt;="&amp;EOMONTH(DATEVALUE($B79&amp;"-01"),0)))-1)/4*100,"")</f>
        <v/>
      </c>
      <c r="Y79" t="e">
        <f t="shared" ca="1" si="3"/>
        <v>#DIV/0!</v>
      </c>
    </row>
    <row r="80" spans="12:25" x14ac:dyDescent="0.2">
      <c r="L80" t="str">
        <f t="shared" si="2"/>
        <v/>
      </c>
      <c r="M80" t="str">
        <f>IFERROR(AVERAGEIFS(Prod_5dias!$H$2:$H$1000,Prod_5dias!$A$2:$A$1000,$A80,Prod_5dias!$B$2:$B$1000,$B80),"")</f>
        <v/>
      </c>
      <c r="N80" t="str">
        <f>IF(M80="","",MIN(100,100*M80/Parametros!$B$7))</f>
        <v/>
      </c>
      <c r="O80" t="str">
        <f>IF(F80="","",IF(F80=0,100,MIN(100,100*Parametros!$B$3/F80)))</f>
        <v/>
      </c>
      <c r="P80" t="str">
        <f ca="1">IFERROR(((AVERAGEIFS(Observacion_Directa!$E$2:$E$1000,Observacion_Directa!$A$2:$A$1000,$A80,Observacion_Directa!$B$2:$B$1000,"&gt;="&amp;DATEVALUE($B80&amp;"-01"),Observacion_Directa!$B$2:$B$1000,"&lt;="&amp;EOMONTH(DATEVALUE($B80&amp;"-01"),0)))-1)/4*100,"")</f>
        <v/>
      </c>
      <c r="Q80" t="str">
        <f>IF(H80="","",MIN(100,100*H80/Parametros!$B$4))</f>
        <v/>
      </c>
      <c r="R80" t="str">
        <f>IF(I80="","",IF(I80=0,100,MIN(100,100*Parametros!$B$5/I80)))</f>
        <v/>
      </c>
      <c r="S80" t="str">
        <f>IF(J80="","",IF(J80=0,100,MIN(100,100*Parametros!$B$6/J80)))</f>
        <v/>
      </c>
      <c r="T80" t="str">
        <f>IF(L80="","",MIN(100,100*L80/Parametros!$B$7))</f>
        <v/>
      </c>
      <c r="U80" t="str">
        <f>IF(K80="","",MIN(100,100*K80/Parametros!$B$8))</f>
        <v/>
      </c>
      <c r="V80" t="str">
        <f ca="1">IFERROR(((AVERAGEIFS(Documentacion!$C$2:$C$1000,Documentacion!$A$2:$A$1000,$A80,Documentacion!$B$2:$B$1000,"&gt;="&amp;DATEVALUE($B80&amp;"-01"),Documentacion!$B$2:$B$1000,"&lt;="&amp;EOMONTH(DATEVALUE($B80&amp;"-01"),0)))-1)/4*100,"")</f>
        <v/>
      </c>
      <c r="W80" t="str">
        <f ca="1">IFERROR(((AVERAGEIFS(Feedback_360!$D$2:$D$1000,Feedback_360!$A$2:$A$1000,$A80,Feedback_360!$B$2:$B$1000,"&gt;="&amp;DATEVALUE($B80&amp;"-01"),Feedback_360!$B$2:$B$1000,"&lt;="&amp;EOMONTH(DATEVALUE($B80&amp;"-01"),0)))-1)/4*100,"")</f>
        <v/>
      </c>
      <c r="X80" t="str">
        <f ca="1">IFERROR(((AVERAGEIFS(Observacion_Directa!$D$2:$D$1000,Observacion_Directa!$A$2:$A$1000,$A80,Observacion_Directa!$B$2:$B$1000,"&gt;="&amp;DATEVALUE($B80&amp;"-01"),Observacion_Directa!$B$2:$B$1000,"&lt;="&amp;EOMONTH(DATEVALUE($B80&amp;"-01"),0)))-1)/4*100,"")</f>
        <v/>
      </c>
      <c r="Y80" t="e">
        <f t="shared" ca="1" si="3"/>
        <v>#DIV/0!</v>
      </c>
    </row>
    <row r="81" spans="12:25" x14ac:dyDescent="0.2">
      <c r="L81" t="str">
        <f t="shared" si="2"/>
        <v/>
      </c>
      <c r="M81" t="str">
        <f>IFERROR(AVERAGEIFS(Prod_5dias!$H$2:$H$1000,Prod_5dias!$A$2:$A$1000,$A81,Prod_5dias!$B$2:$B$1000,$B81),"")</f>
        <v/>
      </c>
      <c r="N81" t="str">
        <f>IF(M81="","",MIN(100,100*M81/Parametros!$B$7))</f>
        <v/>
      </c>
      <c r="O81" t="str">
        <f>IF(F81="","",IF(F81=0,100,MIN(100,100*Parametros!$B$3/F81)))</f>
        <v/>
      </c>
      <c r="P81" t="str">
        <f ca="1">IFERROR(((AVERAGEIFS(Observacion_Directa!$E$2:$E$1000,Observacion_Directa!$A$2:$A$1000,$A81,Observacion_Directa!$B$2:$B$1000,"&gt;="&amp;DATEVALUE($B81&amp;"-01"),Observacion_Directa!$B$2:$B$1000,"&lt;="&amp;EOMONTH(DATEVALUE($B81&amp;"-01"),0)))-1)/4*100,"")</f>
        <v/>
      </c>
      <c r="Q81" t="str">
        <f>IF(H81="","",MIN(100,100*H81/Parametros!$B$4))</f>
        <v/>
      </c>
      <c r="R81" t="str">
        <f>IF(I81="","",IF(I81=0,100,MIN(100,100*Parametros!$B$5/I81)))</f>
        <v/>
      </c>
      <c r="S81" t="str">
        <f>IF(J81="","",IF(J81=0,100,MIN(100,100*Parametros!$B$6/J81)))</f>
        <v/>
      </c>
      <c r="T81" t="str">
        <f>IF(L81="","",MIN(100,100*L81/Parametros!$B$7))</f>
        <v/>
      </c>
      <c r="U81" t="str">
        <f>IF(K81="","",MIN(100,100*K81/Parametros!$B$8))</f>
        <v/>
      </c>
      <c r="V81" t="str">
        <f ca="1">IFERROR(((AVERAGEIFS(Documentacion!$C$2:$C$1000,Documentacion!$A$2:$A$1000,$A81,Documentacion!$B$2:$B$1000,"&gt;="&amp;DATEVALUE($B81&amp;"-01"),Documentacion!$B$2:$B$1000,"&lt;="&amp;EOMONTH(DATEVALUE($B81&amp;"-01"),0)))-1)/4*100,"")</f>
        <v/>
      </c>
      <c r="W81" t="str">
        <f ca="1">IFERROR(((AVERAGEIFS(Feedback_360!$D$2:$D$1000,Feedback_360!$A$2:$A$1000,$A81,Feedback_360!$B$2:$B$1000,"&gt;="&amp;DATEVALUE($B81&amp;"-01"),Feedback_360!$B$2:$B$1000,"&lt;="&amp;EOMONTH(DATEVALUE($B81&amp;"-01"),0)))-1)/4*100,"")</f>
        <v/>
      </c>
      <c r="X81" t="str">
        <f ca="1">IFERROR(((AVERAGEIFS(Observacion_Directa!$D$2:$D$1000,Observacion_Directa!$A$2:$A$1000,$A81,Observacion_Directa!$B$2:$B$1000,"&gt;="&amp;DATEVALUE($B81&amp;"-01"),Observacion_Directa!$B$2:$B$1000,"&lt;="&amp;EOMONTH(DATEVALUE($B81&amp;"-01"),0)))-1)/4*100,"")</f>
        <v/>
      </c>
      <c r="Y81" t="e">
        <f t="shared" ca="1" si="3"/>
        <v>#DIV/0!</v>
      </c>
    </row>
    <row r="82" spans="12:25" x14ac:dyDescent="0.2">
      <c r="L82" t="str">
        <f t="shared" si="2"/>
        <v/>
      </c>
      <c r="M82" t="str">
        <f>IFERROR(AVERAGEIFS(Prod_5dias!$H$2:$H$1000,Prod_5dias!$A$2:$A$1000,$A82,Prod_5dias!$B$2:$B$1000,$B82),"")</f>
        <v/>
      </c>
      <c r="N82" t="str">
        <f>IF(M82="","",MIN(100,100*M82/Parametros!$B$7))</f>
        <v/>
      </c>
      <c r="O82" t="str">
        <f>IF(F82="","",IF(F82=0,100,MIN(100,100*Parametros!$B$3/F82)))</f>
        <v/>
      </c>
      <c r="P82" t="str">
        <f ca="1">IFERROR(((AVERAGEIFS(Observacion_Directa!$E$2:$E$1000,Observacion_Directa!$A$2:$A$1000,$A82,Observacion_Directa!$B$2:$B$1000,"&gt;="&amp;DATEVALUE($B82&amp;"-01"),Observacion_Directa!$B$2:$B$1000,"&lt;="&amp;EOMONTH(DATEVALUE($B82&amp;"-01"),0)))-1)/4*100,"")</f>
        <v/>
      </c>
      <c r="Q82" t="str">
        <f>IF(H82="","",MIN(100,100*H82/Parametros!$B$4))</f>
        <v/>
      </c>
      <c r="R82" t="str">
        <f>IF(I82="","",IF(I82=0,100,MIN(100,100*Parametros!$B$5/I82)))</f>
        <v/>
      </c>
      <c r="S82" t="str">
        <f>IF(J82="","",IF(J82=0,100,MIN(100,100*Parametros!$B$6/J82)))</f>
        <v/>
      </c>
      <c r="T82" t="str">
        <f>IF(L82="","",MIN(100,100*L82/Parametros!$B$7))</f>
        <v/>
      </c>
      <c r="U82" t="str">
        <f>IF(K82="","",MIN(100,100*K82/Parametros!$B$8))</f>
        <v/>
      </c>
      <c r="V82" t="str">
        <f ca="1">IFERROR(((AVERAGEIFS(Documentacion!$C$2:$C$1000,Documentacion!$A$2:$A$1000,$A82,Documentacion!$B$2:$B$1000,"&gt;="&amp;DATEVALUE($B82&amp;"-01"),Documentacion!$B$2:$B$1000,"&lt;="&amp;EOMONTH(DATEVALUE($B82&amp;"-01"),0)))-1)/4*100,"")</f>
        <v/>
      </c>
      <c r="W82" t="str">
        <f ca="1">IFERROR(((AVERAGEIFS(Feedback_360!$D$2:$D$1000,Feedback_360!$A$2:$A$1000,$A82,Feedback_360!$B$2:$B$1000,"&gt;="&amp;DATEVALUE($B82&amp;"-01"),Feedback_360!$B$2:$B$1000,"&lt;="&amp;EOMONTH(DATEVALUE($B82&amp;"-01"),0)))-1)/4*100,"")</f>
        <v/>
      </c>
      <c r="X82" t="str">
        <f ca="1">IFERROR(((AVERAGEIFS(Observacion_Directa!$D$2:$D$1000,Observacion_Directa!$A$2:$A$1000,$A82,Observacion_Directa!$B$2:$B$1000,"&gt;="&amp;DATEVALUE($B82&amp;"-01"),Observacion_Directa!$B$2:$B$1000,"&lt;="&amp;EOMONTH(DATEVALUE($B82&amp;"-01"),0)))-1)/4*100,"")</f>
        <v/>
      </c>
      <c r="Y82" t="e">
        <f t="shared" ca="1" si="3"/>
        <v>#DIV/0!</v>
      </c>
    </row>
    <row r="83" spans="12:25" x14ac:dyDescent="0.2">
      <c r="L83" t="str">
        <f t="shared" si="2"/>
        <v/>
      </c>
      <c r="M83" t="str">
        <f>IFERROR(AVERAGEIFS(Prod_5dias!$H$2:$H$1000,Prod_5dias!$A$2:$A$1000,$A83,Prod_5dias!$B$2:$B$1000,$B83),"")</f>
        <v/>
      </c>
      <c r="N83" t="str">
        <f>IF(M83="","",MIN(100,100*M83/Parametros!$B$7))</f>
        <v/>
      </c>
      <c r="O83" t="str">
        <f>IF(F83="","",IF(F83=0,100,MIN(100,100*Parametros!$B$3/F83)))</f>
        <v/>
      </c>
      <c r="P83" t="str">
        <f ca="1">IFERROR(((AVERAGEIFS(Observacion_Directa!$E$2:$E$1000,Observacion_Directa!$A$2:$A$1000,$A83,Observacion_Directa!$B$2:$B$1000,"&gt;="&amp;DATEVALUE($B83&amp;"-01"),Observacion_Directa!$B$2:$B$1000,"&lt;="&amp;EOMONTH(DATEVALUE($B83&amp;"-01"),0)))-1)/4*100,"")</f>
        <v/>
      </c>
      <c r="Q83" t="str">
        <f>IF(H83="","",MIN(100,100*H83/Parametros!$B$4))</f>
        <v/>
      </c>
      <c r="R83" t="str">
        <f>IF(I83="","",IF(I83=0,100,MIN(100,100*Parametros!$B$5/I83)))</f>
        <v/>
      </c>
      <c r="S83" t="str">
        <f>IF(J83="","",IF(J83=0,100,MIN(100,100*Parametros!$B$6/J83)))</f>
        <v/>
      </c>
      <c r="T83" t="str">
        <f>IF(L83="","",MIN(100,100*L83/Parametros!$B$7))</f>
        <v/>
      </c>
      <c r="U83" t="str">
        <f>IF(K83="","",MIN(100,100*K83/Parametros!$B$8))</f>
        <v/>
      </c>
      <c r="V83" t="str">
        <f ca="1">IFERROR(((AVERAGEIFS(Documentacion!$C$2:$C$1000,Documentacion!$A$2:$A$1000,$A83,Documentacion!$B$2:$B$1000,"&gt;="&amp;DATEVALUE($B83&amp;"-01"),Documentacion!$B$2:$B$1000,"&lt;="&amp;EOMONTH(DATEVALUE($B83&amp;"-01"),0)))-1)/4*100,"")</f>
        <v/>
      </c>
      <c r="W83" t="str">
        <f ca="1">IFERROR(((AVERAGEIFS(Feedback_360!$D$2:$D$1000,Feedback_360!$A$2:$A$1000,$A83,Feedback_360!$B$2:$B$1000,"&gt;="&amp;DATEVALUE($B83&amp;"-01"),Feedback_360!$B$2:$B$1000,"&lt;="&amp;EOMONTH(DATEVALUE($B83&amp;"-01"),0)))-1)/4*100,"")</f>
        <v/>
      </c>
      <c r="X83" t="str">
        <f ca="1">IFERROR(((AVERAGEIFS(Observacion_Directa!$D$2:$D$1000,Observacion_Directa!$A$2:$A$1000,$A83,Observacion_Directa!$B$2:$B$1000,"&gt;="&amp;DATEVALUE($B83&amp;"-01"),Observacion_Directa!$B$2:$B$1000,"&lt;="&amp;EOMONTH(DATEVALUE($B83&amp;"-01"),0)))-1)/4*100,"")</f>
        <v/>
      </c>
      <c r="Y83" t="e">
        <f t="shared" ca="1" si="3"/>
        <v>#DIV/0!</v>
      </c>
    </row>
    <row r="84" spans="12:25" x14ac:dyDescent="0.2">
      <c r="L84" t="str">
        <f t="shared" si="2"/>
        <v/>
      </c>
      <c r="M84" t="str">
        <f>IFERROR(AVERAGEIFS(Prod_5dias!$H$2:$H$1000,Prod_5dias!$A$2:$A$1000,$A84,Prod_5dias!$B$2:$B$1000,$B84),"")</f>
        <v/>
      </c>
      <c r="N84" t="str">
        <f>IF(M84="","",MIN(100,100*M84/Parametros!$B$7))</f>
        <v/>
      </c>
      <c r="O84" t="str">
        <f>IF(F84="","",IF(F84=0,100,MIN(100,100*Parametros!$B$3/F84)))</f>
        <v/>
      </c>
      <c r="P84" t="str">
        <f ca="1">IFERROR(((AVERAGEIFS(Observacion_Directa!$E$2:$E$1000,Observacion_Directa!$A$2:$A$1000,$A84,Observacion_Directa!$B$2:$B$1000,"&gt;="&amp;DATEVALUE($B84&amp;"-01"),Observacion_Directa!$B$2:$B$1000,"&lt;="&amp;EOMONTH(DATEVALUE($B84&amp;"-01"),0)))-1)/4*100,"")</f>
        <v/>
      </c>
      <c r="Q84" t="str">
        <f>IF(H84="","",MIN(100,100*H84/Parametros!$B$4))</f>
        <v/>
      </c>
      <c r="R84" t="str">
        <f>IF(I84="","",IF(I84=0,100,MIN(100,100*Parametros!$B$5/I84)))</f>
        <v/>
      </c>
      <c r="S84" t="str">
        <f>IF(J84="","",IF(J84=0,100,MIN(100,100*Parametros!$B$6/J84)))</f>
        <v/>
      </c>
      <c r="T84" t="str">
        <f>IF(L84="","",MIN(100,100*L84/Parametros!$B$7))</f>
        <v/>
      </c>
      <c r="U84" t="str">
        <f>IF(K84="","",MIN(100,100*K84/Parametros!$B$8))</f>
        <v/>
      </c>
      <c r="V84" t="str">
        <f ca="1">IFERROR(((AVERAGEIFS(Documentacion!$C$2:$C$1000,Documentacion!$A$2:$A$1000,$A84,Documentacion!$B$2:$B$1000,"&gt;="&amp;DATEVALUE($B84&amp;"-01"),Documentacion!$B$2:$B$1000,"&lt;="&amp;EOMONTH(DATEVALUE($B84&amp;"-01"),0)))-1)/4*100,"")</f>
        <v/>
      </c>
      <c r="W84" t="str">
        <f ca="1">IFERROR(((AVERAGEIFS(Feedback_360!$D$2:$D$1000,Feedback_360!$A$2:$A$1000,$A84,Feedback_360!$B$2:$B$1000,"&gt;="&amp;DATEVALUE($B84&amp;"-01"),Feedback_360!$B$2:$B$1000,"&lt;="&amp;EOMONTH(DATEVALUE($B84&amp;"-01"),0)))-1)/4*100,"")</f>
        <v/>
      </c>
      <c r="X84" t="str">
        <f ca="1">IFERROR(((AVERAGEIFS(Observacion_Directa!$D$2:$D$1000,Observacion_Directa!$A$2:$A$1000,$A84,Observacion_Directa!$B$2:$B$1000,"&gt;="&amp;DATEVALUE($B84&amp;"-01"),Observacion_Directa!$B$2:$B$1000,"&lt;="&amp;EOMONTH(DATEVALUE($B84&amp;"-01"),0)))-1)/4*100,"")</f>
        <v/>
      </c>
      <c r="Y84" t="e">
        <f t="shared" ca="1" si="3"/>
        <v>#DIV/0!</v>
      </c>
    </row>
    <row r="85" spans="12:25" x14ac:dyDescent="0.2">
      <c r="L85" t="str">
        <f t="shared" si="2"/>
        <v/>
      </c>
      <c r="M85" t="str">
        <f>IFERROR(AVERAGEIFS(Prod_5dias!$H$2:$H$1000,Prod_5dias!$A$2:$A$1000,$A85,Prod_5dias!$B$2:$B$1000,$B85),"")</f>
        <v/>
      </c>
      <c r="N85" t="str">
        <f>IF(M85="","",MIN(100,100*M85/Parametros!$B$7))</f>
        <v/>
      </c>
      <c r="O85" t="str">
        <f>IF(F85="","",IF(F85=0,100,MIN(100,100*Parametros!$B$3/F85)))</f>
        <v/>
      </c>
      <c r="P85" t="str">
        <f ca="1">IFERROR(((AVERAGEIFS(Observacion_Directa!$E$2:$E$1000,Observacion_Directa!$A$2:$A$1000,$A85,Observacion_Directa!$B$2:$B$1000,"&gt;="&amp;DATEVALUE($B85&amp;"-01"),Observacion_Directa!$B$2:$B$1000,"&lt;="&amp;EOMONTH(DATEVALUE($B85&amp;"-01"),0)))-1)/4*100,"")</f>
        <v/>
      </c>
      <c r="Q85" t="str">
        <f>IF(H85="","",MIN(100,100*H85/Parametros!$B$4))</f>
        <v/>
      </c>
      <c r="R85" t="str">
        <f>IF(I85="","",IF(I85=0,100,MIN(100,100*Parametros!$B$5/I85)))</f>
        <v/>
      </c>
      <c r="S85" t="str">
        <f>IF(J85="","",IF(J85=0,100,MIN(100,100*Parametros!$B$6/J85)))</f>
        <v/>
      </c>
      <c r="T85" t="str">
        <f>IF(L85="","",MIN(100,100*L85/Parametros!$B$7))</f>
        <v/>
      </c>
      <c r="U85" t="str">
        <f>IF(K85="","",MIN(100,100*K85/Parametros!$B$8))</f>
        <v/>
      </c>
      <c r="V85" t="str">
        <f ca="1">IFERROR(((AVERAGEIFS(Documentacion!$C$2:$C$1000,Documentacion!$A$2:$A$1000,$A85,Documentacion!$B$2:$B$1000,"&gt;="&amp;DATEVALUE($B85&amp;"-01"),Documentacion!$B$2:$B$1000,"&lt;="&amp;EOMONTH(DATEVALUE($B85&amp;"-01"),0)))-1)/4*100,"")</f>
        <v/>
      </c>
      <c r="W85" t="str">
        <f ca="1">IFERROR(((AVERAGEIFS(Feedback_360!$D$2:$D$1000,Feedback_360!$A$2:$A$1000,$A85,Feedback_360!$B$2:$B$1000,"&gt;="&amp;DATEVALUE($B85&amp;"-01"),Feedback_360!$B$2:$B$1000,"&lt;="&amp;EOMONTH(DATEVALUE($B85&amp;"-01"),0)))-1)/4*100,"")</f>
        <v/>
      </c>
      <c r="X85" t="str">
        <f ca="1">IFERROR(((AVERAGEIFS(Observacion_Directa!$D$2:$D$1000,Observacion_Directa!$A$2:$A$1000,$A85,Observacion_Directa!$B$2:$B$1000,"&gt;="&amp;DATEVALUE($B85&amp;"-01"),Observacion_Directa!$B$2:$B$1000,"&lt;="&amp;EOMONTH(DATEVALUE($B85&amp;"-01"),0)))-1)/4*100,"")</f>
        <v/>
      </c>
      <c r="Y85" t="e">
        <f t="shared" ca="1" si="3"/>
        <v>#DIV/0!</v>
      </c>
    </row>
    <row r="86" spans="12:25" x14ac:dyDescent="0.2">
      <c r="L86" t="str">
        <f t="shared" si="2"/>
        <v/>
      </c>
      <c r="M86" t="str">
        <f>IFERROR(AVERAGEIFS(Prod_5dias!$H$2:$H$1000,Prod_5dias!$A$2:$A$1000,$A86,Prod_5dias!$B$2:$B$1000,$B86),"")</f>
        <v/>
      </c>
      <c r="N86" t="str">
        <f>IF(M86="","",MIN(100,100*M86/Parametros!$B$7))</f>
        <v/>
      </c>
      <c r="O86" t="str">
        <f>IF(F86="","",IF(F86=0,100,MIN(100,100*Parametros!$B$3/F86)))</f>
        <v/>
      </c>
      <c r="P86" t="str">
        <f ca="1">IFERROR(((AVERAGEIFS(Observacion_Directa!$E$2:$E$1000,Observacion_Directa!$A$2:$A$1000,$A86,Observacion_Directa!$B$2:$B$1000,"&gt;="&amp;DATEVALUE($B86&amp;"-01"),Observacion_Directa!$B$2:$B$1000,"&lt;="&amp;EOMONTH(DATEVALUE($B86&amp;"-01"),0)))-1)/4*100,"")</f>
        <v/>
      </c>
      <c r="Q86" t="str">
        <f>IF(H86="","",MIN(100,100*H86/Parametros!$B$4))</f>
        <v/>
      </c>
      <c r="R86" t="str">
        <f>IF(I86="","",IF(I86=0,100,MIN(100,100*Parametros!$B$5/I86)))</f>
        <v/>
      </c>
      <c r="S86" t="str">
        <f>IF(J86="","",IF(J86=0,100,MIN(100,100*Parametros!$B$6/J86)))</f>
        <v/>
      </c>
      <c r="T86" t="str">
        <f>IF(L86="","",MIN(100,100*L86/Parametros!$B$7))</f>
        <v/>
      </c>
      <c r="U86" t="str">
        <f>IF(K86="","",MIN(100,100*K86/Parametros!$B$8))</f>
        <v/>
      </c>
      <c r="V86" t="str">
        <f ca="1">IFERROR(((AVERAGEIFS(Documentacion!$C$2:$C$1000,Documentacion!$A$2:$A$1000,$A86,Documentacion!$B$2:$B$1000,"&gt;="&amp;DATEVALUE($B86&amp;"-01"),Documentacion!$B$2:$B$1000,"&lt;="&amp;EOMONTH(DATEVALUE($B86&amp;"-01"),0)))-1)/4*100,"")</f>
        <v/>
      </c>
      <c r="W86" t="str">
        <f ca="1">IFERROR(((AVERAGEIFS(Feedback_360!$D$2:$D$1000,Feedback_360!$A$2:$A$1000,$A86,Feedback_360!$B$2:$B$1000,"&gt;="&amp;DATEVALUE($B86&amp;"-01"),Feedback_360!$B$2:$B$1000,"&lt;="&amp;EOMONTH(DATEVALUE($B86&amp;"-01"),0)))-1)/4*100,"")</f>
        <v/>
      </c>
      <c r="X86" t="str">
        <f ca="1">IFERROR(((AVERAGEIFS(Observacion_Directa!$D$2:$D$1000,Observacion_Directa!$A$2:$A$1000,$A86,Observacion_Directa!$B$2:$B$1000,"&gt;="&amp;DATEVALUE($B86&amp;"-01"),Observacion_Directa!$B$2:$B$1000,"&lt;="&amp;EOMONTH(DATEVALUE($B86&amp;"-01"),0)))-1)/4*100,"")</f>
        <v/>
      </c>
      <c r="Y86" t="e">
        <f t="shared" ca="1" si="3"/>
        <v>#DIV/0!</v>
      </c>
    </row>
    <row r="87" spans="12:25" x14ac:dyDescent="0.2">
      <c r="L87" t="str">
        <f t="shared" si="2"/>
        <v/>
      </c>
      <c r="M87" t="str">
        <f>IFERROR(AVERAGEIFS(Prod_5dias!$H$2:$H$1000,Prod_5dias!$A$2:$A$1000,$A87,Prod_5dias!$B$2:$B$1000,$B87),"")</f>
        <v/>
      </c>
      <c r="N87" t="str">
        <f>IF(M87="","",MIN(100,100*M87/Parametros!$B$7))</f>
        <v/>
      </c>
      <c r="O87" t="str">
        <f>IF(F87="","",IF(F87=0,100,MIN(100,100*Parametros!$B$3/F87)))</f>
        <v/>
      </c>
      <c r="P87" t="str">
        <f ca="1">IFERROR(((AVERAGEIFS(Observacion_Directa!$E$2:$E$1000,Observacion_Directa!$A$2:$A$1000,$A87,Observacion_Directa!$B$2:$B$1000,"&gt;="&amp;DATEVALUE($B87&amp;"-01"),Observacion_Directa!$B$2:$B$1000,"&lt;="&amp;EOMONTH(DATEVALUE($B87&amp;"-01"),0)))-1)/4*100,"")</f>
        <v/>
      </c>
      <c r="Q87" t="str">
        <f>IF(H87="","",MIN(100,100*H87/Parametros!$B$4))</f>
        <v/>
      </c>
      <c r="R87" t="str">
        <f>IF(I87="","",IF(I87=0,100,MIN(100,100*Parametros!$B$5/I87)))</f>
        <v/>
      </c>
      <c r="S87" t="str">
        <f>IF(J87="","",IF(J87=0,100,MIN(100,100*Parametros!$B$6/J87)))</f>
        <v/>
      </c>
      <c r="T87" t="str">
        <f>IF(L87="","",MIN(100,100*L87/Parametros!$B$7))</f>
        <v/>
      </c>
      <c r="U87" t="str">
        <f>IF(K87="","",MIN(100,100*K87/Parametros!$B$8))</f>
        <v/>
      </c>
      <c r="V87" t="str">
        <f ca="1">IFERROR(((AVERAGEIFS(Documentacion!$C$2:$C$1000,Documentacion!$A$2:$A$1000,$A87,Documentacion!$B$2:$B$1000,"&gt;="&amp;DATEVALUE($B87&amp;"-01"),Documentacion!$B$2:$B$1000,"&lt;="&amp;EOMONTH(DATEVALUE($B87&amp;"-01"),0)))-1)/4*100,"")</f>
        <v/>
      </c>
      <c r="W87" t="str">
        <f ca="1">IFERROR(((AVERAGEIFS(Feedback_360!$D$2:$D$1000,Feedback_360!$A$2:$A$1000,$A87,Feedback_360!$B$2:$B$1000,"&gt;="&amp;DATEVALUE($B87&amp;"-01"),Feedback_360!$B$2:$B$1000,"&lt;="&amp;EOMONTH(DATEVALUE($B87&amp;"-01"),0)))-1)/4*100,"")</f>
        <v/>
      </c>
      <c r="X87" t="str">
        <f ca="1">IFERROR(((AVERAGEIFS(Observacion_Directa!$D$2:$D$1000,Observacion_Directa!$A$2:$A$1000,$A87,Observacion_Directa!$B$2:$B$1000,"&gt;="&amp;DATEVALUE($B87&amp;"-01"),Observacion_Directa!$B$2:$B$1000,"&lt;="&amp;EOMONTH(DATEVALUE($B87&amp;"-01"),0)))-1)/4*100,"")</f>
        <v/>
      </c>
      <c r="Y87" t="e">
        <f t="shared" ca="1" si="3"/>
        <v>#DIV/0!</v>
      </c>
    </row>
    <row r="88" spans="12:25" x14ac:dyDescent="0.2">
      <c r="L88" t="str">
        <f t="shared" si="2"/>
        <v/>
      </c>
      <c r="M88" t="str">
        <f>IFERROR(AVERAGEIFS(Prod_5dias!$H$2:$H$1000,Prod_5dias!$A$2:$A$1000,$A88,Prod_5dias!$B$2:$B$1000,$B88),"")</f>
        <v/>
      </c>
      <c r="N88" t="str">
        <f>IF(M88="","",MIN(100,100*M88/Parametros!$B$7))</f>
        <v/>
      </c>
      <c r="O88" t="str">
        <f>IF(F88="","",IF(F88=0,100,MIN(100,100*Parametros!$B$3/F88)))</f>
        <v/>
      </c>
      <c r="P88" t="str">
        <f ca="1">IFERROR(((AVERAGEIFS(Observacion_Directa!$E$2:$E$1000,Observacion_Directa!$A$2:$A$1000,$A88,Observacion_Directa!$B$2:$B$1000,"&gt;="&amp;DATEVALUE($B88&amp;"-01"),Observacion_Directa!$B$2:$B$1000,"&lt;="&amp;EOMONTH(DATEVALUE($B88&amp;"-01"),0)))-1)/4*100,"")</f>
        <v/>
      </c>
      <c r="Q88" t="str">
        <f>IF(H88="","",MIN(100,100*H88/Parametros!$B$4))</f>
        <v/>
      </c>
      <c r="R88" t="str">
        <f>IF(I88="","",IF(I88=0,100,MIN(100,100*Parametros!$B$5/I88)))</f>
        <v/>
      </c>
      <c r="S88" t="str">
        <f>IF(J88="","",IF(J88=0,100,MIN(100,100*Parametros!$B$6/J88)))</f>
        <v/>
      </c>
      <c r="T88" t="str">
        <f>IF(L88="","",MIN(100,100*L88/Parametros!$B$7))</f>
        <v/>
      </c>
      <c r="U88" t="str">
        <f>IF(K88="","",MIN(100,100*K88/Parametros!$B$8))</f>
        <v/>
      </c>
      <c r="V88" t="str">
        <f ca="1">IFERROR(((AVERAGEIFS(Documentacion!$C$2:$C$1000,Documentacion!$A$2:$A$1000,$A88,Documentacion!$B$2:$B$1000,"&gt;="&amp;DATEVALUE($B88&amp;"-01"),Documentacion!$B$2:$B$1000,"&lt;="&amp;EOMONTH(DATEVALUE($B88&amp;"-01"),0)))-1)/4*100,"")</f>
        <v/>
      </c>
      <c r="W88" t="str">
        <f ca="1">IFERROR(((AVERAGEIFS(Feedback_360!$D$2:$D$1000,Feedback_360!$A$2:$A$1000,$A88,Feedback_360!$B$2:$B$1000,"&gt;="&amp;DATEVALUE($B88&amp;"-01"),Feedback_360!$B$2:$B$1000,"&lt;="&amp;EOMONTH(DATEVALUE($B88&amp;"-01"),0)))-1)/4*100,"")</f>
        <v/>
      </c>
      <c r="X88" t="str">
        <f ca="1">IFERROR(((AVERAGEIFS(Observacion_Directa!$D$2:$D$1000,Observacion_Directa!$A$2:$A$1000,$A88,Observacion_Directa!$B$2:$B$1000,"&gt;="&amp;DATEVALUE($B88&amp;"-01"),Observacion_Directa!$B$2:$B$1000,"&lt;="&amp;EOMONTH(DATEVALUE($B88&amp;"-01"),0)))-1)/4*100,"")</f>
        <v/>
      </c>
      <c r="Y88" t="e">
        <f t="shared" ca="1" si="3"/>
        <v>#DIV/0!</v>
      </c>
    </row>
    <row r="89" spans="12:25" x14ac:dyDescent="0.2">
      <c r="L89" t="str">
        <f t="shared" si="2"/>
        <v/>
      </c>
      <c r="M89" t="str">
        <f>IFERROR(AVERAGEIFS(Prod_5dias!$H$2:$H$1000,Prod_5dias!$A$2:$A$1000,$A89,Prod_5dias!$B$2:$B$1000,$B89),"")</f>
        <v/>
      </c>
      <c r="N89" t="str">
        <f>IF(M89="","",MIN(100,100*M89/Parametros!$B$7))</f>
        <v/>
      </c>
      <c r="O89" t="str">
        <f>IF(F89="","",IF(F89=0,100,MIN(100,100*Parametros!$B$3/F89)))</f>
        <v/>
      </c>
      <c r="P89" t="str">
        <f ca="1">IFERROR(((AVERAGEIFS(Observacion_Directa!$E$2:$E$1000,Observacion_Directa!$A$2:$A$1000,$A89,Observacion_Directa!$B$2:$B$1000,"&gt;="&amp;DATEVALUE($B89&amp;"-01"),Observacion_Directa!$B$2:$B$1000,"&lt;="&amp;EOMONTH(DATEVALUE($B89&amp;"-01"),0)))-1)/4*100,"")</f>
        <v/>
      </c>
      <c r="Q89" t="str">
        <f>IF(H89="","",MIN(100,100*H89/Parametros!$B$4))</f>
        <v/>
      </c>
      <c r="R89" t="str">
        <f>IF(I89="","",IF(I89=0,100,MIN(100,100*Parametros!$B$5/I89)))</f>
        <v/>
      </c>
      <c r="S89" t="str">
        <f>IF(J89="","",IF(J89=0,100,MIN(100,100*Parametros!$B$6/J89)))</f>
        <v/>
      </c>
      <c r="T89" t="str">
        <f>IF(L89="","",MIN(100,100*L89/Parametros!$B$7))</f>
        <v/>
      </c>
      <c r="U89" t="str">
        <f>IF(K89="","",MIN(100,100*K89/Parametros!$B$8))</f>
        <v/>
      </c>
      <c r="V89" t="str">
        <f ca="1">IFERROR(((AVERAGEIFS(Documentacion!$C$2:$C$1000,Documentacion!$A$2:$A$1000,$A89,Documentacion!$B$2:$B$1000,"&gt;="&amp;DATEVALUE($B89&amp;"-01"),Documentacion!$B$2:$B$1000,"&lt;="&amp;EOMONTH(DATEVALUE($B89&amp;"-01"),0)))-1)/4*100,"")</f>
        <v/>
      </c>
      <c r="W89" t="str">
        <f ca="1">IFERROR(((AVERAGEIFS(Feedback_360!$D$2:$D$1000,Feedback_360!$A$2:$A$1000,$A89,Feedback_360!$B$2:$B$1000,"&gt;="&amp;DATEVALUE($B89&amp;"-01"),Feedback_360!$B$2:$B$1000,"&lt;="&amp;EOMONTH(DATEVALUE($B89&amp;"-01"),0)))-1)/4*100,"")</f>
        <v/>
      </c>
      <c r="X89" t="str">
        <f ca="1">IFERROR(((AVERAGEIFS(Observacion_Directa!$D$2:$D$1000,Observacion_Directa!$A$2:$A$1000,$A89,Observacion_Directa!$B$2:$B$1000,"&gt;="&amp;DATEVALUE($B89&amp;"-01"),Observacion_Directa!$B$2:$B$1000,"&lt;="&amp;EOMONTH(DATEVALUE($B89&amp;"-01"),0)))-1)/4*100,"")</f>
        <v/>
      </c>
      <c r="Y89" t="e">
        <f t="shared" ca="1" si="3"/>
        <v>#DIV/0!</v>
      </c>
    </row>
    <row r="90" spans="12:25" x14ac:dyDescent="0.2">
      <c r="L90" t="str">
        <f t="shared" si="2"/>
        <v/>
      </c>
      <c r="M90" t="str">
        <f>IFERROR(AVERAGEIFS(Prod_5dias!$H$2:$H$1000,Prod_5dias!$A$2:$A$1000,$A90,Prod_5dias!$B$2:$B$1000,$B90),"")</f>
        <v/>
      </c>
      <c r="N90" t="str">
        <f>IF(M90="","",MIN(100,100*M90/Parametros!$B$7))</f>
        <v/>
      </c>
      <c r="O90" t="str">
        <f>IF(F90="","",IF(F90=0,100,MIN(100,100*Parametros!$B$3/F90)))</f>
        <v/>
      </c>
      <c r="P90" t="str">
        <f ca="1">IFERROR(((AVERAGEIFS(Observacion_Directa!$E$2:$E$1000,Observacion_Directa!$A$2:$A$1000,$A90,Observacion_Directa!$B$2:$B$1000,"&gt;="&amp;DATEVALUE($B90&amp;"-01"),Observacion_Directa!$B$2:$B$1000,"&lt;="&amp;EOMONTH(DATEVALUE($B90&amp;"-01"),0)))-1)/4*100,"")</f>
        <v/>
      </c>
      <c r="Q90" t="str">
        <f>IF(H90="","",MIN(100,100*H90/Parametros!$B$4))</f>
        <v/>
      </c>
      <c r="R90" t="str">
        <f>IF(I90="","",IF(I90=0,100,MIN(100,100*Parametros!$B$5/I90)))</f>
        <v/>
      </c>
      <c r="S90" t="str">
        <f>IF(J90="","",IF(J90=0,100,MIN(100,100*Parametros!$B$6/J90)))</f>
        <v/>
      </c>
      <c r="T90" t="str">
        <f>IF(L90="","",MIN(100,100*L90/Parametros!$B$7))</f>
        <v/>
      </c>
      <c r="U90" t="str">
        <f>IF(K90="","",MIN(100,100*K90/Parametros!$B$8))</f>
        <v/>
      </c>
      <c r="V90" t="str">
        <f ca="1">IFERROR(((AVERAGEIFS(Documentacion!$C$2:$C$1000,Documentacion!$A$2:$A$1000,$A90,Documentacion!$B$2:$B$1000,"&gt;="&amp;DATEVALUE($B90&amp;"-01"),Documentacion!$B$2:$B$1000,"&lt;="&amp;EOMONTH(DATEVALUE($B90&amp;"-01"),0)))-1)/4*100,"")</f>
        <v/>
      </c>
      <c r="W90" t="str">
        <f ca="1">IFERROR(((AVERAGEIFS(Feedback_360!$D$2:$D$1000,Feedback_360!$A$2:$A$1000,$A90,Feedback_360!$B$2:$B$1000,"&gt;="&amp;DATEVALUE($B90&amp;"-01"),Feedback_360!$B$2:$B$1000,"&lt;="&amp;EOMONTH(DATEVALUE($B90&amp;"-01"),0)))-1)/4*100,"")</f>
        <v/>
      </c>
      <c r="X90" t="str">
        <f ca="1">IFERROR(((AVERAGEIFS(Observacion_Directa!$D$2:$D$1000,Observacion_Directa!$A$2:$A$1000,$A90,Observacion_Directa!$B$2:$B$1000,"&gt;="&amp;DATEVALUE($B90&amp;"-01"),Observacion_Directa!$B$2:$B$1000,"&lt;="&amp;EOMONTH(DATEVALUE($B90&amp;"-01"),0)))-1)/4*100,"")</f>
        <v/>
      </c>
      <c r="Y90" t="e">
        <f t="shared" ca="1" si="3"/>
        <v>#DIV/0!</v>
      </c>
    </row>
    <row r="91" spans="12:25" x14ac:dyDescent="0.2">
      <c r="L91" t="str">
        <f t="shared" si="2"/>
        <v/>
      </c>
      <c r="M91" t="str">
        <f>IFERROR(AVERAGEIFS(Prod_5dias!$H$2:$H$1000,Prod_5dias!$A$2:$A$1000,$A91,Prod_5dias!$B$2:$B$1000,$B91),"")</f>
        <v/>
      </c>
      <c r="N91" t="str">
        <f>IF(M91="","",MIN(100,100*M91/Parametros!$B$7))</f>
        <v/>
      </c>
      <c r="O91" t="str">
        <f>IF(F91="","",IF(F91=0,100,MIN(100,100*Parametros!$B$3/F91)))</f>
        <v/>
      </c>
      <c r="P91" t="str">
        <f ca="1">IFERROR(((AVERAGEIFS(Observacion_Directa!$E$2:$E$1000,Observacion_Directa!$A$2:$A$1000,$A91,Observacion_Directa!$B$2:$B$1000,"&gt;="&amp;DATEVALUE($B91&amp;"-01"),Observacion_Directa!$B$2:$B$1000,"&lt;="&amp;EOMONTH(DATEVALUE($B91&amp;"-01"),0)))-1)/4*100,"")</f>
        <v/>
      </c>
      <c r="Q91" t="str">
        <f>IF(H91="","",MIN(100,100*H91/Parametros!$B$4))</f>
        <v/>
      </c>
      <c r="R91" t="str">
        <f>IF(I91="","",IF(I91=0,100,MIN(100,100*Parametros!$B$5/I91)))</f>
        <v/>
      </c>
      <c r="S91" t="str">
        <f>IF(J91="","",IF(J91=0,100,MIN(100,100*Parametros!$B$6/J91)))</f>
        <v/>
      </c>
      <c r="T91" t="str">
        <f>IF(L91="","",MIN(100,100*L91/Parametros!$B$7))</f>
        <v/>
      </c>
      <c r="U91" t="str">
        <f>IF(K91="","",MIN(100,100*K91/Parametros!$B$8))</f>
        <v/>
      </c>
      <c r="V91" t="str">
        <f ca="1">IFERROR(((AVERAGEIFS(Documentacion!$C$2:$C$1000,Documentacion!$A$2:$A$1000,$A91,Documentacion!$B$2:$B$1000,"&gt;="&amp;DATEVALUE($B91&amp;"-01"),Documentacion!$B$2:$B$1000,"&lt;="&amp;EOMONTH(DATEVALUE($B91&amp;"-01"),0)))-1)/4*100,"")</f>
        <v/>
      </c>
      <c r="W91" t="str">
        <f ca="1">IFERROR(((AVERAGEIFS(Feedback_360!$D$2:$D$1000,Feedback_360!$A$2:$A$1000,$A91,Feedback_360!$B$2:$B$1000,"&gt;="&amp;DATEVALUE($B91&amp;"-01"),Feedback_360!$B$2:$B$1000,"&lt;="&amp;EOMONTH(DATEVALUE($B91&amp;"-01"),0)))-1)/4*100,"")</f>
        <v/>
      </c>
      <c r="X91" t="str">
        <f ca="1">IFERROR(((AVERAGEIFS(Observacion_Directa!$D$2:$D$1000,Observacion_Directa!$A$2:$A$1000,$A91,Observacion_Directa!$B$2:$B$1000,"&gt;="&amp;DATEVALUE($B91&amp;"-01"),Observacion_Directa!$B$2:$B$1000,"&lt;="&amp;EOMONTH(DATEVALUE($B91&amp;"-01"),0)))-1)/4*100,"")</f>
        <v/>
      </c>
      <c r="Y91" t="e">
        <f t="shared" ca="1" si="3"/>
        <v>#DIV/0!</v>
      </c>
    </row>
    <row r="92" spans="12:25" x14ac:dyDescent="0.2">
      <c r="L92" t="str">
        <f t="shared" si="2"/>
        <v/>
      </c>
      <c r="M92" t="str">
        <f>IFERROR(AVERAGEIFS(Prod_5dias!$H$2:$H$1000,Prod_5dias!$A$2:$A$1000,$A92,Prod_5dias!$B$2:$B$1000,$B92),"")</f>
        <v/>
      </c>
      <c r="N92" t="str">
        <f>IF(M92="","",MIN(100,100*M92/Parametros!$B$7))</f>
        <v/>
      </c>
      <c r="O92" t="str">
        <f>IF(F92="","",IF(F92=0,100,MIN(100,100*Parametros!$B$3/F92)))</f>
        <v/>
      </c>
      <c r="P92" t="str">
        <f ca="1">IFERROR(((AVERAGEIFS(Observacion_Directa!$E$2:$E$1000,Observacion_Directa!$A$2:$A$1000,$A92,Observacion_Directa!$B$2:$B$1000,"&gt;="&amp;DATEVALUE($B92&amp;"-01"),Observacion_Directa!$B$2:$B$1000,"&lt;="&amp;EOMONTH(DATEVALUE($B92&amp;"-01"),0)))-1)/4*100,"")</f>
        <v/>
      </c>
      <c r="Q92" t="str">
        <f>IF(H92="","",MIN(100,100*H92/Parametros!$B$4))</f>
        <v/>
      </c>
      <c r="R92" t="str">
        <f>IF(I92="","",IF(I92=0,100,MIN(100,100*Parametros!$B$5/I92)))</f>
        <v/>
      </c>
      <c r="S92" t="str">
        <f>IF(J92="","",IF(J92=0,100,MIN(100,100*Parametros!$B$6/J92)))</f>
        <v/>
      </c>
      <c r="T92" t="str">
        <f>IF(L92="","",MIN(100,100*L92/Parametros!$B$7))</f>
        <v/>
      </c>
      <c r="U92" t="str">
        <f>IF(K92="","",MIN(100,100*K92/Parametros!$B$8))</f>
        <v/>
      </c>
      <c r="V92" t="str">
        <f ca="1">IFERROR(((AVERAGEIFS(Documentacion!$C$2:$C$1000,Documentacion!$A$2:$A$1000,$A92,Documentacion!$B$2:$B$1000,"&gt;="&amp;DATEVALUE($B92&amp;"-01"),Documentacion!$B$2:$B$1000,"&lt;="&amp;EOMONTH(DATEVALUE($B92&amp;"-01"),0)))-1)/4*100,"")</f>
        <v/>
      </c>
      <c r="W92" t="str">
        <f ca="1">IFERROR(((AVERAGEIFS(Feedback_360!$D$2:$D$1000,Feedback_360!$A$2:$A$1000,$A92,Feedback_360!$B$2:$B$1000,"&gt;="&amp;DATEVALUE($B92&amp;"-01"),Feedback_360!$B$2:$B$1000,"&lt;="&amp;EOMONTH(DATEVALUE($B92&amp;"-01"),0)))-1)/4*100,"")</f>
        <v/>
      </c>
      <c r="X92" t="str">
        <f ca="1">IFERROR(((AVERAGEIFS(Observacion_Directa!$D$2:$D$1000,Observacion_Directa!$A$2:$A$1000,$A92,Observacion_Directa!$B$2:$B$1000,"&gt;="&amp;DATEVALUE($B92&amp;"-01"),Observacion_Directa!$B$2:$B$1000,"&lt;="&amp;EOMONTH(DATEVALUE($B92&amp;"-01"),0)))-1)/4*100,"")</f>
        <v/>
      </c>
      <c r="Y92" t="e">
        <f t="shared" ca="1" si="3"/>
        <v>#DIV/0!</v>
      </c>
    </row>
    <row r="93" spans="12:25" x14ac:dyDescent="0.2">
      <c r="L93" t="str">
        <f t="shared" si="2"/>
        <v/>
      </c>
      <c r="M93" t="str">
        <f>IFERROR(AVERAGEIFS(Prod_5dias!$H$2:$H$1000,Prod_5dias!$A$2:$A$1000,$A93,Prod_5dias!$B$2:$B$1000,$B93),"")</f>
        <v/>
      </c>
      <c r="N93" t="str">
        <f>IF(M93="","",MIN(100,100*M93/Parametros!$B$7))</f>
        <v/>
      </c>
      <c r="O93" t="str">
        <f>IF(F93="","",IF(F93=0,100,MIN(100,100*Parametros!$B$3/F93)))</f>
        <v/>
      </c>
      <c r="P93" t="str">
        <f ca="1">IFERROR(((AVERAGEIFS(Observacion_Directa!$E$2:$E$1000,Observacion_Directa!$A$2:$A$1000,$A93,Observacion_Directa!$B$2:$B$1000,"&gt;="&amp;DATEVALUE($B93&amp;"-01"),Observacion_Directa!$B$2:$B$1000,"&lt;="&amp;EOMONTH(DATEVALUE($B93&amp;"-01"),0)))-1)/4*100,"")</f>
        <v/>
      </c>
      <c r="Q93" t="str">
        <f>IF(H93="","",MIN(100,100*H93/Parametros!$B$4))</f>
        <v/>
      </c>
      <c r="R93" t="str">
        <f>IF(I93="","",IF(I93=0,100,MIN(100,100*Parametros!$B$5/I93)))</f>
        <v/>
      </c>
      <c r="S93" t="str">
        <f>IF(J93="","",IF(J93=0,100,MIN(100,100*Parametros!$B$6/J93)))</f>
        <v/>
      </c>
      <c r="T93" t="str">
        <f>IF(L93="","",MIN(100,100*L93/Parametros!$B$7))</f>
        <v/>
      </c>
      <c r="U93" t="str">
        <f>IF(K93="","",MIN(100,100*K93/Parametros!$B$8))</f>
        <v/>
      </c>
      <c r="V93" t="str">
        <f ca="1">IFERROR(((AVERAGEIFS(Documentacion!$C$2:$C$1000,Documentacion!$A$2:$A$1000,$A93,Documentacion!$B$2:$B$1000,"&gt;="&amp;DATEVALUE($B93&amp;"-01"),Documentacion!$B$2:$B$1000,"&lt;="&amp;EOMONTH(DATEVALUE($B93&amp;"-01"),0)))-1)/4*100,"")</f>
        <v/>
      </c>
      <c r="W93" t="str">
        <f ca="1">IFERROR(((AVERAGEIFS(Feedback_360!$D$2:$D$1000,Feedback_360!$A$2:$A$1000,$A93,Feedback_360!$B$2:$B$1000,"&gt;="&amp;DATEVALUE($B93&amp;"-01"),Feedback_360!$B$2:$B$1000,"&lt;="&amp;EOMONTH(DATEVALUE($B93&amp;"-01"),0)))-1)/4*100,"")</f>
        <v/>
      </c>
      <c r="X93" t="str">
        <f ca="1">IFERROR(((AVERAGEIFS(Observacion_Directa!$D$2:$D$1000,Observacion_Directa!$A$2:$A$1000,$A93,Observacion_Directa!$B$2:$B$1000,"&gt;="&amp;DATEVALUE($B93&amp;"-01"),Observacion_Directa!$B$2:$B$1000,"&lt;="&amp;EOMONTH(DATEVALUE($B93&amp;"-01"),0)))-1)/4*100,"")</f>
        <v/>
      </c>
      <c r="Y93" t="e">
        <f t="shared" ca="1" si="3"/>
        <v>#DIV/0!</v>
      </c>
    </row>
    <row r="94" spans="12:25" x14ac:dyDescent="0.2">
      <c r="L94" t="str">
        <f t="shared" si="2"/>
        <v/>
      </c>
      <c r="M94" t="str">
        <f>IFERROR(AVERAGEIFS(Prod_5dias!$H$2:$H$1000,Prod_5dias!$A$2:$A$1000,$A94,Prod_5dias!$B$2:$B$1000,$B94),"")</f>
        <v/>
      </c>
      <c r="N94" t="str">
        <f>IF(M94="","",MIN(100,100*M94/Parametros!$B$7))</f>
        <v/>
      </c>
      <c r="O94" t="str">
        <f>IF(F94="","",IF(F94=0,100,MIN(100,100*Parametros!$B$3/F94)))</f>
        <v/>
      </c>
      <c r="P94" t="str">
        <f ca="1">IFERROR(((AVERAGEIFS(Observacion_Directa!$E$2:$E$1000,Observacion_Directa!$A$2:$A$1000,$A94,Observacion_Directa!$B$2:$B$1000,"&gt;="&amp;DATEVALUE($B94&amp;"-01"),Observacion_Directa!$B$2:$B$1000,"&lt;="&amp;EOMONTH(DATEVALUE($B94&amp;"-01"),0)))-1)/4*100,"")</f>
        <v/>
      </c>
      <c r="Q94" t="str">
        <f>IF(H94="","",MIN(100,100*H94/Parametros!$B$4))</f>
        <v/>
      </c>
      <c r="R94" t="str">
        <f>IF(I94="","",IF(I94=0,100,MIN(100,100*Parametros!$B$5/I94)))</f>
        <v/>
      </c>
      <c r="S94" t="str">
        <f>IF(J94="","",IF(J94=0,100,MIN(100,100*Parametros!$B$6/J94)))</f>
        <v/>
      </c>
      <c r="T94" t="str">
        <f>IF(L94="","",MIN(100,100*L94/Parametros!$B$7))</f>
        <v/>
      </c>
      <c r="U94" t="str">
        <f>IF(K94="","",MIN(100,100*K94/Parametros!$B$8))</f>
        <v/>
      </c>
      <c r="V94" t="str">
        <f ca="1">IFERROR(((AVERAGEIFS(Documentacion!$C$2:$C$1000,Documentacion!$A$2:$A$1000,$A94,Documentacion!$B$2:$B$1000,"&gt;="&amp;DATEVALUE($B94&amp;"-01"),Documentacion!$B$2:$B$1000,"&lt;="&amp;EOMONTH(DATEVALUE($B94&amp;"-01"),0)))-1)/4*100,"")</f>
        <v/>
      </c>
      <c r="W94" t="str">
        <f ca="1">IFERROR(((AVERAGEIFS(Feedback_360!$D$2:$D$1000,Feedback_360!$A$2:$A$1000,$A94,Feedback_360!$B$2:$B$1000,"&gt;="&amp;DATEVALUE($B94&amp;"-01"),Feedback_360!$B$2:$B$1000,"&lt;="&amp;EOMONTH(DATEVALUE($B94&amp;"-01"),0)))-1)/4*100,"")</f>
        <v/>
      </c>
      <c r="X94" t="str">
        <f ca="1">IFERROR(((AVERAGEIFS(Observacion_Directa!$D$2:$D$1000,Observacion_Directa!$A$2:$A$1000,$A94,Observacion_Directa!$B$2:$B$1000,"&gt;="&amp;DATEVALUE($B94&amp;"-01"),Observacion_Directa!$B$2:$B$1000,"&lt;="&amp;EOMONTH(DATEVALUE($B94&amp;"-01"),0)))-1)/4*100,"")</f>
        <v/>
      </c>
      <c r="Y94" t="e">
        <f t="shared" ca="1" si="3"/>
        <v>#DIV/0!</v>
      </c>
    </row>
    <row r="95" spans="12:25" x14ac:dyDescent="0.2">
      <c r="L95" t="str">
        <f t="shared" si="2"/>
        <v/>
      </c>
      <c r="M95" t="str">
        <f>IFERROR(AVERAGEIFS(Prod_5dias!$H$2:$H$1000,Prod_5dias!$A$2:$A$1000,$A95,Prod_5dias!$B$2:$B$1000,$B95),"")</f>
        <v/>
      </c>
      <c r="N95" t="str">
        <f>IF(M95="","",MIN(100,100*M95/Parametros!$B$7))</f>
        <v/>
      </c>
      <c r="O95" t="str">
        <f>IF(F95="","",IF(F95=0,100,MIN(100,100*Parametros!$B$3/F95)))</f>
        <v/>
      </c>
      <c r="P95" t="str">
        <f ca="1">IFERROR(((AVERAGEIFS(Observacion_Directa!$E$2:$E$1000,Observacion_Directa!$A$2:$A$1000,$A95,Observacion_Directa!$B$2:$B$1000,"&gt;="&amp;DATEVALUE($B95&amp;"-01"),Observacion_Directa!$B$2:$B$1000,"&lt;="&amp;EOMONTH(DATEVALUE($B95&amp;"-01"),0)))-1)/4*100,"")</f>
        <v/>
      </c>
      <c r="Q95" t="str">
        <f>IF(H95="","",MIN(100,100*H95/Parametros!$B$4))</f>
        <v/>
      </c>
      <c r="R95" t="str">
        <f>IF(I95="","",IF(I95=0,100,MIN(100,100*Parametros!$B$5/I95)))</f>
        <v/>
      </c>
      <c r="S95" t="str">
        <f>IF(J95="","",IF(J95=0,100,MIN(100,100*Parametros!$B$6/J95)))</f>
        <v/>
      </c>
      <c r="T95" t="str">
        <f>IF(L95="","",MIN(100,100*L95/Parametros!$B$7))</f>
        <v/>
      </c>
      <c r="U95" t="str">
        <f>IF(K95="","",MIN(100,100*K95/Parametros!$B$8))</f>
        <v/>
      </c>
      <c r="V95" t="str">
        <f ca="1">IFERROR(((AVERAGEIFS(Documentacion!$C$2:$C$1000,Documentacion!$A$2:$A$1000,$A95,Documentacion!$B$2:$B$1000,"&gt;="&amp;DATEVALUE($B95&amp;"-01"),Documentacion!$B$2:$B$1000,"&lt;="&amp;EOMONTH(DATEVALUE($B95&amp;"-01"),0)))-1)/4*100,"")</f>
        <v/>
      </c>
      <c r="W95" t="str">
        <f ca="1">IFERROR(((AVERAGEIFS(Feedback_360!$D$2:$D$1000,Feedback_360!$A$2:$A$1000,$A95,Feedback_360!$B$2:$B$1000,"&gt;="&amp;DATEVALUE($B95&amp;"-01"),Feedback_360!$B$2:$B$1000,"&lt;="&amp;EOMONTH(DATEVALUE($B95&amp;"-01"),0)))-1)/4*100,"")</f>
        <v/>
      </c>
      <c r="X95" t="str">
        <f ca="1">IFERROR(((AVERAGEIFS(Observacion_Directa!$D$2:$D$1000,Observacion_Directa!$A$2:$A$1000,$A95,Observacion_Directa!$B$2:$B$1000,"&gt;="&amp;DATEVALUE($B95&amp;"-01"),Observacion_Directa!$B$2:$B$1000,"&lt;="&amp;EOMONTH(DATEVALUE($B95&amp;"-01"),0)))-1)/4*100,"")</f>
        <v/>
      </c>
      <c r="Y95" t="e">
        <f t="shared" ca="1" si="3"/>
        <v>#DIV/0!</v>
      </c>
    </row>
    <row r="96" spans="12:25" x14ac:dyDescent="0.2">
      <c r="L96" t="str">
        <f t="shared" si="2"/>
        <v/>
      </c>
      <c r="M96" t="str">
        <f>IFERROR(AVERAGEIFS(Prod_5dias!$H$2:$H$1000,Prod_5dias!$A$2:$A$1000,$A96,Prod_5dias!$B$2:$B$1000,$B96),"")</f>
        <v/>
      </c>
      <c r="N96" t="str">
        <f>IF(M96="","",MIN(100,100*M96/Parametros!$B$7))</f>
        <v/>
      </c>
      <c r="O96" t="str">
        <f>IF(F96="","",IF(F96=0,100,MIN(100,100*Parametros!$B$3/F96)))</f>
        <v/>
      </c>
      <c r="P96" t="str">
        <f ca="1">IFERROR(((AVERAGEIFS(Observacion_Directa!$E$2:$E$1000,Observacion_Directa!$A$2:$A$1000,$A96,Observacion_Directa!$B$2:$B$1000,"&gt;="&amp;DATEVALUE($B96&amp;"-01"),Observacion_Directa!$B$2:$B$1000,"&lt;="&amp;EOMONTH(DATEVALUE($B96&amp;"-01"),0)))-1)/4*100,"")</f>
        <v/>
      </c>
      <c r="Q96" t="str">
        <f>IF(H96="","",MIN(100,100*H96/Parametros!$B$4))</f>
        <v/>
      </c>
      <c r="R96" t="str">
        <f>IF(I96="","",IF(I96=0,100,MIN(100,100*Parametros!$B$5/I96)))</f>
        <v/>
      </c>
      <c r="S96" t="str">
        <f>IF(J96="","",IF(J96=0,100,MIN(100,100*Parametros!$B$6/J96)))</f>
        <v/>
      </c>
      <c r="T96" t="str">
        <f>IF(L96="","",MIN(100,100*L96/Parametros!$B$7))</f>
        <v/>
      </c>
      <c r="U96" t="str">
        <f>IF(K96="","",MIN(100,100*K96/Parametros!$B$8))</f>
        <v/>
      </c>
      <c r="V96" t="str">
        <f ca="1">IFERROR(((AVERAGEIFS(Documentacion!$C$2:$C$1000,Documentacion!$A$2:$A$1000,$A96,Documentacion!$B$2:$B$1000,"&gt;="&amp;DATEVALUE($B96&amp;"-01"),Documentacion!$B$2:$B$1000,"&lt;="&amp;EOMONTH(DATEVALUE($B96&amp;"-01"),0)))-1)/4*100,"")</f>
        <v/>
      </c>
      <c r="W96" t="str">
        <f ca="1">IFERROR(((AVERAGEIFS(Feedback_360!$D$2:$D$1000,Feedback_360!$A$2:$A$1000,$A96,Feedback_360!$B$2:$B$1000,"&gt;="&amp;DATEVALUE($B96&amp;"-01"),Feedback_360!$B$2:$B$1000,"&lt;="&amp;EOMONTH(DATEVALUE($B96&amp;"-01"),0)))-1)/4*100,"")</f>
        <v/>
      </c>
      <c r="X96" t="str">
        <f ca="1">IFERROR(((AVERAGEIFS(Observacion_Directa!$D$2:$D$1000,Observacion_Directa!$A$2:$A$1000,$A96,Observacion_Directa!$B$2:$B$1000,"&gt;="&amp;DATEVALUE($B96&amp;"-01"),Observacion_Directa!$B$2:$B$1000,"&lt;="&amp;EOMONTH(DATEVALUE($B96&amp;"-01"),0)))-1)/4*100,"")</f>
        <v/>
      </c>
      <c r="Y96" t="e">
        <f t="shared" ca="1" si="3"/>
        <v>#DIV/0!</v>
      </c>
    </row>
    <row r="97" spans="12:25" x14ac:dyDescent="0.2">
      <c r="L97" t="str">
        <f t="shared" si="2"/>
        <v/>
      </c>
      <c r="M97" t="str">
        <f>IFERROR(AVERAGEIFS(Prod_5dias!$H$2:$H$1000,Prod_5dias!$A$2:$A$1000,$A97,Prod_5dias!$B$2:$B$1000,$B97),"")</f>
        <v/>
      </c>
      <c r="N97" t="str">
        <f>IF(M97="","",MIN(100,100*M97/Parametros!$B$7))</f>
        <v/>
      </c>
      <c r="O97" t="str">
        <f>IF(F97="","",IF(F97=0,100,MIN(100,100*Parametros!$B$3/F97)))</f>
        <v/>
      </c>
      <c r="P97" t="str">
        <f ca="1">IFERROR(((AVERAGEIFS(Observacion_Directa!$E$2:$E$1000,Observacion_Directa!$A$2:$A$1000,$A97,Observacion_Directa!$B$2:$B$1000,"&gt;="&amp;DATEVALUE($B97&amp;"-01"),Observacion_Directa!$B$2:$B$1000,"&lt;="&amp;EOMONTH(DATEVALUE($B97&amp;"-01"),0)))-1)/4*100,"")</f>
        <v/>
      </c>
      <c r="Q97" t="str">
        <f>IF(H97="","",MIN(100,100*H97/Parametros!$B$4))</f>
        <v/>
      </c>
      <c r="R97" t="str">
        <f>IF(I97="","",IF(I97=0,100,MIN(100,100*Parametros!$B$5/I97)))</f>
        <v/>
      </c>
      <c r="S97" t="str">
        <f>IF(J97="","",IF(J97=0,100,MIN(100,100*Parametros!$B$6/J97)))</f>
        <v/>
      </c>
      <c r="T97" t="str">
        <f>IF(L97="","",MIN(100,100*L97/Parametros!$B$7))</f>
        <v/>
      </c>
      <c r="U97" t="str">
        <f>IF(K97="","",MIN(100,100*K97/Parametros!$B$8))</f>
        <v/>
      </c>
      <c r="V97" t="str">
        <f ca="1">IFERROR(((AVERAGEIFS(Documentacion!$C$2:$C$1000,Documentacion!$A$2:$A$1000,$A97,Documentacion!$B$2:$B$1000,"&gt;="&amp;DATEVALUE($B97&amp;"-01"),Documentacion!$B$2:$B$1000,"&lt;="&amp;EOMONTH(DATEVALUE($B97&amp;"-01"),0)))-1)/4*100,"")</f>
        <v/>
      </c>
      <c r="W97" t="str">
        <f ca="1">IFERROR(((AVERAGEIFS(Feedback_360!$D$2:$D$1000,Feedback_360!$A$2:$A$1000,$A97,Feedback_360!$B$2:$B$1000,"&gt;="&amp;DATEVALUE($B97&amp;"-01"),Feedback_360!$B$2:$B$1000,"&lt;="&amp;EOMONTH(DATEVALUE($B97&amp;"-01"),0)))-1)/4*100,"")</f>
        <v/>
      </c>
      <c r="X97" t="str">
        <f ca="1">IFERROR(((AVERAGEIFS(Observacion_Directa!$D$2:$D$1000,Observacion_Directa!$A$2:$A$1000,$A97,Observacion_Directa!$B$2:$B$1000,"&gt;="&amp;DATEVALUE($B97&amp;"-01"),Observacion_Directa!$B$2:$B$1000,"&lt;="&amp;EOMONTH(DATEVALUE($B97&amp;"-01"),0)))-1)/4*100,"")</f>
        <v/>
      </c>
      <c r="Y97" t="e">
        <f t="shared" ca="1" si="3"/>
        <v>#DIV/0!</v>
      </c>
    </row>
    <row r="98" spans="12:25" x14ac:dyDescent="0.2">
      <c r="L98" t="str">
        <f t="shared" si="2"/>
        <v/>
      </c>
      <c r="M98" t="str">
        <f>IFERROR(AVERAGEIFS(Prod_5dias!$H$2:$H$1000,Prod_5dias!$A$2:$A$1000,$A98,Prod_5dias!$B$2:$B$1000,$B98),"")</f>
        <v/>
      </c>
      <c r="N98" t="str">
        <f>IF(M98="","",MIN(100,100*M98/Parametros!$B$7))</f>
        <v/>
      </c>
      <c r="O98" t="str">
        <f>IF(F98="","",IF(F98=0,100,MIN(100,100*Parametros!$B$3/F98)))</f>
        <v/>
      </c>
      <c r="P98" t="str">
        <f ca="1">IFERROR(((AVERAGEIFS(Observacion_Directa!$E$2:$E$1000,Observacion_Directa!$A$2:$A$1000,$A98,Observacion_Directa!$B$2:$B$1000,"&gt;="&amp;DATEVALUE($B98&amp;"-01"),Observacion_Directa!$B$2:$B$1000,"&lt;="&amp;EOMONTH(DATEVALUE($B98&amp;"-01"),0)))-1)/4*100,"")</f>
        <v/>
      </c>
      <c r="Q98" t="str">
        <f>IF(H98="","",MIN(100,100*H98/Parametros!$B$4))</f>
        <v/>
      </c>
      <c r="R98" t="str">
        <f>IF(I98="","",IF(I98=0,100,MIN(100,100*Parametros!$B$5/I98)))</f>
        <v/>
      </c>
      <c r="S98" t="str">
        <f>IF(J98="","",IF(J98=0,100,MIN(100,100*Parametros!$B$6/J98)))</f>
        <v/>
      </c>
      <c r="T98" t="str">
        <f>IF(L98="","",MIN(100,100*L98/Parametros!$B$7))</f>
        <v/>
      </c>
      <c r="U98" t="str">
        <f>IF(K98="","",MIN(100,100*K98/Parametros!$B$8))</f>
        <v/>
      </c>
      <c r="V98" t="str">
        <f ca="1">IFERROR(((AVERAGEIFS(Documentacion!$C$2:$C$1000,Documentacion!$A$2:$A$1000,$A98,Documentacion!$B$2:$B$1000,"&gt;="&amp;DATEVALUE($B98&amp;"-01"),Documentacion!$B$2:$B$1000,"&lt;="&amp;EOMONTH(DATEVALUE($B98&amp;"-01"),0)))-1)/4*100,"")</f>
        <v/>
      </c>
      <c r="W98" t="str">
        <f ca="1">IFERROR(((AVERAGEIFS(Feedback_360!$D$2:$D$1000,Feedback_360!$A$2:$A$1000,$A98,Feedback_360!$B$2:$B$1000,"&gt;="&amp;DATEVALUE($B98&amp;"-01"),Feedback_360!$B$2:$B$1000,"&lt;="&amp;EOMONTH(DATEVALUE($B98&amp;"-01"),0)))-1)/4*100,"")</f>
        <v/>
      </c>
      <c r="X98" t="str">
        <f ca="1">IFERROR(((AVERAGEIFS(Observacion_Directa!$D$2:$D$1000,Observacion_Directa!$A$2:$A$1000,$A98,Observacion_Directa!$B$2:$B$1000,"&gt;="&amp;DATEVALUE($B98&amp;"-01"),Observacion_Directa!$B$2:$B$1000,"&lt;="&amp;EOMONTH(DATEVALUE($B98&amp;"-01"),0)))-1)/4*100,"")</f>
        <v/>
      </c>
      <c r="Y98" t="e">
        <f t="shared" ca="1" si="3"/>
        <v>#DIV/0!</v>
      </c>
    </row>
    <row r="99" spans="12:25" x14ac:dyDescent="0.2">
      <c r="L99" t="str">
        <f t="shared" si="2"/>
        <v/>
      </c>
      <c r="M99" t="str">
        <f>IFERROR(AVERAGEIFS(Prod_5dias!$H$2:$H$1000,Prod_5dias!$A$2:$A$1000,$A99,Prod_5dias!$B$2:$B$1000,$B99),"")</f>
        <v/>
      </c>
      <c r="N99" t="str">
        <f>IF(M99="","",MIN(100,100*M99/Parametros!$B$7))</f>
        <v/>
      </c>
      <c r="O99" t="str">
        <f>IF(F99="","",IF(F99=0,100,MIN(100,100*Parametros!$B$3/F99)))</f>
        <v/>
      </c>
      <c r="P99" t="str">
        <f ca="1">IFERROR(((AVERAGEIFS(Observacion_Directa!$E$2:$E$1000,Observacion_Directa!$A$2:$A$1000,$A99,Observacion_Directa!$B$2:$B$1000,"&gt;="&amp;DATEVALUE($B99&amp;"-01"),Observacion_Directa!$B$2:$B$1000,"&lt;="&amp;EOMONTH(DATEVALUE($B99&amp;"-01"),0)))-1)/4*100,"")</f>
        <v/>
      </c>
      <c r="Q99" t="str">
        <f>IF(H99="","",MIN(100,100*H99/Parametros!$B$4))</f>
        <v/>
      </c>
      <c r="R99" t="str">
        <f>IF(I99="","",IF(I99=0,100,MIN(100,100*Parametros!$B$5/I99)))</f>
        <v/>
      </c>
      <c r="S99" t="str">
        <f>IF(J99="","",IF(J99=0,100,MIN(100,100*Parametros!$B$6/J99)))</f>
        <v/>
      </c>
      <c r="T99" t="str">
        <f>IF(L99="","",MIN(100,100*L99/Parametros!$B$7))</f>
        <v/>
      </c>
      <c r="U99" t="str">
        <f>IF(K99="","",MIN(100,100*K99/Parametros!$B$8))</f>
        <v/>
      </c>
      <c r="V99" t="str">
        <f ca="1">IFERROR(((AVERAGEIFS(Documentacion!$C$2:$C$1000,Documentacion!$A$2:$A$1000,$A99,Documentacion!$B$2:$B$1000,"&gt;="&amp;DATEVALUE($B99&amp;"-01"),Documentacion!$B$2:$B$1000,"&lt;="&amp;EOMONTH(DATEVALUE($B99&amp;"-01"),0)))-1)/4*100,"")</f>
        <v/>
      </c>
      <c r="W99" t="str">
        <f ca="1">IFERROR(((AVERAGEIFS(Feedback_360!$D$2:$D$1000,Feedback_360!$A$2:$A$1000,$A99,Feedback_360!$B$2:$B$1000,"&gt;="&amp;DATEVALUE($B99&amp;"-01"),Feedback_360!$B$2:$B$1000,"&lt;="&amp;EOMONTH(DATEVALUE($B99&amp;"-01"),0)))-1)/4*100,"")</f>
        <v/>
      </c>
      <c r="X99" t="str">
        <f ca="1">IFERROR(((AVERAGEIFS(Observacion_Directa!$D$2:$D$1000,Observacion_Directa!$A$2:$A$1000,$A99,Observacion_Directa!$B$2:$B$1000,"&gt;="&amp;DATEVALUE($B99&amp;"-01"),Observacion_Directa!$B$2:$B$1000,"&lt;="&amp;EOMONTH(DATEVALUE($B99&amp;"-01"),0)))-1)/4*100,"")</f>
        <v/>
      </c>
      <c r="Y99" t="e">
        <f t="shared" ca="1" si="3"/>
        <v>#DIV/0!</v>
      </c>
    </row>
    <row r="100" spans="12:25" x14ac:dyDescent="0.2">
      <c r="L100" t="str">
        <f t="shared" si="2"/>
        <v/>
      </c>
      <c r="M100" t="str">
        <f>IFERROR(AVERAGEIFS(Prod_5dias!$H$2:$H$1000,Prod_5dias!$A$2:$A$1000,$A100,Prod_5dias!$B$2:$B$1000,$B100),"")</f>
        <v/>
      </c>
      <c r="N100" t="str">
        <f>IF(M100="","",MIN(100,100*M100/Parametros!$B$7))</f>
        <v/>
      </c>
      <c r="O100" t="str">
        <f>IF(F100="","",IF(F100=0,100,MIN(100,100*Parametros!$B$3/F100)))</f>
        <v/>
      </c>
      <c r="P100" t="str">
        <f ca="1">IFERROR(((AVERAGEIFS(Observacion_Directa!$E$2:$E$1000,Observacion_Directa!$A$2:$A$1000,$A100,Observacion_Directa!$B$2:$B$1000,"&gt;="&amp;DATEVALUE($B100&amp;"-01"),Observacion_Directa!$B$2:$B$1000,"&lt;="&amp;EOMONTH(DATEVALUE($B100&amp;"-01"),0)))-1)/4*100,"")</f>
        <v/>
      </c>
      <c r="Q100" t="str">
        <f>IF(H100="","",MIN(100,100*H100/Parametros!$B$4))</f>
        <v/>
      </c>
      <c r="R100" t="str">
        <f>IF(I100="","",IF(I100=0,100,MIN(100,100*Parametros!$B$5/I100)))</f>
        <v/>
      </c>
      <c r="S100" t="str">
        <f>IF(J100="","",IF(J100=0,100,MIN(100,100*Parametros!$B$6/J100)))</f>
        <v/>
      </c>
      <c r="T100" t="str">
        <f>IF(L100="","",MIN(100,100*L100/Parametros!$B$7))</f>
        <v/>
      </c>
      <c r="U100" t="str">
        <f>IF(K100="","",MIN(100,100*K100/Parametros!$B$8))</f>
        <v/>
      </c>
      <c r="V100" t="str">
        <f ca="1">IFERROR(((AVERAGEIFS(Documentacion!$C$2:$C$1000,Documentacion!$A$2:$A$1000,$A100,Documentacion!$B$2:$B$1000,"&gt;="&amp;DATEVALUE($B100&amp;"-01"),Documentacion!$B$2:$B$1000,"&lt;="&amp;EOMONTH(DATEVALUE($B100&amp;"-01"),0)))-1)/4*100,"")</f>
        <v/>
      </c>
      <c r="W100" t="str">
        <f ca="1">IFERROR(((AVERAGEIFS(Feedback_360!$D$2:$D$1000,Feedback_360!$A$2:$A$1000,$A100,Feedback_360!$B$2:$B$1000,"&gt;="&amp;DATEVALUE($B100&amp;"-01"),Feedback_360!$B$2:$B$1000,"&lt;="&amp;EOMONTH(DATEVALUE($B100&amp;"-01"),0)))-1)/4*100,"")</f>
        <v/>
      </c>
      <c r="X100" t="str">
        <f ca="1">IFERROR(((AVERAGEIFS(Observacion_Directa!$D$2:$D$1000,Observacion_Directa!$A$2:$A$1000,$A100,Observacion_Directa!$B$2:$B$1000,"&gt;="&amp;DATEVALUE($B100&amp;"-01"),Observacion_Directa!$B$2:$B$1000,"&lt;="&amp;EOMONTH(DATEVALUE($B100&amp;"-01"),0)))-1)/4*100,"")</f>
        <v/>
      </c>
      <c r="Y100" t="e">
        <f t="shared" ca="1" si="3"/>
        <v>#DIV/0!</v>
      </c>
    </row>
    <row r="101" spans="12:25" x14ac:dyDescent="0.2">
      <c r="L101" t="str">
        <f t="shared" si="2"/>
        <v/>
      </c>
      <c r="M101" t="str">
        <f>IFERROR(AVERAGEIFS(Prod_5dias!$H$2:$H$1000,Prod_5dias!$A$2:$A$1000,$A101,Prod_5dias!$B$2:$B$1000,$B101),"")</f>
        <v/>
      </c>
      <c r="N101" t="str">
        <f>IF(M101="","",MIN(100,100*M101/Parametros!$B$7))</f>
        <v/>
      </c>
      <c r="O101" t="str">
        <f>IF(F101="","",IF(F101=0,100,MIN(100,100*Parametros!$B$3/F101)))</f>
        <v/>
      </c>
      <c r="P101" t="str">
        <f ca="1">IFERROR(((AVERAGEIFS(Observacion_Directa!$E$2:$E$1000,Observacion_Directa!$A$2:$A$1000,$A101,Observacion_Directa!$B$2:$B$1000,"&gt;="&amp;DATEVALUE($B101&amp;"-01"),Observacion_Directa!$B$2:$B$1000,"&lt;="&amp;EOMONTH(DATEVALUE($B101&amp;"-01"),0)))-1)/4*100,"")</f>
        <v/>
      </c>
      <c r="Q101" t="str">
        <f>IF(H101="","",MIN(100,100*H101/Parametros!$B$4))</f>
        <v/>
      </c>
      <c r="R101" t="str">
        <f>IF(I101="","",IF(I101=0,100,MIN(100,100*Parametros!$B$5/I101)))</f>
        <v/>
      </c>
      <c r="S101" t="str">
        <f>IF(J101="","",IF(J101=0,100,MIN(100,100*Parametros!$B$6/J101)))</f>
        <v/>
      </c>
      <c r="T101" t="str">
        <f>IF(L101="","",MIN(100,100*L101/Parametros!$B$7))</f>
        <v/>
      </c>
      <c r="U101" t="str">
        <f>IF(K101="","",MIN(100,100*K101/Parametros!$B$8))</f>
        <v/>
      </c>
      <c r="V101" t="str">
        <f ca="1">IFERROR(((AVERAGEIFS(Documentacion!$C$2:$C$1000,Documentacion!$A$2:$A$1000,$A101,Documentacion!$B$2:$B$1000,"&gt;="&amp;DATEVALUE($B101&amp;"-01"),Documentacion!$B$2:$B$1000,"&lt;="&amp;EOMONTH(DATEVALUE($B101&amp;"-01"),0)))-1)/4*100,"")</f>
        <v/>
      </c>
      <c r="W101" t="str">
        <f ca="1">IFERROR(((AVERAGEIFS(Feedback_360!$D$2:$D$1000,Feedback_360!$A$2:$A$1000,$A101,Feedback_360!$B$2:$B$1000,"&gt;="&amp;DATEVALUE($B101&amp;"-01"),Feedback_360!$B$2:$B$1000,"&lt;="&amp;EOMONTH(DATEVALUE($B101&amp;"-01"),0)))-1)/4*100,"")</f>
        <v/>
      </c>
      <c r="X101" t="str">
        <f ca="1">IFERROR(((AVERAGEIFS(Observacion_Directa!$D$2:$D$1000,Observacion_Directa!$A$2:$A$1000,$A101,Observacion_Directa!$B$2:$B$1000,"&gt;="&amp;DATEVALUE($B101&amp;"-01"),Observacion_Directa!$B$2:$B$1000,"&lt;="&amp;EOMONTH(DATEVALUE($B101&amp;"-01"),0)))-1)/4*100,"")</f>
        <v/>
      </c>
      <c r="Y101" t="e">
        <f t="shared" ca="1" si="3"/>
        <v>#DIV/0!</v>
      </c>
    </row>
    <row r="102" spans="12:25" x14ac:dyDescent="0.2">
      <c r="L102" t="str">
        <f t="shared" si="2"/>
        <v/>
      </c>
      <c r="M102" t="str">
        <f>IFERROR(AVERAGEIFS(Prod_5dias!$H$2:$H$1000,Prod_5dias!$A$2:$A$1000,$A102,Prod_5dias!$B$2:$B$1000,$B102),"")</f>
        <v/>
      </c>
      <c r="N102" t="str">
        <f>IF(M102="","",MIN(100,100*M102/Parametros!$B$7))</f>
        <v/>
      </c>
      <c r="O102" t="str">
        <f>IF(F102="","",IF(F102=0,100,MIN(100,100*Parametros!$B$3/F102)))</f>
        <v/>
      </c>
      <c r="P102" t="str">
        <f ca="1">IFERROR(((AVERAGEIFS(Observacion_Directa!$E$2:$E$1000,Observacion_Directa!$A$2:$A$1000,$A102,Observacion_Directa!$B$2:$B$1000,"&gt;="&amp;DATEVALUE($B102&amp;"-01"),Observacion_Directa!$B$2:$B$1000,"&lt;="&amp;EOMONTH(DATEVALUE($B102&amp;"-01"),0)))-1)/4*100,"")</f>
        <v/>
      </c>
      <c r="Q102" t="str">
        <f>IF(H102="","",MIN(100,100*H102/Parametros!$B$4))</f>
        <v/>
      </c>
      <c r="R102" t="str">
        <f>IF(I102="","",IF(I102=0,100,MIN(100,100*Parametros!$B$5/I102)))</f>
        <v/>
      </c>
      <c r="S102" t="str">
        <f>IF(J102="","",IF(J102=0,100,MIN(100,100*Parametros!$B$6/J102)))</f>
        <v/>
      </c>
      <c r="T102" t="str">
        <f>IF(L102="","",MIN(100,100*L102/Parametros!$B$7))</f>
        <v/>
      </c>
      <c r="U102" t="str">
        <f>IF(K102="","",MIN(100,100*K102/Parametros!$B$8))</f>
        <v/>
      </c>
      <c r="V102" t="str">
        <f ca="1">IFERROR(((AVERAGEIFS(Documentacion!$C$2:$C$1000,Documentacion!$A$2:$A$1000,$A102,Documentacion!$B$2:$B$1000,"&gt;="&amp;DATEVALUE($B102&amp;"-01"),Documentacion!$B$2:$B$1000,"&lt;="&amp;EOMONTH(DATEVALUE($B102&amp;"-01"),0)))-1)/4*100,"")</f>
        <v/>
      </c>
      <c r="W102" t="str">
        <f ca="1">IFERROR(((AVERAGEIFS(Feedback_360!$D$2:$D$1000,Feedback_360!$A$2:$A$1000,$A102,Feedback_360!$B$2:$B$1000,"&gt;="&amp;DATEVALUE($B102&amp;"-01"),Feedback_360!$B$2:$B$1000,"&lt;="&amp;EOMONTH(DATEVALUE($B102&amp;"-01"),0)))-1)/4*100,"")</f>
        <v/>
      </c>
      <c r="X102" t="str">
        <f ca="1">IFERROR(((AVERAGEIFS(Observacion_Directa!$D$2:$D$1000,Observacion_Directa!$A$2:$A$1000,$A102,Observacion_Directa!$B$2:$B$1000,"&gt;="&amp;DATEVALUE($B102&amp;"-01"),Observacion_Directa!$B$2:$B$1000,"&lt;="&amp;EOMONTH(DATEVALUE($B102&amp;"-01"),0)))-1)/4*100,"")</f>
        <v/>
      </c>
      <c r="Y102" t="e">
        <f t="shared" ca="1" si="3"/>
        <v>#DIV/0!</v>
      </c>
    </row>
    <row r="103" spans="12:25" x14ac:dyDescent="0.2">
      <c r="L103" t="str">
        <f t="shared" si="2"/>
        <v/>
      </c>
      <c r="M103" t="str">
        <f>IFERROR(AVERAGEIFS(Prod_5dias!$H$2:$H$1000,Prod_5dias!$A$2:$A$1000,$A103,Prod_5dias!$B$2:$B$1000,$B103),"")</f>
        <v/>
      </c>
      <c r="N103" t="str">
        <f>IF(M103="","",MIN(100,100*M103/Parametros!$B$7))</f>
        <v/>
      </c>
      <c r="O103" t="str">
        <f>IF(F103="","",IF(F103=0,100,MIN(100,100*Parametros!$B$3/F103)))</f>
        <v/>
      </c>
      <c r="P103" t="str">
        <f ca="1">IFERROR(((AVERAGEIFS(Observacion_Directa!$E$2:$E$1000,Observacion_Directa!$A$2:$A$1000,$A103,Observacion_Directa!$B$2:$B$1000,"&gt;="&amp;DATEVALUE($B103&amp;"-01"),Observacion_Directa!$B$2:$B$1000,"&lt;="&amp;EOMONTH(DATEVALUE($B103&amp;"-01"),0)))-1)/4*100,"")</f>
        <v/>
      </c>
      <c r="Q103" t="str">
        <f>IF(H103="","",MIN(100,100*H103/Parametros!$B$4))</f>
        <v/>
      </c>
      <c r="R103" t="str">
        <f>IF(I103="","",IF(I103=0,100,MIN(100,100*Parametros!$B$5/I103)))</f>
        <v/>
      </c>
      <c r="S103" t="str">
        <f>IF(J103="","",IF(J103=0,100,MIN(100,100*Parametros!$B$6/J103)))</f>
        <v/>
      </c>
      <c r="T103" t="str">
        <f>IF(L103="","",MIN(100,100*L103/Parametros!$B$7))</f>
        <v/>
      </c>
      <c r="U103" t="str">
        <f>IF(K103="","",MIN(100,100*K103/Parametros!$B$8))</f>
        <v/>
      </c>
      <c r="V103" t="str">
        <f ca="1">IFERROR(((AVERAGEIFS(Documentacion!$C$2:$C$1000,Documentacion!$A$2:$A$1000,$A103,Documentacion!$B$2:$B$1000,"&gt;="&amp;DATEVALUE($B103&amp;"-01"),Documentacion!$B$2:$B$1000,"&lt;="&amp;EOMONTH(DATEVALUE($B103&amp;"-01"),0)))-1)/4*100,"")</f>
        <v/>
      </c>
      <c r="W103" t="str">
        <f ca="1">IFERROR(((AVERAGEIFS(Feedback_360!$D$2:$D$1000,Feedback_360!$A$2:$A$1000,$A103,Feedback_360!$B$2:$B$1000,"&gt;="&amp;DATEVALUE($B103&amp;"-01"),Feedback_360!$B$2:$B$1000,"&lt;="&amp;EOMONTH(DATEVALUE($B103&amp;"-01"),0)))-1)/4*100,"")</f>
        <v/>
      </c>
      <c r="X103" t="str">
        <f ca="1">IFERROR(((AVERAGEIFS(Observacion_Directa!$D$2:$D$1000,Observacion_Directa!$A$2:$A$1000,$A103,Observacion_Directa!$B$2:$B$1000,"&gt;="&amp;DATEVALUE($B103&amp;"-01"),Observacion_Directa!$B$2:$B$1000,"&lt;="&amp;EOMONTH(DATEVALUE($B103&amp;"-01"),0)))-1)/4*100,"")</f>
        <v/>
      </c>
      <c r="Y103" t="e">
        <f t="shared" ca="1" si="3"/>
        <v>#DIV/0!</v>
      </c>
    </row>
    <row r="104" spans="12:25" x14ac:dyDescent="0.2">
      <c r="L104" t="str">
        <f t="shared" si="2"/>
        <v/>
      </c>
      <c r="M104" t="str">
        <f>IFERROR(AVERAGEIFS(Prod_5dias!$H$2:$H$1000,Prod_5dias!$A$2:$A$1000,$A104,Prod_5dias!$B$2:$B$1000,$B104),"")</f>
        <v/>
      </c>
      <c r="N104" t="str">
        <f>IF(M104="","",MIN(100,100*M104/Parametros!$B$7))</f>
        <v/>
      </c>
      <c r="O104" t="str">
        <f>IF(F104="","",IF(F104=0,100,MIN(100,100*Parametros!$B$3/F104)))</f>
        <v/>
      </c>
      <c r="P104" t="str">
        <f ca="1">IFERROR(((AVERAGEIFS(Observacion_Directa!$E$2:$E$1000,Observacion_Directa!$A$2:$A$1000,$A104,Observacion_Directa!$B$2:$B$1000,"&gt;="&amp;DATEVALUE($B104&amp;"-01"),Observacion_Directa!$B$2:$B$1000,"&lt;="&amp;EOMONTH(DATEVALUE($B104&amp;"-01"),0)))-1)/4*100,"")</f>
        <v/>
      </c>
      <c r="Q104" t="str">
        <f>IF(H104="","",MIN(100,100*H104/Parametros!$B$4))</f>
        <v/>
      </c>
      <c r="R104" t="str">
        <f>IF(I104="","",IF(I104=0,100,MIN(100,100*Parametros!$B$5/I104)))</f>
        <v/>
      </c>
      <c r="S104" t="str">
        <f>IF(J104="","",IF(J104=0,100,MIN(100,100*Parametros!$B$6/J104)))</f>
        <v/>
      </c>
      <c r="T104" t="str">
        <f>IF(L104="","",MIN(100,100*L104/Parametros!$B$7))</f>
        <v/>
      </c>
      <c r="U104" t="str">
        <f>IF(K104="","",MIN(100,100*K104/Parametros!$B$8))</f>
        <v/>
      </c>
      <c r="V104" t="str">
        <f ca="1">IFERROR(((AVERAGEIFS(Documentacion!$C$2:$C$1000,Documentacion!$A$2:$A$1000,$A104,Documentacion!$B$2:$B$1000,"&gt;="&amp;DATEVALUE($B104&amp;"-01"),Documentacion!$B$2:$B$1000,"&lt;="&amp;EOMONTH(DATEVALUE($B104&amp;"-01"),0)))-1)/4*100,"")</f>
        <v/>
      </c>
      <c r="W104" t="str">
        <f ca="1">IFERROR(((AVERAGEIFS(Feedback_360!$D$2:$D$1000,Feedback_360!$A$2:$A$1000,$A104,Feedback_360!$B$2:$B$1000,"&gt;="&amp;DATEVALUE($B104&amp;"-01"),Feedback_360!$B$2:$B$1000,"&lt;="&amp;EOMONTH(DATEVALUE($B104&amp;"-01"),0)))-1)/4*100,"")</f>
        <v/>
      </c>
      <c r="X104" t="str">
        <f ca="1">IFERROR(((AVERAGEIFS(Observacion_Directa!$D$2:$D$1000,Observacion_Directa!$A$2:$A$1000,$A104,Observacion_Directa!$B$2:$B$1000,"&gt;="&amp;DATEVALUE($B104&amp;"-01"),Observacion_Directa!$B$2:$B$1000,"&lt;="&amp;EOMONTH(DATEVALUE($B104&amp;"-01"),0)))-1)/4*100,"")</f>
        <v/>
      </c>
      <c r="Y104" t="e">
        <f t="shared" ca="1" si="3"/>
        <v>#DIV/0!</v>
      </c>
    </row>
    <row r="105" spans="12:25" x14ac:dyDescent="0.2">
      <c r="L105" t="str">
        <f t="shared" si="2"/>
        <v/>
      </c>
      <c r="M105" t="str">
        <f>IFERROR(AVERAGEIFS(Prod_5dias!$H$2:$H$1000,Prod_5dias!$A$2:$A$1000,$A105,Prod_5dias!$B$2:$B$1000,$B105),"")</f>
        <v/>
      </c>
      <c r="N105" t="str">
        <f>IF(M105="","",MIN(100,100*M105/Parametros!$B$7))</f>
        <v/>
      </c>
      <c r="O105" t="str">
        <f>IF(F105="","",IF(F105=0,100,MIN(100,100*Parametros!$B$3/F105)))</f>
        <v/>
      </c>
      <c r="P105" t="str">
        <f ca="1">IFERROR(((AVERAGEIFS(Observacion_Directa!$E$2:$E$1000,Observacion_Directa!$A$2:$A$1000,$A105,Observacion_Directa!$B$2:$B$1000,"&gt;="&amp;DATEVALUE($B105&amp;"-01"),Observacion_Directa!$B$2:$B$1000,"&lt;="&amp;EOMONTH(DATEVALUE($B105&amp;"-01"),0)))-1)/4*100,"")</f>
        <v/>
      </c>
      <c r="Q105" t="str">
        <f>IF(H105="","",MIN(100,100*H105/Parametros!$B$4))</f>
        <v/>
      </c>
      <c r="R105" t="str">
        <f>IF(I105="","",IF(I105=0,100,MIN(100,100*Parametros!$B$5/I105)))</f>
        <v/>
      </c>
      <c r="S105" t="str">
        <f>IF(J105="","",IF(J105=0,100,MIN(100,100*Parametros!$B$6/J105)))</f>
        <v/>
      </c>
      <c r="T105" t="str">
        <f>IF(L105="","",MIN(100,100*L105/Parametros!$B$7))</f>
        <v/>
      </c>
      <c r="U105" t="str">
        <f>IF(K105="","",MIN(100,100*K105/Parametros!$B$8))</f>
        <v/>
      </c>
      <c r="V105" t="str">
        <f ca="1">IFERROR(((AVERAGEIFS(Documentacion!$C$2:$C$1000,Documentacion!$A$2:$A$1000,$A105,Documentacion!$B$2:$B$1000,"&gt;="&amp;DATEVALUE($B105&amp;"-01"),Documentacion!$B$2:$B$1000,"&lt;="&amp;EOMONTH(DATEVALUE($B105&amp;"-01"),0)))-1)/4*100,"")</f>
        <v/>
      </c>
      <c r="W105" t="str">
        <f ca="1">IFERROR(((AVERAGEIFS(Feedback_360!$D$2:$D$1000,Feedback_360!$A$2:$A$1000,$A105,Feedback_360!$B$2:$B$1000,"&gt;="&amp;DATEVALUE($B105&amp;"-01"),Feedback_360!$B$2:$B$1000,"&lt;="&amp;EOMONTH(DATEVALUE($B105&amp;"-01"),0)))-1)/4*100,"")</f>
        <v/>
      </c>
      <c r="X105" t="str">
        <f ca="1">IFERROR(((AVERAGEIFS(Observacion_Directa!$D$2:$D$1000,Observacion_Directa!$A$2:$A$1000,$A105,Observacion_Directa!$B$2:$B$1000,"&gt;="&amp;DATEVALUE($B105&amp;"-01"),Observacion_Directa!$B$2:$B$1000,"&lt;="&amp;EOMONTH(DATEVALUE($B105&amp;"-01"),0)))-1)/4*100,"")</f>
        <v/>
      </c>
      <c r="Y105" t="e">
        <f t="shared" ca="1" si="3"/>
        <v>#DIV/0!</v>
      </c>
    </row>
    <row r="106" spans="12:25" x14ac:dyDescent="0.2">
      <c r="L106" t="str">
        <f t="shared" si="2"/>
        <v/>
      </c>
      <c r="M106" t="str">
        <f>IFERROR(AVERAGEIFS(Prod_5dias!$H$2:$H$1000,Prod_5dias!$A$2:$A$1000,$A106,Prod_5dias!$B$2:$B$1000,$B106),"")</f>
        <v/>
      </c>
      <c r="N106" t="str">
        <f>IF(M106="","",MIN(100,100*M106/Parametros!$B$7))</f>
        <v/>
      </c>
      <c r="O106" t="str">
        <f>IF(F106="","",IF(F106=0,100,MIN(100,100*Parametros!$B$3/F106)))</f>
        <v/>
      </c>
      <c r="P106" t="str">
        <f ca="1">IFERROR(((AVERAGEIFS(Observacion_Directa!$E$2:$E$1000,Observacion_Directa!$A$2:$A$1000,$A106,Observacion_Directa!$B$2:$B$1000,"&gt;="&amp;DATEVALUE($B106&amp;"-01"),Observacion_Directa!$B$2:$B$1000,"&lt;="&amp;EOMONTH(DATEVALUE($B106&amp;"-01"),0)))-1)/4*100,"")</f>
        <v/>
      </c>
      <c r="Q106" t="str">
        <f>IF(H106="","",MIN(100,100*H106/Parametros!$B$4))</f>
        <v/>
      </c>
      <c r="R106" t="str">
        <f>IF(I106="","",IF(I106=0,100,MIN(100,100*Parametros!$B$5/I106)))</f>
        <v/>
      </c>
      <c r="S106" t="str">
        <f>IF(J106="","",IF(J106=0,100,MIN(100,100*Parametros!$B$6/J106)))</f>
        <v/>
      </c>
      <c r="T106" t="str">
        <f>IF(L106="","",MIN(100,100*L106/Parametros!$B$7))</f>
        <v/>
      </c>
      <c r="U106" t="str">
        <f>IF(K106="","",MIN(100,100*K106/Parametros!$B$8))</f>
        <v/>
      </c>
      <c r="V106" t="str">
        <f ca="1">IFERROR(((AVERAGEIFS(Documentacion!$C$2:$C$1000,Documentacion!$A$2:$A$1000,$A106,Documentacion!$B$2:$B$1000,"&gt;="&amp;DATEVALUE($B106&amp;"-01"),Documentacion!$B$2:$B$1000,"&lt;="&amp;EOMONTH(DATEVALUE($B106&amp;"-01"),0)))-1)/4*100,"")</f>
        <v/>
      </c>
      <c r="W106" t="str">
        <f ca="1">IFERROR(((AVERAGEIFS(Feedback_360!$D$2:$D$1000,Feedback_360!$A$2:$A$1000,$A106,Feedback_360!$B$2:$B$1000,"&gt;="&amp;DATEVALUE($B106&amp;"-01"),Feedback_360!$B$2:$B$1000,"&lt;="&amp;EOMONTH(DATEVALUE($B106&amp;"-01"),0)))-1)/4*100,"")</f>
        <v/>
      </c>
      <c r="X106" t="str">
        <f ca="1">IFERROR(((AVERAGEIFS(Observacion_Directa!$D$2:$D$1000,Observacion_Directa!$A$2:$A$1000,$A106,Observacion_Directa!$B$2:$B$1000,"&gt;="&amp;DATEVALUE($B106&amp;"-01"),Observacion_Directa!$B$2:$B$1000,"&lt;="&amp;EOMONTH(DATEVALUE($B106&amp;"-01"),0)))-1)/4*100,"")</f>
        <v/>
      </c>
      <c r="Y106" t="e">
        <f t="shared" ca="1" si="3"/>
        <v>#DIV/0!</v>
      </c>
    </row>
    <row r="107" spans="12:25" x14ac:dyDescent="0.2">
      <c r="L107" t="str">
        <f t="shared" si="2"/>
        <v/>
      </c>
      <c r="M107" t="str">
        <f>IFERROR(AVERAGEIFS(Prod_5dias!$H$2:$H$1000,Prod_5dias!$A$2:$A$1000,$A107,Prod_5dias!$B$2:$B$1000,$B107),"")</f>
        <v/>
      </c>
      <c r="N107" t="str">
        <f>IF(M107="","",MIN(100,100*M107/Parametros!$B$7))</f>
        <v/>
      </c>
      <c r="O107" t="str">
        <f>IF(F107="","",IF(F107=0,100,MIN(100,100*Parametros!$B$3/F107)))</f>
        <v/>
      </c>
      <c r="P107" t="str">
        <f ca="1">IFERROR(((AVERAGEIFS(Observacion_Directa!$E$2:$E$1000,Observacion_Directa!$A$2:$A$1000,$A107,Observacion_Directa!$B$2:$B$1000,"&gt;="&amp;DATEVALUE($B107&amp;"-01"),Observacion_Directa!$B$2:$B$1000,"&lt;="&amp;EOMONTH(DATEVALUE($B107&amp;"-01"),0)))-1)/4*100,"")</f>
        <v/>
      </c>
      <c r="Q107" t="str">
        <f>IF(H107="","",MIN(100,100*H107/Parametros!$B$4))</f>
        <v/>
      </c>
      <c r="R107" t="str">
        <f>IF(I107="","",IF(I107=0,100,MIN(100,100*Parametros!$B$5/I107)))</f>
        <v/>
      </c>
      <c r="S107" t="str">
        <f>IF(J107="","",IF(J107=0,100,MIN(100,100*Parametros!$B$6/J107)))</f>
        <v/>
      </c>
      <c r="T107" t="str">
        <f>IF(L107="","",MIN(100,100*L107/Parametros!$B$7))</f>
        <v/>
      </c>
      <c r="U107" t="str">
        <f>IF(K107="","",MIN(100,100*K107/Parametros!$B$8))</f>
        <v/>
      </c>
      <c r="V107" t="str">
        <f ca="1">IFERROR(((AVERAGEIFS(Documentacion!$C$2:$C$1000,Documentacion!$A$2:$A$1000,$A107,Documentacion!$B$2:$B$1000,"&gt;="&amp;DATEVALUE($B107&amp;"-01"),Documentacion!$B$2:$B$1000,"&lt;="&amp;EOMONTH(DATEVALUE($B107&amp;"-01"),0)))-1)/4*100,"")</f>
        <v/>
      </c>
      <c r="W107" t="str">
        <f ca="1">IFERROR(((AVERAGEIFS(Feedback_360!$D$2:$D$1000,Feedback_360!$A$2:$A$1000,$A107,Feedback_360!$B$2:$B$1000,"&gt;="&amp;DATEVALUE($B107&amp;"-01"),Feedback_360!$B$2:$B$1000,"&lt;="&amp;EOMONTH(DATEVALUE($B107&amp;"-01"),0)))-1)/4*100,"")</f>
        <v/>
      </c>
      <c r="X107" t="str">
        <f ca="1">IFERROR(((AVERAGEIFS(Observacion_Directa!$D$2:$D$1000,Observacion_Directa!$A$2:$A$1000,$A107,Observacion_Directa!$B$2:$B$1000,"&gt;="&amp;DATEVALUE($B107&amp;"-01"),Observacion_Directa!$B$2:$B$1000,"&lt;="&amp;EOMONTH(DATEVALUE($B107&amp;"-01"),0)))-1)/4*100,"")</f>
        <v/>
      </c>
      <c r="Y107" t="e">
        <f t="shared" ca="1" si="3"/>
        <v>#DIV/0!</v>
      </c>
    </row>
    <row r="108" spans="12:25" x14ac:dyDescent="0.2">
      <c r="L108" t="str">
        <f t="shared" si="2"/>
        <v/>
      </c>
      <c r="M108" t="str">
        <f>IFERROR(AVERAGEIFS(Prod_5dias!$H$2:$H$1000,Prod_5dias!$A$2:$A$1000,$A108,Prod_5dias!$B$2:$B$1000,$B108),"")</f>
        <v/>
      </c>
      <c r="N108" t="str">
        <f>IF(M108="","",MIN(100,100*M108/Parametros!$B$7))</f>
        <v/>
      </c>
      <c r="O108" t="str">
        <f>IF(F108="","",IF(F108=0,100,MIN(100,100*Parametros!$B$3/F108)))</f>
        <v/>
      </c>
      <c r="P108" t="str">
        <f ca="1">IFERROR(((AVERAGEIFS(Observacion_Directa!$E$2:$E$1000,Observacion_Directa!$A$2:$A$1000,$A108,Observacion_Directa!$B$2:$B$1000,"&gt;="&amp;DATEVALUE($B108&amp;"-01"),Observacion_Directa!$B$2:$B$1000,"&lt;="&amp;EOMONTH(DATEVALUE($B108&amp;"-01"),0)))-1)/4*100,"")</f>
        <v/>
      </c>
      <c r="Q108" t="str">
        <f>IF(H108="","",MIN(100,100*H108/Parametros!$B$4))</f>
        <v/>
      </c>
      <c r="R108" t="str">
        <f>IF(I108="","",IF(I108=0,100,MIN(100,100*Parametros!$B$5/I108)))</f>
        <v/>
      </c>
      <c r="S108" t="str">
        <f>IF(J108="","",IF(J108=0,100,MIN(100,100*Parametros!$B$6/J108)))</f>
        <v/>
      </c>
      <c r="T108" t="str">
        <f>IF(L108="","",MIN(100,100*L108/Parametros!$B$7))</f>
        <v/>
      </c>
      <c r="U108" t="str">
        <f>IF(K108="","",MIN(100,100*K108/Parametros!$B$8))</f>
        <v/>
      </c>
      <c r="V108" t="str">
        <f ca="1">IFERROR(((AVERAGEIFS(Documentacion!$C$2:$C$1000,Documentacion!$A$2:$A$1000,$A108,Documentacion!$B$2:$B$1000,"&gt;="&amp;DATEVALUE($B108&amp;"-01"),Documentacion!$B$2:$B$1000,"&lt;="&amp;EOMONTH(DATEVALUE($B108&amp;"-01"),0)))-1)/4*100,"")</f>
        <v/>
      </c>
      <c r="W108" t="str">
        <f ca="1">IFERROR(((AVERAGEIFS(Feedback_360!$D$2:$D$1000,Feedback_360!$A$2:$A$1000,$A108,Feedback_360!$B$2:$B$1000,"&gt;="&amp;DATEVALUE($B108&amp;"-01"),Feedback_360!$B$2:$B$1000,"&lt;="&amp;EOMONTH(DATEVALUE($B108&amp;"-01"),0)))-1)/4*100,"")</f>
        <v/>
      </c>
      <c r="X108" t="str">
        <f ca="1">IFERROR(((AVERAGEIFS(Observacion_Directa!$D$2:$D$1000,Observacion_Directa!$A$2:$A$1000,$A108,Observacion_Directa!$B$2:$B$1000,"&gt;="&amp;DATEVALUE($B108&amp;"-01"),Observacion_Directa!$B$2:$B$1000,"&lt;="&amp;EOMONTH(DATEVALUE($B108&amp;"-01"),0)))-1)/4*100,"")</f>
        <v/>
      </c>
      <c r="Y108" t="e">
        <f t="shared" ca="1" si="3"/>
        <v>#DIV/0!</v>
      </c>
    </row>
    <row r="109" spans="12:25" x14ac:dyDescent="0.2">
      <c r="L109" t="str">
        <f t="shared" si="2"/>
        <v/>
      </c>
      <c r="M109" t="str">
        <f>IFERROR(AVERAGEIFS(Prod_5dias!$H$2:$H$1000,Prod_5dias!$A$2:$A$1000,$A109,Prod_5dias!$B$2:$B$1000,$B109),"")</f>
        <v/>
      </c>
      <c r="N109" t="str">
        <f>IF(M109="","",MIN(100,100*M109/Parametros!$B$7))</f>
        <v/>
      </c>
      <c r="O109" t="str">
        <f>IF(F109="","",IF(F109=0,100,MIN(100,100*Parametros!$B$3/F109)))</f>
        <v/>
      </c>
      <c r="P109" t="str">
        <f ca="1">IFERROR(((AVERAGEIFS(Observacion_Directa!$E$2:$E$1000,Observacion_Directa!$A$2:$A$1000,$A109,Observacion_Directa!$B$2:$B$1000,"&gt;="&amp;DATEVALUE($B109&amp;"-01"),Observacion_Directa!$B$2:$B$1000,"&lt;="&amp;EOMONTH(DATEVALUE($B109&amp;"-01"),0)))-1)/4*100,"")</f>
        <v/>
      </c>
      <c r="Q109" t="str">
        <f>IF(H109="","",MIN(100,100*H109/Parametros!$B$4))</f>
        <v/>
      </c>
      <c r="R109" t="str">
        <f>IF(I109="","",IF(I109=0,100,MIN(100,100*Parametros!$B$5/I109)))</f>
        <v/>
      </c>
      <c r="S109" t="str">
        <f>IF(J109="","",IF(J109=0,100,MIN(100,100*Parametros!$B$6/J109)))</f>
        <v/>
      </c>
      <c r="T109" t="str">
        <f>IF(L109="","",MIN(100,100*L109/Parametros!$B$7))</f>
        <v/>
      </c>
      <c r="U109" t="str">
        <f>IF(K109="","",MIN(100,100*K109/Parametros!$B$8))</f>
        <v/>
      </c>
      <c r="V109" t="str">
        <f ca="1">IFERROR(((AVERAGEIFS(Documentacion!$C$2:$C$1000,Documentacion!$A$2:$A$1000,$A109,Documentacion!$B$2:$B$1000,"&gt;="&amp;DATEVALUE($B109&amp;"-01"),Documentacion!$B$2:$B$1000,"&lt;="&amp;EOMONTH(DATEVALUE($B109&amp;"-01"),0)))-1)/4*100,"")</f>
        <v/>
      </c>
      <c r="W109" t="str">
        <f ca="1">IFERROR(((AVERAGEIFS(Feedback_360!$D$2:$D$1000,Feedback_360!$A$2:$A$1000,$A109,Feedback_360!$B$2:$B$1000,"&gt;="&amp;DATEVALUE($B109&amp;"-01"),Feedback_360!$B$2:$B$1000,"&lt;="&amp;EOMONTH(DATEVALUE($B109&amp;"-01"),0)))-1)/4*100,"")</f>
        <v/>
      </c>
      <c r="X109" t="str">
        <f ca="1">IFERROR(((AVERAGEIFS(Observacion_Directa!$D$2:$D$1000,Observacion_Directa!$A$2:$A$1000,$A109,Observacion_Directa!$B$2:$B$1000,"&gt;="&amp;DATEVALUE($B109&amp;"-01"),Observacion_Directa!$B$2:$B$1000,"&lt;="&amp;EOMONTH(DATEVALUE($B109&amp;"-01"),0)))-1)/4*100,"")</f>
        <v/>
      </c>
      <c r="Y109" t="e">
        <f t="shared" ca="1" si="3"/>
        <v>#DIV/0!</v>
      </c>
    </row>
    <row r="110" spans="12:25" x14ac:dyDescent="0.2">
      <c r="L110" t="str">
        <f t="shared" si="2"/>
        <v/>
      </c>
      <c r="M110" t="str">
        <f>IFERROR(AVERAGEIFS(Prod_5dias!$H$2:$H$1000,Prod_5dias!$A$2:$A$1000,$A110,Prod_5dias!$B$2:$B$1000,$B110),"")</f>
        <v/>
      </c>
      <c r="N110" t="str">
        <f>IF(M110="","",MIN(100,100*M110/Parametros!$B$7))</f>
        <v/>
      </c>
      <c r="O110" t="str">
        <f>IF(F110="","",IF(F110=0,100,MIN(100,100*Parametros!$B$3/F110)))</f>
        <v/>
      </c>
      <c r="P110" t="str">
        <f ca="1">IFERROR(((AVERAGEIFS(Observacion_Directa!$E$2:$E$1000,Observacion_Directa!$A$2:$A$1000,$A110,Observacion_Directa!$B$2:$B$1000,"&gt;="&amp;DATEVALUE($B110&amp;"-01"),Observacion_Directa!$B$2:$B$1000,"&lt;="&amp;EOMONTH(DATEVALUE($B110&amp;"-01"),0)))-1)/4*100,"")</f>
        <v/>
      </c>
      <c r="Q110" t="str">
        <f>IF(H110="","",MIN(100,100*H110/Parametros!$B$4))</f>
        <v/>
      </c>
      <c r="R110" t="str">
        <f>IF(I110="","",IF(I110=0,100,MIN(100,100*Parametros!$B$5/I110)))</f>
        <v/>
      </c>
      <c r="S110" t="str">
        <f>IF(J110="","",IF(J110=0,100,MIN(100,100*Parametros!$B$6/J110)))</f>
        <v/>
      </c>
      <c r="T110" t="str">
        <f>IF(L110="","",MIN(100,100*L110/Parametros!$B$7))</f>
        <v/>
      </c>
      <c r="U110" t="str">
        <f>IF(K110="","",MIN(100,100*K110/Parametros!$B$8))</f>
        <v/>
      </c>
      <c r="V110" t="str">
        <f ca="1">IFERROR(((AVERAGEIFS(Documentacion!$C$2:$C$1000,Documentacion!$A$2:$A$1000,$A110,Documentacion!$B$2:$B$1000,"&gt;="&amp;DATEVALUE($B110&amp;"-01"),Documentacion!$B$2:$B$1000,"&lt;="&amp;EOMONTH(DATEVALUE($B110&amp;"-01"),0)))-1)/4*100,"")</f>
        <v/>
      </c>
      <c r="W110" t="str">
        <f ca="1">IFERROR(((AVERAGEIFS(Feedback_360!$D$2:$D$1000,Feedback_360!$A$2:$A$1000,$A110,Feedback_360!$B$2:$B$1000,"&gt;="&amp;DATEVALUE($B110&amp;"-01"),Feedback_360!$B$2:$B$1000,"&lt;="&amp;EOMONTH(DATEVALUE($B110&amp;"-01"),0)))-1)/4*100,"")</f>
        <v/>
      </c>
      <c r="X110" t="str">
        <f ca="1">IFERROR(((AVERAGEIFS(Observacion_Directa!$D$2:$D$1000,Observacion_Directa!$A$2:$A$1000,$A110,Observacion_Directa!$B$2:$B$1000,"&gt;="&amp;DATEVALUE($B110&amp;"-01"),Observacion_Directa!$B$2:$B$1000,"&lt;="&amp;EOMONTH(DATEVALUE($B110&amp;"-01"),0)))-1)/4*100,"")</f>
        <v/>
      </c>
      <c r="Y110" t="e">
        <f t="shared" ca="1" si="3"/>
        <v>#DIV/0!</v>
      </c>
    </row>
    <row r="111" spans="12:25" x14ac:dyDescent="0.2">
      <c r="L111" t="str">
        <f t="shared" si="2"/>
        <v/>
      </c>
      <c r="M111" t="str">
        <f>IFERROR(AVERAGEIFS(Prod_5dias!$H$2:$H$1000,Prod_5dias!$A$2:$A$1000,$A111,Prod_5dias!$B$2:$B$1000,$B111),"")</f>
        <v/>
      </c>
      <c r="N111" t="str">
        <f>IF(M111="","",MIN(100,100*M111/Parametros!$B$7))</f>
        <v/>
      </c>
      <c r="O111" t="str">
        <f>IF(F111="","",IF(F111=0,100,MIN(100,100*Parametros!$B$3/F111)))</f>
        <v/>
      </c>
      <c r="P111" t="str">
        <f ca="1">IFERROR(((AVERAGEIFS(Observacion_Directa!$E$2:$E$1000,Observacion_Directa!$A$2:$A$1000,$A111,Observacion_Directa!$B$2:$B$1000,"&gt;="&amp;DATEVALUE($B111&amp;"-01"),Observacion_Directa!$B$2:$B$1000,"&lt;="&amp;EOMONTH(DATEVALUE($B111&amp;"-01"),0)))-1)/4*100,"")</f>
        <v/>
      </c>
      <c r="Q111" t="str">
        <f>IF(H111="","",MIN(100,100*H111/Parametros!$B$4))</f>
        <v/>
      </c>
      <c r="R111" t="str">
        <f>IF(I111="","",IF(I111=0,100,MIN(100,100*Parametros!$B$5/I111)))</f>
        <v/>
      </c>
      <c r="S111" t="str">
        <f>IF(J111="","",IF(J111=0,100,MIN(100,100*Parametros!$B$6/J111)))</f>
        <v/>
      </c>
      <c r="T111" t="str">
        <f>IF(L111="","",MIN(100,100*L111/Parametros!$B$7))</f>
        <v/>
      </c>
      <c r="U111" t="str">
        <f>IF(K111="","",MIN(100,100*K111/Parametros!$B$8))</f>
        <v/>
      </c>
      <c r="V111" t="str">
        <f ca="1">IFERROR(((AVERAGEIFS(Documentacion!$C$2:$C$1000,Documentacion!$A$2:$A$1000,$A111,Documentacion!$B$2:$B$1000,"&gt;="&amp;DATEVALUE($B111&amp;"-01"),Documentacion!$B$2:$B$1000,"&lt;="&amp;EOMONTH(DATEVALUE($B111&amp;"-01"),0)))-1)/4*100,"")</f>
        <v/>
      </c>
      <c r="W111" t="str">
        <f ca="1">IFERROR(((AVERAGEIFS(Feedback_360!$D$2:$D$1000,Feedback_360!$A$2:$A$1000,$A111,Feedback_360!$B$2:$B$1000,"&gt;="&amp;DATEVALUE($B111&amp;"-01"),Feedback_360!$B$2:$B$1000,"&lt;="&amp;EOMONTH(DATEVALUE($B111&amp;"-01"),0)))-1)/4*100,"")</f>
        <v/>
      </c>
      <c r="X111" t="str">
        <f ca="1">IFERROR(((AVERAGEIFS(Observacion_Directa!$D$2:$D$1000,Observacion_Directa!$A$2:$A$1000,$A111,Observacion_Directa!$B$2:$B$1000,"&gt;="&amp;DATEVALUE($B111&amp;"-01"),Observacion_Directa!$B$2:$B$1000,"&lt;="&amp;EOMONTH(DATEVALUE($B111&amp;"-01"),0)))-1)/4*100,"")</f>
        <v/>
      </c>
      <c r="Y111" t="e">
        <f t="shared" ca="1" si="3"/>
        <v>#DIV/0!</v>
      </c>
    </row>
    <row r="112" spans="12:25" x14ac:dyDescent="0.2">
      <c r="L112" t="str">
        <f t="shared" si="2"/>
        <v/>
      </c>
      <c r="M112" t="str">
        <f>IFERROR(AVERAGEIFS(Prod_5dias!$H$2:$H$1000,Prod_5dias!$A$2:$A$1000,$A112,Prod_5dias!$B$2:$B$1000,$B112),"")</f>
        <v/>
      </c>
      <c r="N112" t="str">
        <f>IF(M112="","",MIN(100,100*M112/Parametros!$B$7))</f>
        <v/>
      </c>
      <c r="O112" t="str">
        <f>IF(F112="","",IF(F112=0,100,MIN(100,100*Parametros!$B$3/F112)))</f>
        <v/>
      </c>
      <c r="P112" t="str">
        <f ca="1">IFERROR(((AVERAGEIFS(Observacion_Directa!$E$2:$E$1000,Observacion_Directa!$A$2:$A$1000,$A112,Observacion_Directa!$B$2:$B$1000,"&gt;="&amp;DATEVALUE($B112&amp;"-01"),Observacion_Directa!$B$2:$B$1000,"&lt;="&amp;EOMONTH(DATEVALUE($B112&amp;"-01"),0)))-1)/4*100,"")</f>
        <v/>
      </c>
      <c r="Q112" t="str">
        <f>IF(H112="","",MIN(100,100*H112/Parametros!$B$4))</f>
        <v/>
      </c>
      <c r="R112" t="str">
        <f>IF(I112="","",IF(I112=0,100,MIN(100,100*Parametros!$B$5/I112)))</f>
        <v/>
      </c>
      <c r="S112" t="str">
        <f>IF(J112="","",IF(J112=0,100,MIN(100,100*Parametros!$B$6/J112)))</f>
        <v/>
      </c>
      <c r="T112" t="str">
        <f>IF(L112="","",MIN(100,100*L112/Parametros!$B$7))</f>
        <v/>
      </c>
      <c r="U112" t="str">
        <f>IF(K112="","",MIN(100,100*K112/Parametros!$B$8))</f>
        <v/>
      </c>
      <c r="V112" t="str">
        <f ca="1">IFERROR(((AVERAGEIFS(Documentacion!$C$2:$C$1000,Documentacion!$A$2:$A$1000,$A112,Documentacion!$B$2:$B$1000,"&gt;="&amp;DATEVALUE($B112&amp;"-01"),Documentacion!$B$2:$B$1000,"&lt;="&amp;EOMONTH(DATEVALUE($B112&amp;"-01"),0)))-1)/4*100,"")</f>
        <v/>
      </c>
      <c r="W112" t="str">
        <f ca="1">IFERROR(((AVERAGEIFS(Feedback_360!$D$2:$D$1000,Feedback_360!$A$2:$A$1000,$A112,Feedback_360!$B$2:$B$1000,"&gt;="&amp;DATEVALUE($B112&amp;"-01"),Feedback_360!$B$2:$B$1000,"&lt;="&amp;EOMONTH(DATEVALUE($B112&amp;"-01"),0)))-1)/4*100,"")</f>
        <v/>
      </c>
      <c r="X112" t="str">
        <f ca="1">IFERROR(((AVERAGEIFS(Observacion_Directa!$D$2:$D$1000,Observacion_Directa!$A$2:$A$1000,$A112,Observacion_Directa!$B$2:$B$1000,"&gt;="&amp;DATEVALUE($B112&amp;"-01"),Observacion_Directa!$B$2:$B$1000,"&lt;="&amp;EOMONTH(DATEVALUE($B112&amp;"-01"),0)))-1)/4*100,"")</f>
        <v/>
      </c>
      <c r="Y112" t="e">
        <f t="shared" ca="1" si="3"/>
        <v>#DIV/0!</v>
      </c>
    </row>
    <row r="113" spans="12:25" x14ac:dyDescent="0.2">
      <c r="L113" t="str">
        <f t="shared" si="2"/>
        <v/>
      </c>
      <c r="M113" t="str">
        <f>IFERROR(AVERAGEIFS(Prod_5dias!$H$2:$H$1000,Prod_5dias!$A$2:$A$1000,$A113,Prod_5dias!$B$2:$B$1000,$B113),"")</f>
        <v/>
      </c>
      <c r="N113" t="str">
        <f>IF(M113="","",MIN(100,100*M113/Parametros!$B$7))</f>
        <v/>
      </c>
      <c r="O113" t="str">
        <f>IF(F113="","",IF(F113=0,100,MIN(100,100*Parametros!$B$3/F113)))</f>
        <v/>
      </c>
      <c r="P113" t="str">
        <f ca="1">IFERROR(((AVERAGEIFS(Observacion_Directa!$E$2:$E$1000,Observacion_Directa!$A$2:$A$1000,$A113,Observacion_Directa!$B$2:$B$1000,"&gt;="&amp;DATEVALUE($B113&amp;"-01"),Observacion_Directa!$B$2:$B$1000,"&lt;="&amp;EOMONTH(DATEVALUE($B113&amp;"-01"),0)))-1)/4*100,"")</f>
        <v/>
      </c>
      <c r="Q113" t="str">
        <f>IF(H113="","",MIN(100,100*H113/Parametros!$B$4))</f>
        <v/>
      </c>
      <c r="R113" t="str">
        <f>IF(I113="","",IF(I113=0,100,MIN(100,100*Parametros!$B$5/I113)))</f>
        <v/>
      </c>
      <c r="S113" t="str">
        <f>IF(J113="","",IF(J113=0,100,MIN(100,100*Parametros!$B$6/J113)))</f>
        <v/>
      </c>
      <c r="T113" t="str">
        <f>IF(L113="","",MIN(100,100*L113/Parametros!$B$7))</f>
        <v/>
      </c>
      <c r="U113" t="str">
        <f>IF(K113="","",MIN(100,100*K113/Parametros!$B$8))</f>
        <v/>
      </c>
      <c r="V113" t="str">
        <f ca="1">IFERROR(((AVERAGEIFS(Documentacion!$C$2:$C$1000,Documentacion!$A$2:$A$1000,$A113,Documentacion!$B$2:$B$1000,"&gt;="&amp;DATEVALUE($B113&amp;"-01"),Documentacion!$B$2:$B$1000,"&lt;="&amp;EOMONTH(DATEVALUE($B113&amp;"-01"),0)))-1)/4*100,"")</f>
        <v/>
      </c>
      <c r="W113" t="str">
        <f ca="1">IFERROR(((AVERAGEIFS(Feedback_360!$D$2:$D$1000,Feedback_360!$A$2:$A$1000,$A113,Feedback_360!$B$2:$B$1000,"&gt;="&amp;DATEVALUE($B113&amp;"-01"),Feedback_360!$B$2:$B$1000,"&lt;="&amp;EOMONTH(DATEVALUE($B113&amp;"-01"),0)))-1)/4*100,"")</f>
        <v/>
      </c>
      <c r="X113" t="str">
        <f ca="1">IFERROR(((AVERAGEIFS(Observacion_Directa!$D$2:$D$1000,Observacion_Directa!$A$2:$A$1000,$A113,Observacion_Directa!$B$2:$B$1000,"&gt;="&amp;DATEVALUE($B113&amp;"-01"),Observacion_Directa!$B$2:$B$1000,"&lt;="&amp;EOMONTH(DATEVALUE($B113&amp;"-01"),0)))-1)/4*100,"")</f>
        <v/>
      </c>
      <c r="Y113" t="e">
        <f t="shared" ca="1" si="3"/>
        <v>#DIV/0!</v>
      </c>
    </row>
    <row r="114" spans="12:25" x14ac:dyDescent="0.2">
      <c r="L114" t="str">
        <f t="shared" si="2"/>
        <v/>
      </c>
      <c r="M114" t="str">
        <f>IFERROR(AVERAGEIFS(Prod_5dias!$H$2:$H$1000,Prod_5dias!$A$2:$A$1000,$A114,Prod_5dias!$B$2:$B$1000,$B114),"")</f>
        <v/>
      </c>
      <c r="N114" t="str">
        <f>IF(M114="","",MIN(100,100*M114/Parametros!$B$7))</f>
        <v/>
      </c>
      <c r="O114" t="str">
        <f>IF(F114="","",IF(F114=0,100,MIN(100,100*Parametros!$B$3/F114)))</f>
        <v/>
      </c>
      <c r="P114" t="str">
        <f ca="1">IFERROR(((AVERAGEIFS(Observacion_Directa!$E$2:$E$1000,Observacion_Directa!$A$2:$A$1000,$A114,Observacion_Directa!$B$2:$B$1000,"&gt;="&amp;DATEVALUE($B114&amp;"-01"),Observacion_Directa!$B$2:$B$1000,"&lt;="&amp;EOMONTH(DATEVALUE($B114&amp;"-01"),0)))-1)/4*100,"")</f>
        <v/>
      </c>
      <c r="Q114" t="str">
        <f>IF(H114="","",MIN(100,100*H114/Parametros!$B$4))</f>
        <v/>
      </c>
      <c r="R114" t="str">
        <f>IF(I114="","",IF(I114=0,100,MIN(100,100*Parametros!$B$5/I114)))</f>
        <v/>
      </c>
      <c r="S114" t="str">
        <f>IF(J114="","",IF(J114=0,100,MIN(100,100*Parametros!$B$6/J114)))</f>
        <v/>
      </c>
      <c r="T114" t="str">
        <f>IF(L114="","",MIN(100,100*L114/Parametros!$B$7))</f>
        <v/>
      </c>
      <c r="U114" t="str">
        <f>IF(K114="","",MIN(100,100*K114/Parametros!$B$8))</f>
        <v/>
      </c>
      <c r="V114" t="str">
        <f ca="1">IFERROR(((AVERAGEIFS(Documentacion!$C$2:$C$1000,Documentacion!$A$2:$A$1000,$A114,Documentacion!$B$2:$B$1000,"&gt;="&amp;DATEVALUE($B114&amp;"-01"),Documentacion!$B$2:$B$1000,"&lt;="&amp;EOMONTH(DATEVALUE($B114&amp;"-01"),0)))-1)/4*100,"")</f>
        <v/>
      </c>
      <c r="W114" t="str">
        <f ca="1">IFERROR(((AVERAGEIFS(Feedback_360!$D$2:$D$1000,Feedback_360!$A$2:$A$1000,$A114,Feedback_360!$B$2:$B$1000,"&gt;="&amp;DATEVALUE($B114&amp;"-01"),Feedback_360!$B$2:$B$1000,"&lt;="&amp;EOMONTH(DATEVALUE($B114&amp;"-01"),0)))-1)/4*100,"")</f>
        <v/>
      </c>
      <c r="X114" t="str">
        <f ca="1">IFERROR(((AVERAGEIFS(Observacion_Directa!$D$2:$D$1000,Observacion_Directa!$A$2:$A$1000,$A114,Observacion_Directa!$B$2:$B$1000,"&gt;="&amp;DATEVALUE($B114&amp;"-01"),Observacion_Directa!$B$2:$B$1000,"&lt;="&amp;EOMONTH(DATEVALUE($B114&amp;"-01"),0)))-1)/4*100,"")</f>
        <v/>
      </c>
      <c r="Y114" t="e">
        <f t="shared" ca="1" si="3"/>
        <v>#DIV/0!</v>
      </c>
    </row>
    <row r="115" spans="12:25" x14ac:dyDescent="0.2">
      <c r="L115" t="str">
        <f t="shared" si="2"/>
        <v/>
      </c>
      <c r="M115" t="str">
        <f>IFERROR(AVERAGEIFS(Prod_5dias!$H$2:$H$1000,Prod_5dias!$A$2:$A$1000,$A115,Prod_5dias!$B$2:$B$1000,$B115),"")</f>
        <v/>
      </c>
      <c r="N115" t="str">
        <f>IF(M115="","",MIN(100,100*M115/Parametros!$B$7))</f>
        <v/>
      </c>
      <c r="O115" t="str">
        <f>IF(F115="","",IF(F115=0,100,MIN(100,100*Parametros!$B$3/F115)))</f>
        <v/>
      </c>
      <c r="P115" t="str">
        <f ca="1">IFERROR(((AVERAGEIFS(Observacion_Directa!$E$2:$E$1000,Observacion_Directa!$A$2:$A$1000,$A115,Observacion_Directa!$B$2:$B$1000,"&gt;="&amp;DATEVALUE($B115&amp;"-01"),Observacion_Directa!$B$2:$B$1000,"&lt;="&amp;EOMONTH(DATEVALUE($B115&amp;"-01"),0)))-1)/4*100,"")</f>
        <v/>
      </c>
      <c r="Q115" t="str">
        <f>IF(H115="","",MIN(100,100*H115/Parametros!$B$4))</f>
        <v/>
      </c>
      <c r="R115" t="str">
        <f>IF(I115="","",IF(I115=0,100,MIN(100,100*Parametros!$B$5/I115)))</f>
        <v/>
      </c>
      <c r="S115" t="str">
        <f>IF(J115="","",IF(J115=0,100,MIN(100,100*Parametros!$B$6/J115)))</f>
        <v/>
      </c>
      <c r="T115" t="str">
        <f>IF(L115="","",MIN(100,100*L115/Parametros!$B$7))</f>
        <v/>
      </c>
      <c r="U115" t="str">
        <f>IF(K115="","",MIN(100,100*K115/Parametros!$B$8))</f>
        <v/>
      </c>
      <c r="V115" t="str">
        <f ca="1">IFERROR(((AVERAGEIFS(Documentacion!$C$2:$C$1000,Documentacion!$A$2:$A$1000,$A115,Documentacion!$B$2:$B$1000,"&gt;="&amp;DATEVALUE($B115&amp;"-01"),Documentacion!$B$2:$B$1000,"&lt;="&amp;EOMONTH(DATEVALUE($B115&amp;"-01"),0)))-1)/4*100,"")</f>
        <v/>
      </c>
      <c r="W115" t="str">
        <f ca="1">IFERROR(((AVERAGEIFS(Feedback_360!$D$2:$D$1000,Feedback_360!$A$2:$A$1000,$A115,Feedback_360!$B$2:$B$1000,"&gt;="&amp;DATEVALUE($B115&amp;"-01"),Feedback_360!$B$2:$B$1000,"&lt;="&amp;EOMONTH(DATEVALUE($B115&amp;"-01"),0)))-1)/4*100,"")</f>
        <v/>
      </c>
      <c r="X115" t="str">
        <f ca="1">IFERROR(((AVERAGEIFS(Observacion_Directa!$D$2:$D$1000,Observacion_Directa!$A$2:$A$1000,$A115,Observacion_Directa!$B$2:$B$1000,"&gt;="&amp;DATEVALUE($B115&amp;"-01"),Observacion_Directa!$B$2:$B$1000,"&lt;="&amp;EOMONTH(DATEVALUE($B115&amp;"-01"),0)))-1)/4*100,"")</f>
        <v/>
      </c>
      <c r="Y115" t="e">
        <f t="shared" ca="1" si="3"/>
        <v>#DIV/0!</v>
      </c>
    </row>
    <row r="116" spans="12:25" x14ac:dyDescent="0.2">
      <c r="L116" t="str">
        <f t="shared" si="2"/>
        <v/>
      </c>
      <c r="M116" t="str">
        <f>IFERROR(AVERAGEIFS(Prod_5dias!$H$2:$H$1000,Prod_5dias!$A$2:$A$1000,$A116,Prod_5dias!$B$2:$B$1000,$B116),"")</f>
        <v/>
      </c>
      <c r="N116" t="str">
        <f>IF(M116="","",MIN(100,100*M116/Parametros!$B$7))</f>
        <v/>
      </c>
      <c r="O116" t="str">
        <f>IF(F116="","",IF(F116=0,100,MIN(100,100*Parametros!$B$3/F116)))</f>
        <v/>
      </c>
      <c r="P116" t="str">
        <f ca="1">IFERROR(((AVERAGEIFS(Observacion_Directa!$E$2:$E$1000,Observacion_Directa!$A$2:$A$1000,$A116,Observacion_Directa!$B$2:$B$1000,"&gt;="&amp;DATEVALUE($B116&amp;"-01"),Observacion_Directa!$B$2:$B$1000,"&lt;="&amp;EOMONTH(DATEVALUE($B116&amp;"-01"),0)))-1)/4*100,"")</f>
        <v/>
      </c>
      <c r="Q116" t="str">
        <f>IF(H116="","",MIN(100,100*H116/Parametros!$B$4))</f>
        <v/>
      </c>
      <c r="R116" t="str">
        <f>IF(I116="","",IF(I116=0,100,MIN(100,100*Parametros!$B$5/I116)))</f>
        <v/>
      </c>
      <c r="S116" t="str">
        <f>IF(J116="","",IF(J116=0,100,MIN(100,100*Parametros!$B$6/J116)))</f>
        <v/>
      </c>
      <c r="T116" t="str">
        <f>IF(L116="","",MIN(100,100*L116/Parametros!$B$7))</f>
        <v/>
      </c>
      <c r="U116" t="str">
        <f>IF(K116="","",MIN(100,100*K116/Parametros!$B$8))</f>
        <v/>
      </c>
      <c r="V116" t="str">
        <f ca="1">IFERROR(((AVERAGEIFS(Documentacion!$C$2:$C$1000,Documentacion!$A$2:$A$1000,$A116,Documentacion!$B$2:$B$1000,"&gt;="&amp;DATEVALUE($B116&amp;"-01"),Documentacion!$B$2:$B$1000,"&lt;="&amp;EOMONTH(DATEVALUE($B116&amp;"-01"),0)))-1)/4*100,"")</f>
        <v/>
      </c>
      <c r="W116" t="str">
        <f ca="1">IFERROR(((AVERAGEIFS(Feedback_360!$D$2:$D$1000,Feedback_360!$A$2:$A$1000,$A116,Feedback_360!$B$2:$B$1000,"&gt;="&amp;DATEVALUE($B116&amp;"-01"),Feedback_360!$B$2:$B$1000,"&lt;="&amp;EOMONTH(DATEVALUE($B116&amp;"-01"),0)))-1)/4*100,"")</f>
        <v/>
      </c>
      <c r="X116" t="str">
        <f ca="1">IFERROR(((AVERAGEIFS(Observacion_Directa!$D$2:$D$1000,Observacion_Directa!$A$2:$A$1000,$A116,Observacion_Directa!$B$2:$B$1000,"&gt;="&amp;DATEVALUE($B116&amp;"-01"),Observacion_Directa!$B$2:$B$1000,"&lt;="&amp;EOMONTH(DATEVALUE($B116&amp;"-01"),0)))-1)/4*100,"")</f>
        <v/>
      </c>
      <c r="Y116" t="e">
        <f t="shared" ca="1" si="3"/>
        <v>#DIV/0!</v>
      </c>
    </row>
    <row r="117" spans="12:25" x14ac:dyDescent="0.2">
      <c r="L117" t="str">
        <f t="shared" si="2"/>
        <v/>
      </c>
      <c r="M117" t="str">
        <f>IFERROR(AVERAGEIFS(Prod_5dias!$H$2:$H$1000,Prod_5dias!$A$2:$A$1000,$A117,Prod_5dias!$B$2:$B$1000,$B117),"")</f>
        <v/>
      </c>
      <c r="N117" t="str">
        <f>IF(M117="","",MIN(100,100*M117/Parametros!$B$7))</f>
        <v/>
      </c>
      <c r="O117" t="str">
        <f>IF(F117="","",IF(F117=0,100,MIN(100,100*Parametros!$B$3/F117)))</f>
        <v/>
      </c>
      <c r="P117" t="str">
        <f ca="1">IFERROR(((AVERAGEIFS(Observacion_Directa!$E$2:$E$1000,Observacion_Directa!$A$2:$A$1000,$A117,Observacion_Directa!$B$2:$B$1000,"&gt;="&amp;DATEVALUE($B117&amp;"-01"),Observacion_Directa!$B$2:$B$1000,"&lt;="&amp;EOMONTH(DATEVALUE($B117&amp;"-01"),0)))-1)/4*100,"")</f>
        <v/>
      </c>
      <c r="Q117" t="str">
        <f>IF(H117="","",MIN(100,100*H117/Parametros!$B$4))</f>
        <v/>
      </c>
      <c r="R117" t="str">
        <f>IF(I117="","",IF(I117=0,100,MIN(100,100*Parametros!$B$5/I117)))</f>
        <v/>
      </c>
      <c r="S117" t="str">
        <f>IF(J117="","",IF(J117=0,100,MIN(100,100*Parametros!$B$6/J117)))</f>
        <v/>
      </c>
      <c r="T117" t="str">
        <f>IF(L117="","",MIN(100,100*L117/Parametros!$B$7))</f>
        <v/>
      </c>
      <c r="U117" t="str">
        <f>IF(K117="","",MIN(100,100*K117/Parametros!$B$8))</f>
        <v/>
      </c>
      <c r="V117" t="str">
        <f ca="1">IFERROR(((AVERAGEIFS(Documentacion!$C$2:$C$1000,Documentacion!$A$2:$A$1000,$A117,Documentacion!$B$2:$B$1000,"&gt;="&amp;DATEVALUE($B117&amp;"-01"),Documentacion!$B$2:$B$1000,"&lt;="&amp;EOMONTH(DATEVALUE($B117&amp;"-01"),0)))-1)/4*100,"")</f>
        <v/>
      </c>
      <c r="W117" t="str">
        <f ca="1">IFERROR(((AVERAGEIFS(Feedback_360!$D$2:$D$1000,Feedback_360!$A$2:$A$1000,$A117,Feedback_360!$B$2:$B$1000,"&gt;="&amp;DATEVALUE($B117&amp;"-01"),Feedback_360!$B$2:$B$1000,"&lt;="&amp;EOMONTH(DATEVALUE($B117&amp;"-01"),0)))-1)/4*100,"")</f>
        <v/>
      </c>
      <c r="X117" t="str">
        <f ca="1">IFERROR(((AVERAGEIFS(Observacion_Directa!$D$2:$D$1000,Observacion_Directa!$A$2:$A$1000,$A117,Observacion_Directa!$B$2:$B$1000,"&gt;="&amp;DATEVALUE($B117&amp;"-01"),Observacion_Directa!$B$2:$B$1000,"&lt;="&amp;EOMONTH(DATEVALUE($B117&amp;"-01"),0)))-1)/4*100,"")</f>
        <v/>
      </c>
      <c r="Y117" t="e">
        <f t="shared" ca="1" si="3"/>
        <v>#DIV/0!</v>
      </c>
    </row>
    <row r="118" spans="12:25" x14ac:dyDescent="0.2">
      <c r="L118" t="str">
        <f t="shared" si="2"/>
        <v/>
      </c>
      <c r="M118" t="str">
        <f>IFERROR(AVERAGEIFS(Prod_5dias!$H$2:$H$1000,Prod_5dias!$A$2:$A$1000,$A118,Prod_5dias!$B$2:$B$1000,$B118),"")</f>
        <v/>
      </c>
      <c r="N118" t="str">
        <f>IF(M118="","",MIN(100,100*M118/Parametros!$B$7))</f>
        <v/>
      </c>
      <c r="O118" t="str">
        <f>IF(F118="","",IF(F118=0,100,MIN(100,100*Parametros!$B$3/F118)))</f>
        <v/>
      </c>
      <c r="P118" t="str">
        <f ca="1">IFERROR(((AVERAGEIFS(Observacion_Directa!$E$2:$E$1000,Observacion_Directa!$A$2:$A$1000,$A118,Observacion_Directa!$B$2:$B$1000,"&gt;="&amp;DATEVALUE($B118&amp;"-01"),Observacion_Directa!$B$2:$B$1000,"&lt;="&amp;EOMONTH(DATEVALUE($B118&amp;"-01"),0)))-1)/4*100,"")</f>
        <v/>
      </c>
      <c r="Q118" t="str">
        <f>IF(H118="","",MIN(100,100*H118/Parametros!$B$4))</f>
        <v/>
      </c>
      <c r="R118" t="str">
        <f>IF(I118="","",IF(I118=0,100,MIN(100,100*Parametros!$B$5/I118)))</f>
        <v/>
      </c>
      <c r="S118" t="str">
        <f>IF(J118="","",IF(J118=0,100,MIN(100,100*Parametros!$B$6/J118)))</f>
        <v/>
      </c>
      <c r="T118" t="str">
        <f>IF(L118="","",MIN(100,100*L118/Parametros!$B$7))</f>
        <v/>
      </c>
      <c r="U118" t="str">
        <f>IF(K118="","",MIN(100,100*K118/Parametros!$B$8))</f>
        <v/>
      </c>
      <c r="V118" t="str">
        <f ca="1">IFERROR(((AVERAGEIFS(Documentacion!$C$2:$C$1000,Documentacion!$A$2:$A$1000,$A118,Documentacion!$B$2:$B$1000,"&gt;="&amp;DATEVALUE($B118&amp;"-01"),Documentacion!$B$2:$B$1000,"&lt;="&amp;EOMONTH(DATEVALUE($B118&amp;"-01"),0)))-1)/4*100,"")</f>
        <v/>
      </c>
      <c r="W118" t="str">
        <f ca="1">IFERROR(((AVERAGEIFS(Feedback_360!$D$2:$D$1000,Feedback_360!$A$2:$A$1000,$A118,Feedback_360!$B$2:$B$1000,"&gt;="&amp;DATEVALUE($B118&amp;"-01"),Feedback_360!$B$2:$B$1000,"&lt;="&amp;EOMONTH(DATEVALUE($B118&amp;"-01"),0)))-1)/4*100,"")</f>
        <v/>
      </c>
      <c r="X118" t="str">
        <f ca="1">IFERROR(((AVERAGEIFS(Observacion_Directa!$D$2:$D$1000,Observacion_Directa!$A$2:$A$1000,$A118,Observacion_Directa!$B$2:$B$1000,"&gt;="&amp;DATEVALUE($B118&amp;"-01"),Observacion_Directa!$B$2:$B$1000,"&lt;="&amp;EOMONTH(DATEVALUE($B118&amp;"-01"),0)))-1)/4*100,"")</f>
        <v/>
      </c>
      <c r="Y118" t="e">
        <f t="shared" ca="1" si="3"/>
        <v>#DIV/0!</v>
      </c>
    </row>
    <row r="119" spans="12:25" x14ac:dyDescent="0.2">
      <c r="L119" t="str">
        <f t="shared" si="2"/>
        <v/>
      </c>
      <c r="M119" t="str">
        <f>IFERROR(AVERAGEIFS(Prod_5dias!$H$2:$H$1000,Prod_5dias!$A$2:$A$1000,$A119,Prod_5dias!$B$2:$B$1000,$B119),"")</f>
        <v/>
      </c>
      <c r="N119" t="str">
        <f>IF(M119="","",MIN(100,100*M119/Parametros!$B$7))</f>
        <v/>
      </c>
      <c r="O119" t="str">
        <f>IF(F119="","",IF(F119=0,100,MIN(100,100*Parametros!$B$3/F119)))</f>
        <v/>
      </c>
      <c r="P119" t="str">
        <f ca="1">IFERROR(((AVERAGEIFS(Observacion_Directa!$E$2:$E$1000,Observacion_Directa!$A$2:$A$1000,$A119,Observacion_Directa!$B$2:$B$1000,"&gt;="&amp;DATEVALUE($B119&amp;"-01"),Observacion_Directa!$B$2:$B$1000,"&lt;="&amp;EOMONTH(DATEVALUE($B119&amp;"-01"),0)))-1)/4*100,"")</f>
        <v/>
      </c>
      <c r="Q119" t="str">
        <f>IF(H119="","",MIN(100,100*H119/Parametros!$B$4))</f>
        <v/>
      </c>
      <c r="R119" t="str">
        <f>IF(I119="","",IF(I119=0,100,MIN(100,100*Parametros!$B$5/I119)))</f>
        <v/>
      </c>
      <c r="S119" t="str">
        <f>IF(J119="","",IF(J119=0,100,MIN(100,100*Parametros!$B$6/J119)))</f>
        <v/>
      </c>
      <c r="T119" t="str">
        <f>IF(L119="","",MIN(100,100*L119/Parametros!$B$7))</f>
        <v/>
      </c>
      <c r="U119" t="str">
        <f>IF(K119="","",MIN(100,100*K119/Parametros!$B$8))</f>
        <v/>
      </c>
      <c r="V119" t="str">
        <f ca="1">IFERROR(((AVERAGEIFS(Documentacion!$C$2:$C$1000,Documentacion!$A$2:$A$1000,$A119,Documentacion!$B$2:$B$1000,"&gt;="&amp;DATEVALUE($B119&amp;"-01"),Documentacion!$B$2:$B$1000,"&lt;="&amp;EOMONTH(DATEVALUE($B119&amp;"-01"),0)))-1)/4*100,"")</f>
        <v/>
      </c>
      <c r="W119" t="str">
        <f ca="1">IFERROR(((AVERAGEIFS(Feedback_360!$D$2:$D$1000,Feedback_360!$A$2:$A$1000,$A119,Feedback_360!$B$2:$B$1000,"&gt;="&amp;DATEVALUE($B119&amp;"-01"),Feedback_360!$B$2:$B$1000,"&lt;="&amp;EOMONTH(DATEVALUE($B119&amp;"-01"),0)))-1)/4*100,"")</f>
        <v/>
      </c>
      <c r="X119" t="str">
        <f ca="1">IFERROR(((AVERAGEIFS(Observacion_Directa!$D$2:$D$1000,Observacion_Directa!$A$2:$A$1000,$A119,Observacion_Directa!$B$2:$B$1000,"&gt;="&amp;DATEVALUE($B119&amp;"-01"),Observacion_Directa!$B$2:$B$1000,"&lt;="&amp;EOMONTH(DATEVALUE($B119&amp;"-01"),0)))-1)/4*100,"")</f>
        <v/>
      </c>
      <c r="Y119" t="e">
        <f t="shared" ca="1" si="3"/>
        <v>#DIV/0!</v>
      </c>
    </row>
    <row r="120" spans="12:25" x14ac:dyDescent="0.2">
      <c r="L120" t="str">
        <f t="shared" si="2"/>
        <v/>
      </c>
      <c r="M120" t="str">
        <f>IFERROR(AVERAGEIFS(Prod_5dias!$H$2:$H$1000,Prod_5dias!$A$2:$A$1000,$A120,Prod_5dias!$B$2:$B$1000,$B120),"")</f>
        <v/>
      </c>
      <c r="N120" t="str">
        <f>IF(M120="","",MIN(100,100*M120/Parametros!$B$7))</f>
        <v/>
      </c>
      <c r="O120" t="str">
        <f>IF(F120="","",IF(F120=0,100,MIN(100,100*Parametros!$B$3/F120)))</f>
        <v/>
      </c>
      <c r="P120" t="str">
        <f ca="1">IFERROR(((AVERAGEIFS(Observacion_Directa!$E$2:$E$1000,Observacion_Directa!$A$2:$A$1000,$A120,Observacion_Directa!$B$2:$B$1000,"&gt;="&amp;DATEVALUE($B120&amp;"-01"),Observacion_Directa!$B$2:$B$1000,"&lt;="&amp;EOMONTH(DATEVALUE($B120&amp;"-01"),0)))-1)/4*100,"")</f>
        <v/>
      </c>
      <c r="Q120" t="str">
        <f>IF(H120="","",MIN(100,100*H120/Parametros!$B$4))</f>
        <v/>
      </c>
      <c r="R120" t="str">
        <f>IF(I120="","",IF(I120=0,100,MIN(100,100*Parametros!$B$5/I120)))</f>
        <v/>
      </c>
      <c r="S120" t="str">
        <f>IF(J120="","",IF(J120=0,100,MIN(100,100*Parametros!$B$6/J120)))</f>
        <v/>
      </c>
      <c r="T120" t="str">
        <f>IF(L120="","",MIN(100,100*L120/Parametros!$B$7))</f>
        <v/>
      </c>
      <c r="U120" t="str">
        <f>IF(K120="","",MIN(100,100*K120/Parametros!$B$8))</f>
        <v/>
      </c>
      <c r="V120" t="str">
        <f ca="1">IFERROR(((AVERAGEIFS(Documentacion!$C$2:$C$1000,Documentacion!$A$2:$A$1000,$A120,Documentacion!$B$2:$B$1000,"&gt;="&amp;DATEVALUE($B120&amp;"-01"),Documentacion!$B$2:$B$1000,"&lt;="&amp;EOMONTH(DATEVALUE($B120&amp;"-01"),0)))-1)/4*100,"")</f>
        <v/>
      </c>
      <c r="W120" t="str">
        <f ca="1">IFERROR(((AVERAGEIFS(Feedback_360!$D$2:$D$1000,Feedback_360!$A$2:$A$1000,$A120,Feedback_360!$B$2:$B$1000,"&gt;="&amp;DATEVALUE($B120&amp;"-01"),Feedback_360!$B$2:$B$1000,"&lt;="&amp;EOMONTH(DATEVALUE($B120&amp;"-01"),0)))-1)/4*100,"")</f>
        <v/>
      </c>
      <c r="X120" t="str">
        <f ca="1">IFERROR(((AVERAGEIFS(Observacion_Directa!$D$2:$D$1000,Observacion_Directa!$A$2:$A$1000,$A120,Observacion_Directa!$B$2:$B$1000,"&gt;="&amp;DATEVALUE($B120&amp;"-01"),Observacion_Directa!$B$2:$B$1000,"&lt;="&amp;EOMONTH(DATEVALUE($B120&amp;"-01"),0)))-1)/4*100,"")</f>
        <v/>
      </c>
      <c r="Y120" t="e">
        <f t="shared" ca="1" si="3"/>
        <v>#DIV/0!</v>
      </c>
    </row>
    <row r="121" spans="12:25" x14ac:dyDescent="0.2">
      <c r="L121" t="str">
        <f t="shared" si="2"/>
        <v/>
      </c>
      <c r="M121" t="str">
        <f>IFERROR(AVERAGEIFS(Prod_5dias!$H$2:$H$1000,Prod_5dias!$A$2:$A$1000,$A121,Prod_5dias!$B$2:$B$1000,$B121),"")</f>
        <v/>
      </c>
      <c r="N121" t="str">
        <f>IF(M121="","",MIN(100,100*M121/Parametros!$B$7))</f>
        <v/>
      </c>
      <c r="O121" t="str">
        <f>IF(F121="","",IF(F121=0,100,MIN(100,100*Parametros!$B$3/F121)))</f>
        <v/>
      </c>
      <c r="P121" t="str">
        <f ca="1">IFERROR(((AVERAGEIFS(Observacion_Directa!$E$2:$E$1000,Observacion_Directa!$A$2:$A$1000,$A121,Observacion_Directa!$B$2:$B$1000,"&gt;="&amp;DATEVALUE($B121&amp;"-01"),Observacion_Directa!$B$2:$B$1000,"&lt;="&amp;EOMONTH(DATEVALUE($B121&amp;"-01"),0)))-1)/4*100,"")</f>
        <v/>
      </c>
      <c r="Q121" t="str">
        <f>IF(H121="","",MIN(100,100*H121/Parametros!$B$4))</f>
        <v/>
      </c>
      <c r="R121" t="str">
        <f>IF(I121="","",IF(I121=0,100,MIN(100,100*Parametros!$B$5/I121)))</f>
        <v/>
      </c>
      <c r="S121" t="str">
        <f>IF(J121="","",IF(J121=0,100,MIN(100,100*Parametros!$B$6/J121)))</f>
        <v/>
      </c>
      <c r="T121" t="str">
        <f>IF(L121="","",MIN(100,100*L121/Parametros!$B$7))</f>
        <v/>
      </c>
      <c r="U121" t="str">
        <f>IF(K121="","",MIN(100,100*K121/Parametros!$B$8))</f>
        <v/>
      </c>
      <c r="V121" t="str">
        <f ca="1">IFERROR(((AVERAGEIFS(Documentacion!$C$2:$C$1000,Documentacion!$A$2:$A$1000,$A121,Documentacion!$B$2:$B$1000,"&gt;="&amp;DATEVALUE($B121&amp;"-01"),Documentacion!$B$2:$B$1000,"&lt;="&amp;EOMONTH(DATEVALUE($B121&amp;"-01"),0)))-1)/4*100,"")</f>
        <v/>
      </c>
      <c r="W121" t="str">
        <f ca="1">IFERROR(((AVERAGEIFS(Feedback_360!$D$2:$D$1000,Feedback_360!$A$2:$A$1000,$A121,Feedback_360!$B$2:$B$1000,"&gt;="&amp;DATEVALUE($B121&amp;"-01"),Feedback_360!$B$2:$B$1000,"&lt;="&amp;EOMONTH(DATEVALUE($B121&amp;"-01"),0)))-1)/4*100,"")</f>
        <v/>
      </c>
      <c r="X121" t="str">
        <f ca="1">IFERROR(((AVERAGEIFS(Observacion_Directa!$D$2:$D$1000,Observacion_Directa!$A$2:$A$1000,$A121,Observacion_Directa!$B$2:$B$1000,"&gt;="&amp;DATEVALUE($B121&amp;"-01"),Observacion_Directa!$B$2:$B$1000,"&lt;="&amp;EOMONTH(DATEVALUE($B121&amp;"-01"),0)))-1)/4*100,"")</f>
        <v/>
      </c>
      <c r="Y121" t="e">
        <f t="shared" ca="1" si="3"/>
        <v>#DIV/0!</v>
      </c>
    </row>
    <row r="122" spans="12:25" x14ac:dyDescent="0.2">
      <c r="L122" t="str">
        <f t="shared" si="2"/>
        <v/>
      </c>
      <c r="M122" t="str">
        <f>IFERROR(AVERAGEIFS(Prod_5dias!$H$2:$H$1000,Prod_5dias!$A$2:$A$1000,$A122,Prod_5dias!$B$2:$B$1000,$B122),"")</f>
        <v/>
      </c>
      <c r="N122" t="str">
        <f>IF(M122="","",MIN(100,100*M122/Parametros!$B$7))</f>
        <v/>
      </c>
      <c r="O122" t="str">
        <f>IF(F122="","",IF(F122=0,100,MIN(100,100*Parametros!$B$3/F122)))</f>
        <v/>
      </c>
      <c r="P122" t="str">
        <f ca="1">IFERROR(((AVERAGEIFS(Observacion_Directa!$E$2:$E$1000,Observacion_Directa!$A$2:$A$1000,$A122,Observacion_Directa!$B$2:$B$1000,"&gt;="&amp;DATEVALUE($B122&amp;"-01"),Observacion_Directa!$B$2:$B$1000,"&lt;="&amp;EOMONTH(DATEVALUE($B122&amp;"-01"),0)))-1)/4*100,"")</f>
        <v/>
      </c>
      <c r="Q122" t="str">
        <f>IF(H122="","",MIN(100,100*H122/Parametros!$B$4))</f>
        <v/>
      </c>
      <c r="R122" t="str">
        <f>IF(I122="","",IF(I122=0,100,MIN(100,100*Parametros!$B$5/I122)))</f>
        <v/>
      </c>
      <c r="S122" t="str">
        <f>IF(J122="","",IF(J122=0,100,MIN(100,100*Parametros!$B$6/J122)))</f>
        <v/>
      </c>
      <c r="T122" t="str">
        <f>IF(L122="","",MIN(100,100*L122/Parametros!$B$7))</f>
        <v/>
      </c>
      <c r="U122" t="str">
        <f>IF(K122="","",MIN(100,100*K122/Parametros!$B$8))</f>
        <v/>
      </c>
      <c r="V122" t="str">
        <f ca="1">IFERROR(((AVERAGEIFS(Documentacion!$C$2:$C$1000,Documentacion!$A$2:$A$1000,$A122,Documentacion!$B$2:$B$1000,"&gt;="&amp;DATEVALUE($B122&amp;"-01"),Documentacion!$B$2:$B$1000,"&lt;="&amp;EOMONTH(DATEVALUE($B122&amp;"-01"),0)))-1)/4*100,"")</f>
        <v/>
      </c>
      <c r="W122" t="str">
        <f ca="1">IFERROR(((AVERAGEIFS(Feedback_360!$D$2:$D$1000,Feedback_360!$A$2:$A$1000,$A122,Feedback_360!$B$2:$B$1000,"&gt;="&amp;DATEVALUE($B122&amp;"-01"),Feedback_360!$B$2:$B$1000,"&lt;="&amp;EOMONTH(DATEVALUE($B122&amp;"-01"),0)))-1)/4*100,"")</f>
        <v/>
      </c>
      <c r="X122" t="str">
        <f ca="1">IFERROR(((AVERAGEIFS(Observacion_Directa!$D$2:$D$1000,Observacion_Directa!$A$2:$A$1000,$A122,Observacion_Directa!$B$2:$B$1000,"&gt;="&amp;DATEVALUE($B122&amp;"-01"),Observacion_Directa!$B$2:$B$1000,"&lt;="&amp;EOMONTH(DATEVALUE($B122&amp;"-01"),0)))-1)/4*100,"")</f>
        <v/>
      </c>
      <c r="Y122" t="e">
        <f t="shared" ca="1" si="3"/>
        <v>#DIV/0!</v>
      </c>
    </row>
    <row r="123" spans="12:25" x14ac:dyDescent="0.2">
      <c r="L123" t="str">
        <f t="shared" si="2"/>
        <v/>
      </c>
      <c r="M123" t="str">
        <f>IFERROR(AVERAGEIFS(Prod_5dias!$H$2:$H$1000,Prod_5dias!$A$2:$A$1000,$A123,Prod_5dias!$B$2:$B$1000,$B123),"")</f>
        <v/>
      </c>
      <c r="N123" t="str">
        <f>IF(M123="","",MIN(100,100*M123/Parametros!$B$7))</f>
        <v/>
      </c>
      <c r="O123" t="str">
        <f>IF(F123="","",IF(F123=0,100,MIN(100,100*Parametros!$B$3/F123)))</f>
        <v/>
      </c>
      <c r="P123" t="str">
        <f ca="1">IFERROR(((AVERAGEIFS(Observacion_Directa!$E$2:$E$1000,Observacion_Directa!$A$2:$A$1000,$A123,Observacion_Directa!$B$2:$B$1000,"&gt;="&amp;DATEVALUE($B123&amp;"-01"),Observacion_Directa!$B$2:$B$1000,"&lt;="&amp;EOMONTH(DATEVALUE($B123&amp;"-01"),0)))-1)/4*100,"")</f>
        <v/>
      </c>
      <c r="Q123" t="str">
        <f>IF(H123="","",MIN(100,100*H123/Parametros!$B$4))</f>
        <v/>
      </c>
      <c r="R123" t="str">
        <f>IF(I123="","",IF(I123=0,100,MIN(100,100*Parametros!$B$5/I123)))</f>
        <v/>
      </c>
      <c r="S123" t="str">
        <f>IF(J123="","",IF(J123=0,100,MIN(100,100*Parametros!$B$6/J123)))</f>
        <v/>
      </c>
      <c r="T123" t="str">
        <f>IF(L123="","",MIN(100,100*L123/Parametros!$B$7))</f>
        <v/>
      </c>
      <c r="U123" t="str">
        <f>IF(K123="","",MIN(100,100*K123/Parametros!$B$8))</f>
        <v/>
      </c>
      <c r="V123" t="str">
        <f ca="1">IFERROR(((AVERAGEIFS(Documentacion!$C$2:$C$1000,Documentacion!$A$2:$A$1000,$A123,Documentacion!$B$2:$B$1000,"&gt;="&amp;DATEVALUE($B123&amp;"-01"),Documentacion!$B$2:$B$1000,"&lt;="&amp;EOMONTH(DATEVALUE($B123&amp;"-01"),0)))-1)/4*100,"")</f>
        <v/>
      </c>
      <c r="W123" t="str">
        <f ca="1">IFERROR(((AVERAGEIFS(Feedback_360!$D$2:$D$1000,Feedback_360!$A$2:$A$1000,$A123,Feedback_360!$B$2:$B$1000,"&gt;="&amp;DATEVALUE($B123&amp;"-01"),Feedback_360!$B$2:$B$1000,"&lt;="&amp;EOMONTH(DATEVALUE($B123&amp;"-01"),0)))-1)/4*100,"")</f>
        <v/>
      </c>
      <c r="X123" t="str">
        <f ca="1">IFERROR(((AVERAGEIFS(Observacion_Directa!$D$2:$D$1000,Observacion_Directa!$A$2:$A$1000,$A123,Observacion_Directa!$B$2:$B$1000,"&gt;="&amp;DATEVALUE($B123&amp;"-01"),Observacion_Directa!$B$2:$B$1000,"&lt;="&amp;EOMONTH(DATEVALUE($B123&amp;"-01"),0)))-1)/4*100,"")</f>
        <v/>
      </c>
      <c r="Y123" t="e">
        <f t="shared" ca="1" si="3"/>
        <v>#DIV/0!</v>
      </c>
    </row>
    <row r="124" spans="12:25" x14ac:dyDescent="0.2">
      <c r="L124" t="str">
        <f t="shared" si="2"/>
        <v/>
      </c>
      <c r="M124" t="str">
        <f>IFERROR(AVERAGEIFS(Prod_5dias!$H$2:$H$1000,Prod_5dias!$A$2:$A$1000,$A124,Prod_5dias!$B$2:$B$1000,$B124),"")</f>
        <v/>
      </c>
      <c r="N124" t="str">
        <f>IF(M124="","",MIN(100,100*M124/Parametros!$B$7))</f>
        <v/>
      </c>
      <c r="O124" t="str">
        <f>IF(F124="","",IF(F124=0,100,MIN(100,100*Parametros!$B$3/F124)))</f>
        <v/>
      </c>
      <c r="P124" t="str">
        <f ca="1">IFERROR(((AVERAGEIFS(Observacion_Directa!$E$2:$E$1000,Observacion_Directa!$A$2:$A$1000,$A124,Observacion_Directa!$B$2:$B$1000,"&gt;="&amp;DATEVALUE($B124&amp;"-01"),Observacion_Directa!$B$2:$B$1000,"&lt;="&amp;EOMONTH(DATEVALUE($B124&amp;"-01"),0)))-1)/4*100,"")</f>
        <v/>
      </c>
      <c r="Q124" t="str">
        <f>IF(H124="","",MIN(100,100*H124/Parametros!$B$4))</f>
        <v/>
      </c>
      <c r="R124" t="str">
        <f>IF(I124="","",IF(I124=0,100,MIN(100,100*Parametros!$B$5/I124)))</f>
        <v/>
      </c>
      <c r="S124" t="str">
        <f>IF(J124="","",IF(J124=0,100,MIN(100,100*Parametros!$B$6/J124)))</f>
        <v/>
      </c>
      <c r="T124" t="str">
        <f>IF(L124="","",MIN(100,100*L124/Parametros!$B$7))</f>
        <v/>
      </c>
      <c r="U124" t="str">
        <f>IF(K124="","",MIN(100,100*K124/Parametros!$B$8))</f>
        <v/>
      </c>
      <c r="V124" t="str">
        <f ca="1">IFERROR(((AVERAGEIFS(Documentacion!$C$2:$C$1000,Documentacion!$A$2:$A$1000,$A124,Documentacion!$B$2:$B$1000,"&gt;="&amp;DATEVALUE($B124&amp;"-01"),Documentacion!$B$2:$B$1000,"&lt;="&amp;EOMONTH(DATEVALUE($B124&amp;"-01"),0)))-1)/4*100,"")</f>
        <v/>
      </c>
      <c r="W124" t="str">
        <f ca="1">IFERROR(((AVERAGEIFS(Feedback_360!$D$2:$D$1000,Feedback_360!$A$2:$A$1000,$A124,Feedback_360!$B$2:$B$1000,"&gt;="&amp;DATEVALUE($B124&amp;"-01"),Feedback_360!$B$2:$B$1000,"&lt;="&amp;EOMONTH(DATEVALUE($B124&amp;"-01"),0)))-1)/4*100,"")</f>
        <v/>
      </c>
      <c r="X124" t="str">
        <f ca="1">IFERROR(((AVERAGEIFS(Observacion_Directa!$D$2:$D$1000,Observacion_Directa!$A$2:$A$1000,$A124,Observacion_Directa!$B$2:$B$1000,"&gt;="&amp;DATEVALUE($B124&amp;"-01"),Observacion_Directa!$B$2:$B$1000,"&lt;="&amp;EOMONTH(DATEVALUE($B124&amp;"-01"),0)))-1)/4*100,"")</f>
        <v/>
      </c>
      <c r="Y124" t="e">
        <f t="shared" ca="1" si="3"/>
        <v>#DIV/0!</v>
      </c>
    </row>
    <row r="125" spans="12:25" x14ac:dyDescent="0.2">
      <c r="L125" t="str">
        <f t="shared" si="2"/>
        <v/>
      </c>
      <c r="M125" t="str">
        <f>IFERROR(AVERAGEIFS(Prod_5dias!$H$2:$H$1000,Prod_5dias!$A$2:$A$1000,$A125,Prod_5dias!$B$2:$B$1000,$B125),"")</f>
        <v/>
      </c>
      <c r="N125" t="str">
        <f>IF(M125="","",MIN(100,100*M125/Parametros!$B$7))</f>
        <v/>
      </c>
      <c r="O125" t="str">
        <f>IF(F125="","",IF(F125=0,100,MIN(100,100*Parametros!$B$3/F125)))</f>
        <v/>
      </c>
      <c r="P125" t="str">
        <f ca="1">IFERROR(((AVERAGEIFS(Observacion_Directa!$E$2:$E$1000,Observacion_Directa!$A$2:$A$1000,$A125,Observacion_Directa!$B$2:$B$1000,"&gt;="&amp;DATEVALUE($B125&amp;"-01"),Observacion_Directa!$B$2:$B$1000,"&lt;="&amp;EOMONTH(DATEVALUE($B125&amp;"-01"),0)))-1)/4*100,"")</f>
        <v/>
      </c>
      <c r="Q125" t="str">
        <f>IF(H125="","",MIN(100,100*H125/Parametros!$B$4))</f>
        <v/>
      </c>
      <c r="R125" t="str">
        <f>IF(I125="","",IF(I125=0,100,MIN(100,100*Parametros!$B$5/I125)))</f>
        <v/>
      </c>
      <c r="S125" t="str">
        <f>IF(J125="","",IF(J125=0,100,MIN(100,100*Parametros!$B$6/J125)))</f>
        <v/>
      </c>
      <c r="T125" t="str">
        <f>IF(L125="","",MIN(100,100*L125/Parametros!$B$7))</f>
        <v/>
      </c>
      <c r="U125" t="str">
        <f>IF(K125="","",MIN(100,100*K125/Parametros!$B$8))</f>
        <v/>
      </c>
      <c r="V125" t="str">
        <f ca="1">IFERROR(((AVERAGEIFS(Documentacion!$C$2:$C$1000,Documentacion!$A$2:$A$1000,$A125,Documentacion!$B$2:$B$1000,"&gt;="&amp;DATEVALUE($B125&amp;"-01"),Documentacion!$B$2:$B$1000,"&lt;="&amp;EOMONTH(DATEVALUE($B125&amp;"-01"),0)))-1)/4*100,"")</f>
        <v/>
      </c>
      <c r="W125" t="str">
        <f ca="1">IFERROR(((AVERAGEIFS(Feedback_360!$D$2:$D$1000,Feedback_360!$A$2:$A$1000,$A125,Feedback_360!$B$2:$B$1000,"&gt;="&amp;DATEVALUE($B125&amp;"-01"),Feedback_360!$B$2:$B$1000,"&lt;="&amp;EOMONTH(DATEVALUE($B125&amp;"-01"),0)))-1)/4*100,"")</f>
        <v/>
      </c>
      <c r="X125" t="str">
        <f ca="1">IFERROR(((AVERAGEIFS(Observacion_Directa!$D$2:$D$1000,Observacion_Directa!$A$2:$A$1000,$A125,Observacion_Directa!$B$2:$B$1000,"&gt;="&amp;DATEVALUE($B125&amp;"-01"),Observacion_Directa!$B$2:$B$1000,"&lt;="&amp;EOMONTH(DATEVALUE($B125&amp;"-01"),0)))-1)/4*100,"")</f>
        <v/>
      </c>
      <c r="Y125" t="e">
        <f t="shared" ca="1" si="3"/>
        <v>#DIV/0!</v>
      </c>
    </row>
    <row r="126" spans="12:25" x14ac:dyDescent="0.2">
      <c r="L126" t="str">
        <f t="shared" si="2"/>
        <v/>
      </c>
      <c r="M126" t="str">
        <f>IFERROR(AVERAGEIFS(Prod_5dias!$H$2:$H$1000,Prod_5dias!$A$2:$A$1000,$A126,Prod_5dias!$B$2:$B$1000,$B126),"")</f>
        <v/>
      </c>
      <c r="N126" t="str">
        <f>IF(M126="","",MIN(100,100*M126/Parametros!$B$7))</f>
        <v/>
      </c>
      <c r="O126" t="str">
        <f>IF(F126="","",IF(F126=0,100,MIN(100,100*Parametros!$B$3/F126)))</f>
        <v/>
      </c>
      <c r="P126" t="str">
        <f ca="1">IFERROR(((AVERAGEIFS(Observacion_Directa!$E$2:$E$1000,Observacion_Directa!$A$2:$A$1000,$A126,Observacion_Directa!$B$2:$B$1000,"&gt;="&amp;DATEVALUE($B126&amp;"-01"),Observacion_Directa!$B$2:$B$1000,"&lt;="&amp;EOMONTH(DATEVALUE($B126&amp;"-01"),0)))-1)/4*100,"")</f>
        <v/>
      </c>
      <c r="Q126" t="str">
        <f>IF(H126="","",MIN(100,100*H126/Parametros!$B$4))</f>
        <v/>
      </c>
      <c r="R126" t="str">
        <f>IF(I126="","",IF(I126=0,100,MIN(100,100*Parametros!$B$5/I126)))</f>
        <v/>
      </c>
      <c r="S126" t="str">
        <f>IF(J126="","",IF(J126=0,100,MIN(100,100*Parametros!$B$6/J126)))</f>
        <v/>
      </c>
      <c r="T126" t="str">
        <f>IF(L126="","",MIN(100,100*L126/Parametros!$B$7))</f>
        <v/>
      </c>
      <c r="U126" t="str">
        <f>IF(K126="","",MIN(100,100*K126/Parametros!$B$8))</f>
        <v/>
      </c>
      <c r="V126" t="str">
        <f ca="1">IFERROR(((AVERAGEIFS(Documentacion!$C$2:$C$1000,Documentacion!$A$2:$A$1000,$A126,Documentacion!$B$2:$B$1000,"&gt;="&amp;DATEVALUE($B126&amp;"-01"),Documentacion!$B$2:$B$1000,"&lt;="&amp;EOMONTH(DATEVALUE($B126&amp;"-01"),0)))-1)/4*100,"")</f>
        <v/>
      </c>
      <c r="W126" t="str">
        <f ca="1">IFERROR(((AVERAGEIFS(Feedback_360!$D$2:$D$1000,Feedback_360!$A$2:$A$1000,$A126,Feedback_360!$B$2:$B$1000,"&gt;="&amp;DATEVALUE($B126&amp;"-01"),Feedback_360!$B$2:$B$1000,"&lt;="&amp;EOMONTH(DATEVALUE($B126&amp;"-01"),0)))-1)/4*100,"")</f>
        <v/>
      </c>
      <c r="X126" t="str">
        <f ca="1">IFERROR(((AVERAGEIFS(Observacion_Directa!$D$2:$D$1000,Observacion_Directa!$A$2:$A$1000,$A126,Observacion_Directa!$B$2:$B$1000,"&gt;="&amp;DATEVALUE($B126&amp;"-01"),Observacion_Directa!$B$2:$B$1000,"&lt;="&amp;EOMONTH(DATEVALUE($B126&amp;"-01"),0)))-1)/4*100,"")</f>
        <v/>
      </c>
      <c r="Y126" t="e">
        <f t="shared" ca="1" si="3"/>
        <v>#DIV/0!</v>
      </c>
    </row>
    <row r="127" spans="12:25" x14ac:dyDescent="0.2">
      <c r="L127" t="str">
        <f t="shared" si="2"/>
        <v/>
      </c>
      <c r="M127" t="str">
        <f>IFERROR(AVERAGEIFS(Prod_5dias!$H$2:$H$1000,Prod_5dias!$A$2:$A$1000,$A127,Prod_5dias!$B$2:$B$1000,$B127),"")</f>
        <v/>
      </c>
      <c r="N127" t="str">
        <f>IF(M127="","",MIN(100,100*M127/Parametros!$B$7))</f>
        <v/>
      </c>
      <c r="O127" t="str">
        <f>IF(F127="","",IF(F127=0,100,MIN(100,100*Parametros!$B$3/F127)))</f>
        <v/>
      </c>
      <c r="P127" t="str">
        <f ca="1">IFERROR(((AVERAGEIFS(Observacion_Directa!$E$2:$E$1000,Observacion_Directa!$A$2:$A$1000,$A127,Observacion_Directa!$B$2:$B$1000,"&gt;="&amp;DATEVALUE($B127&amp;"-01"),Observacion_Directa!$B$2:$B$1000,"&lt;="&amp;EOMONTH(DATEVALUE($B127&amp;"-01"),0)))-1)/4*100,"")</f>
        <v/>
      </c>
      <c r="Q127" t="str">
        <f>IF(H127="","",MIN(100,100*H127/Parametros!$B$4))</f>
        <v/>
      </c>
      <c r="R127" t="str">
        <f>IF(I127="","",IF(I127=0,100,MIN(100,100*Parametros!$B$5/I127)))</f>
        <v/>
      </c>
      <c r="S127" t="str">
        <f>IF(J127="","",IF(J127=0,100,MIN(100,100*Parametros!$B$6/J127)))</f>
        <v/>
      </c>
      <c r="T127" t="str">
        <f>IF(L127="","",MIN(100,100*L127/Parametros!$B$7))</f>
        <v/>
      </c>
      <c r="U127" t="str">
        <f>IF(K127="","",MIN(100,100*K127/Parametros!$B$8))</f>
        <v/>
      </c>
      <c r="V127" t="str">
        <f ca="1">IFERROR(((AVERAGEIFS(Documentacion!$C$2:$C$1000,Documentacion!$A$2:$A$1000,$A127,Documentacion!$B$2:$B$1000,"&gt;="&amp;DATEVALUE($B127&amp;"-01"),Documentacion!$B$2:$B$1000,"&lt;="&amp;EOMONTH(DATEVALUE($B127&amp;"-01"),0)))-1)/4*100,"")</f>
        <v/>
      </c>
      <c r="W127" t="str">
        <f ca="1">IFERROR(((AVERAGEIFS(Feedback_360!$D$2:$D$1000,Feedback_360!$A$2:$A$1000,$A127,Feedback_360!$B$2:$B$1000,"&gt;="&amp;DATEVALUE($B127&amp;"-01"),Feedback_360!$B$2:$B$1000,"&lt;="&amp;EOMONTH(DATEVALUE($B127&amp;"-01"),0)))-1)/4*100,"")</f>
        <v/>
      </c>
      <c r="X127" t="str">
        <f ca="1">IFERROR(((AVERAGEIFS(Observacion_Directa!$D$2:$D$1000,Observacion_Directa!$A$2:$A$1000,$A127,Observacion_Directa!$B$2:$B$1000,"&gt;="&amp;DATEVALUE($B127&amp;"-01"),Observacion_Directa!$B$2:$B$1000,"&lt;="&amp;EOMONTH(DATEVALUE($B127&amp;"-01"),0)))-1)/4*100,"")</f>
        <v/>
      </c>
      <c r="Y127" t="e">
        <f t="shared" ca="1" si="3"/>
        <v>#DIV/0!</v>
      </c>
    </row>
    <row r="128" spans="12:25" x14ac:dyDescent="0.2">
      <c r="L128" t="str">
        <f t="shared" si="2"/>
        <v/>
      </c>
      <c r="M128" t="str">
        <f>IFERROR(AVERAGEIFS(Prod_5dias!$H$2:$H$1000,Prod_5dias!$A$2:$A$1000,$A128,Prod_5dias!$B$2:$B$1000,$B128),"")</f>
        <v/>
      </c>
      <c r="N128" t="str">
        <f>IF(M128="","",MIN(100,100*M128/Parametros!$B$7))</f>
        <v/>
      </c>
      <c r="O128" t="str">
        <f>IF(F128="","",IF(F128=0,100,MIN(100,100*Parametros!$B$3/F128)))</f>
        <v/>
      </c>
      <c r="P128" t="str">
        <f ca="1">IFERROR(((AVERAGEIFS(Observacion_Directa!$E$2:$E$1000,Observacion_Directa!$A$2:$A$1000,$A128,Observacion_Directa!$B$2:$B$1000,"&gt;="&amp;DATEVALUE($B128&amp;"-01"),Observacion_Directa!$B$2:$B$1000,"&lt;="&amp;EOMONTH(DATEVALUE($B128&amp;"-01"),0)))-1)/4*100,"")</f>
        <v/>
      </c>
      <c r="Q128" t="str">
        <f>IF(H128="","",MIN(100,100*H128/Parametros!$B$4))</f>
        <v/>
      </c>
      <c r="R128" t="str">
        <f>IF(I128="","",IF(I128=0,100,MIN(100,100*Parametros!$B$5/I128)))</f>
        <v/>
      </c>
      <c r="S128" t="str">
        <f>IF(J128="","",IF(J128=0,100,MIN(100,100*Parametros!$B$6/J128)))</f>
        <v/>
      </c>
      <c r="T128" t="str">
        <f>IF(L128="","",MIN(100,100*L128/Parametros!$B$7))</f>
        <v/>
      </c>
      <c r="U128" t="str">
        <f>IF(K128="","",MIN(100,100*K128/Parametros!$B$8))</f>
        <v/>
      </c>
      <c r="V128" t="str">
        <f ca="1">IFERROR(((AVERAGEIFS(Documentacion!$C$2:$C$1000,Documentacion!$A$2:$A$1000,$A128,Documentacion!$B$2:$B$1000,"&gt;="&amp;DATEVALUE($B128&amp;"-01"),Documentacion!$B$2:$B$1000,"&lt;="&amp;EOMONTH(DATEVALUE($B128&amp;"-01"),0)))-1)/4*100,"")</f>
        <v/>
      </c>
      <c r="W128" t="str">
        <f ca="1">IFERROR(((AVERAGEIFS(Feedback_360!$D$2:$D$1000,Feedback_360!$A$2:$A$1000,$A128,Feedback_360!$B$2:$B$1000,"&gt;="&amp;DATEVALUE($B128&amp;"-01"),Feedback_360!$B$2:$B$1000,"&lt;="&amp;EOMONTH(DATEVALUE($B128&amp;"-01"),0)))-1)/4*100,"")</f>
        <v/>
      </c>
      <c r="X128" t="str">
        <f ca="1">IFERROR(((AVERAGEIFS(Observacion_Directa!$D$2:$D$1000,Observacion_Directa!$A$2:$A$1000,$A128,Observacion_Directa!$B$2:$B$1000,"&gt;="&amp;DATEVALUE($B128&amp;"-01"),Observacion_Directa!$B$2:$B$1000,"&lt;="&amp;EOMONTH(DATEVALUE($B128&amp;"-01"),0)))-1)/4*100,"")</f>
        <v/>
      </c>
      <c r="Y128" t="e">
        <f t="shared" ca="1" si="3"/>
        <v>#DIV/0!</v>
      </c>
    </row>
    <row r="129" spans="12:25" x14ac:dyDescent="0.2">
      <c r="L129" t="str">
        <f t="shared" si="2"/>
        <v/>
      </c>
      <c r="M129" t="str">
        <f>IFERROR(AVERAGEIFS(Prod_5dias!$H$2:$H$1000,Prod_5dias!$A$2:$A$1000,$A129,Prod_5dias!$B$2:$B$1000,$B129),"")</f>
        <v/>
      </c>
      <c r="N129" t="str">
        <f>IF(M129="","",MIN(100,100*M129/Parametros!$B$7))</f>
        <v/>
      </c>
      <c r="O129" t="str">
        <f>IF(F129="","",IF(F129=0,100,MIN(100,100*Parametros!$B$3/F129)))</f>
        <v/>
      </c>
      <c r="P129" t="str">
        <f ca="1">IFERROR(((AVERAGEIFS(Observacion_Directa!$E$2:$E$1000,Observacion_Directa!$A$2:$A$1000,$A129,Observacion_Directa!$B$2:$B$1000,"&gt;="&amp;DATEVALUE($B129&amp;"-01"),Observacion_Directa!$B$2:$B$1000,"&lt;="&amp;EOMONTH(DATEVALUE($B129&amp;"-01"),0)))-1)/4*100,"")</f>
        <v/>
      </c>
      <c r="Q129" t="str">
        <f>IF(H129="","",MIN(100,100*H129/Parametros!$B$4))</f>
        <v/>
      </c>
      <c r="R129" t="str">
        <f>IF(I129="","",IF(I129=0,100,MIN(100,100*Parametros!$B$5/I129)))</f>
        <v/>
      </c>
      <c r="S129" t="str">
        <f>IF(J129="","",IF(J129=0,100,MIN(100,100*Parametros!$B$6/J129)))</f>
        <v/>
      </c>
      <c r="T129" t="str">
        <f>IF(L129="","",MIN(100,100*L129/Parametros!$B$7))</f>
        <v/>
      </c>
      <c r="U129" t="str">
        <f>IF(K129="","",MIN(100,100*K129/Parametros!$B$8))</f>
        <v/>
      </c>
      <c r="V129" t="str">
        <f ca="1">IFERROR(((AVERAGEIFS(Documentacion!$C$2:$C$1000,Documentacion!$A$2:$A$1000,$A129,Documentacion!$B$2:$B$1000,"&gt;="&amp;DATEVALUE($B129&amp;"-01"),Documentacion!$B$2:$B$1000,"&lt;="&amp;EOMONTH(DATEVALUE($B129&amp;"-01"),0)))-1)/4*100,"")</f>
        <v/>
      </c>
      <c r="W129" t="str">
        <f ca="1">IFERROR(((AVERAGEIFS(Feedback_360!$D$2:$D$1000,Feedback_360!$A$2:$A$1000,$A129,Feedback_360!$B$2:$B$1000,"&gt;="&amp;DATEVALUE($B129&amp;"-01"),Feedback_360!$B$2:$B$1000,"&lt;="&amp;EOMONTH(DATEVALUE($B129&amp;"-01"),0)))-1)/4*100,"")</f>
        <v/>
      </c>
      <c r="X129" t="str">
        <f ca="1">IFERROR(((AVERAGEIFS(Observacion_Directa!$D$2:$D$1000,Observacion_Directa!$A$2:$A$1000,$A129,Observacion_Directa!$B$2:$B$1000,"&gt;="&amp;DATEVALUE($B129&amp;"-01"),Observacion_Directa!$B$2:$B$1000,"&lt;="&amp;EOMONTH(DATEVALUE($B129&amp;"-01"),0)))-1)/4*100,"")</f>
        <v/>
      </c>
      <c r="Y129" t="e">
        <f t="shared" ca="1" si="3"/>
        <v>#DIV/0!</v>
      </c>
    </row>
    <row r="130" spans="12:25" x14ac:dyDescent="0.2">
      <c r="L130" t="str">
        <f t="shared" ref="L130:L193" si="4">IF(OR(C130="",D130=""),"",C130/D130)</f>
        <v/>
      </c>
      <c r="M130" t="str">
        <f>IFERROR(AVERAGEIFS(Prod_5dias!$H$2:$H$1000,Prod_5dias!$A$2:$A$1000,$A130,Prod_5dias!$B$2:$B$1000,$B130),"")</f>
        <v/>
      </c>
      <c r="N130" t="str">
        <f>IF(M130="","",MIN(100,100*M130/Parametros!$B$7))</f>
        <v/>
      </c>
      <c r="O130" t="str">
        <f>IF(F130="","",IF(F130=0,100,MIN(100,100*Parametros!$B$3/F130)))</f>
        <v/>
      </c>
      <c r="P130" t="str">
        <f ca="1">IFERROR(((AVERAGEIFS(Observacion_Directa!$E$2:$E$1000,Observacion_Directa!$A$2:$A$1000,$A130,Observacion_Directa!$B$2:$B$1000,"&gt;="&amp;DATEVALUE($B130&amp;"-01"),Observacion_Directa!$B$2:$B$1000,"&lt;="&amp;EOMONTH(DATEVALUE($B130&amp;"-01"),0)))-1)/4*100,"")</f>
        <v/>
      </c>
      <c r="Q130" t="str">
        <f>IF(H130="","",MIN(100,100*H130/Parametros!$B$4))</f>
        <v/>
      </c>
      <c r="R130" t="str">
        <f>IF(I130="","",IF(I130=0,100,MIN(100,100*Parametros!$B$5/I130)))</f>
        <v/>
      </c>
      <c r="S130" t="str">
        <f>IF(J130="","",IF(J130=0,100,MIN(100,100*Parametros!$B$6/J130)))</f>
        <v/>
      </c>
      <c r="T130" t="str">
        <f>IF(L130="","",MIN(100,100*L130/Parametros!$B$7))</f>
        <v/>
      </c>
      <c r="U130" t="str">
        <f>IF(K130="","",MIN(100,100*K130/Parametros!$B$8))</f>
        <v/>
      </c>
      <c r="V130" t="str">
        <f ca="1">IFERROR(((AVERAGEIFS(Documentacion!$C$2:$C$1000,Documentacion!$A$2:$A$1000,$A130,Documentacion!$B$2:$B$1000,"&gt;="&amp;DATEVALUE($B130&amp;"-01"),Documentacion!$B$2:$B$1000,"&lt;="&amp;EOMONTH(DATEVALUE($B130&amp;"-01"),0)))-1)/4*100,"")</f>
        <v/>
      </c>
      <c r="W130" t="str">
        <f ca="1">IFERROR(((AVERAGEIFS(Feedback_360!$D$2:$D$1000,Feedback_360!$A$2:$A$1000,$A130,Feedback_360!$B$2:$B$1000,"&gt;="&amp;DATEVALUE($B130&amp;"-01"),Feedback_360!$B$2:$B$1000,"&lt;="&amp;EOMONTH(DATEVALUE($B130&amp;"-01"),0)))-1)/4*100,"")</f>
        <v/>
      </c>
      <c r="X130" t="str">
        <f ca="1">IFERROR(((AVERAGEIFS(Observacion_Directa!$D$2:$D$1000,Observacion_Directa!$A$2:$A$1000,$A130,Observacion_Directa!$B$2:$B$1000,"&gt;="&amp;DATEVALUE($B130&amp;"-01"),Observacion_Directa!$B$2:$B$1000,"&lt;="&amp;EOMONTH(DATEVALUE($B130&amp;"-01"),0)))-1)/4*100,"")</f>
        <v/>
      </c>
      <c r="Y130" t="e">
        <f t="shared" ref="Y130:Y193" ca="1" si="5">IF(COUNTA(N130:X130)=0,"",AVERAGE(N130:X130))</f>
        <v>#DIV/0!</v>
      </c>
    </row>
    <row r="131" spans="12:25" x14ac:dyDescent="0.2">
      <c r="L131" t="str">
        <f t="shared" si="4"/>
        <v/>
      </c>
      <c r="M131" t="str">
        <f>IFERROR(AVERAGEIFS(Prod_5dias!$H$2:$H$1000,Prod_5dias!$A$2:$A$1000,$A131,Prod_5dias!$B$2:$B$1000,$B131),"")</f>
        <v/>
      </c>
      <c r="N131" t="str">
        <f>IF(M131="","",MIN(100,100*M131/Parametros!$B$7))</f>
        <v/>
      </c>
      <c r="O131" t="str">
        <f>IF(F131="","",IF(F131=0,100,MIN(100,100*Parametros!$B$3/F131)))</f>
        <v/>
      </c>
      <c r="P131" t="str">
        <f ca="1">IFERROR(((AVERAGEIFS(Observacion_Directa!$E$2:$E$1000,Observacion_Directa!$A$2:$A$1000,$A131,Observacion_Directa!$B$2:$B$1000,"&gt;="&amp;DATEVALUE($B131&amp;"-01"),Observacion_Directa!$B$2:$B$1000,"&lt;="&amp;EOMONTH(DATEVALUE($B131&amp;"-01"),0)))-1)/4*100,"")</f>
        <v/>
      </c>
      <c r="Q131" t="str">
        <f>IF(H131="","",MIN(100,100*H131/Parametros!$B$4))</f>
        <v/>
      </c>
      <c r="R131" t="str">
        <f>IF(I131="","",IF(I131=0,100,MIN(100,100*Parametros!$B$5/I131)))</f>
        <v/>
      </c>
      <c r="S131" t="str">
        <f>IF(J131="","",IF(J131=0,100,MIN(100,100*Parametros!$B$6/J131)))</f>
        <v/>
      </c>
      <c r="T131" t="str">
        <f>IF(L131="","",MIN(100,100*L131/Parametros!$B$7))</f>
        <v/>
      </c>
      <c r="U131" t="str">
        <f>IF(K131="","",MIN(100,100*K131/Parametros!$B$8))</f>
        <v/>
      </c>
      <c r="V131" t="str">
        <f ca="1">IFERROR(((AVERAGEIFS(Documentacion!$C$2:$C$1000,Documentacion!$A$2:$A$1000,$A131,Documentacion!$B$2:$B$1000,"&gt;="&amp;DATEVALUE($B131&amp;"-01"),Documentacion!$B$2:$B$1000,"&lt;="&amp;EOMONTH(DATEVALUE($B131&amp;"-01"),0)))-1)/4*100,"")</f>
        <v/>
      </c>
      <c r="W131" t="str">
        <f ca="1">IFERROR(((AVERAGEIFS(Feedback_360!$D$2:$D$1000,Feedback_360!$A$2:$A$1000,$A131,Feedback_360!$B$2:$B$1000,"&gt;="&amp;DATEVALUE($B131&amp;"-01"),Feedback_360!$B$2:$B$1000,"&lt;="&amp;EOMONTH(DATEVALUE($B131&amp;"-01"),0)))-1)/4*100,"")</f>
        <v/>
      </c>
      <c r="X131" t="str">
        <f ca="1">IFERROR(((AVERAGEIFS(Observacion_Directa!$D$2:$D$1000,Observacion_Directa!$A$2:$A$1000,$A131,Observacion_Directa!$B$2:$B$1000,"&gt;="&amp;DATEVALUE($B131&amp;"-01"),Observacion_Directa!$B$2:$B$1000,"&lt;="&amp;EOMONTH(DATEVALUE($B131&amp;"-01"),0)))-1)/4*100,"")</f>
        <v/>
      </c>
      <c r="Y131" t="e">
        <f t="shared" ca="1" si="5"/>
        <v>#DIV/0!</v>
      </c>
    </row>
    <row r="132" spans="12:25" x14ac:dyDescent="0.2">
      <c r="L132" t="str">
        <f t="shared" si="4"/>
        <v/>
      </c>
      <c r="M132" t="str">
        <f>IFERROR(AVERAGEIFS(Prod_5dias!$H$2:$H$1000,Prod_5dias!$A$2:$A$1000,$A132,Prod_5dias!$B$2:$B$1000,$B132),"")</f>
        <v/>
      </c>
      <c r="N132" t="str">
        <f>IF(M132="","",MIN(100,100*M132/Parametros!$B$7))</f>
        <v/>
      </c>
      <c r="O132" t="str">
        <f>IF(F132="","",IF(F132=0,100,MIN(100,100*Parametros!$B$3/F132)))</f>
        <v/>
      </c>
      <c r="P132" t="str">
        <f ca="1">IFERROR(((AVERAGEIFS(Observacion_Directa!$E$2:$E$1000,Observacion_Directa!$A$2:$A$1000,$A132,Observacion_Directa!$B$2:$B$1000,"&gt;="&amp;DATEVALUE($B132&amp;"-01"),Observacion_Directa!$B$2:$B$1000,"&lt;="&amp;EOMONTH(DATEVALUE($B132&amp;"-01"),0)))-1)/4*100,"")</f>
        <v/>
      </c>
      <c r="Q132" t="str">
        <f>IF(H132="","",MIN(100,100*H132/Parametros!$B$4))</f>
        <v/>
      </c>
      <c r="R132" t="str">
        <f>IF(I132="","",IF(I132=0,100,MIN(100,100*Parametros!$B$5/I132)))</f>
        <v/>
      </c>
      <c r="S132" t="str">
        <f>IF(J132="","",IF(J132=0,100,MIN(100,100*Parametros!$B$6/J132)))</f>
        <v/>
      </c>
      <c r="T132" t="str">
        <f>IF(L132="","",MIN(100,100*L132/Parametros!$B$7))</f>
        <v/>
      </c>
      <c r="U132" t="str">
        <f>IF(K132="","",MIN(100,100*K132/Parametros!$B$8))</f>
        <v/>
      </c>
      <c r="V132" t="str">
        <f ca="1">IFERROR(((AVERAGEIFS(Documentacion!$C$2:$C$1000,Documentacion!$A$2:$A$1000,$A132,Documentacion!$B$2:$B$1000,"&gt;="&amp;DATEVALUE($B132&amp;"-01"),Documentacion!$B$2:$B$1000,"&lt;="&amp;EOMONTH(DATEVALUE($B132&amp;"-01"),0)))-1)/4*100,"")</f>
        <v/>
      </c>
      <c r="W132" t="str">
        <f ca="1">IFERROR(((AVERAGEIFS(Feedback_360!$D$2:$D$1000,Feedback_360!$A$2:$A$1000,$A132,Feedback_360!$B$2:$B$1000,"&gt;="&amp;DATEVALUE($B132&amp;"-01"),Feedback_360!$B$2:$B$1000,"&lt;="&amp;EOMONTH(DATEVALUE($B132&amp;"-01"),0)))-1)/4*100,"")</f>
        <v/>
      </c>
      <c r="X132" t="str">
        <f ca="1">IFERROR(((AVERAGEIFS(Observacion_Directa!$D$2:$D$1000,Observacion_Directa!$A$2:$A$1000,$A132,Observacion_Directa!$B$2:$B$1000,"&gt;="&amp;DATEVALUE($B132&amp;"-01"),Observacion_Directa!$B$2:$B$1000,"&lt;="&amp;EOMONTH(DATEVALUE($B132&amp;"-01"),0)))-1)/4*100,"")</f>
        <v/>
      </c>
      <c r="Y132" t="e">
        <f t="shared" ca="1" si="5"/>
        <v>#DIV/0!</v>
      </c>
    </row>
    <row r="133" spans="12:25" x14ac:dyDescent="0.2">
      <c r="L133" t="str">
        <f t="shared" si="4"/>
        <v/>
      </c>
      <c r="M133" t="str">
        <f>IFERROR(AVERAGEIFS(Prod_5dias!$H$2:$H$1000,Prod_5dias!$A$2:$A$1000,$A133,Prod_5dias!$B$2:$B$1000,$B133),"")</f>
        <v/>
      </c>
      <c r="N133" t="str">
        <f>IF(M133="","",MIN(100,100*M133/Parametros!$B$7))</f>
        <v/>
      </c>
      <c r="O133" t="str">
        <f>IF(F133="","",IF(F133=0,100,MIN(100,100*Parametros!$B$3/F133)))</f>
        <v/>
      </c>
      <c r="P133" t="str">
        <f ca="1">IFERROR(((AVERAGEIFS(Observacion_Directa!$E$2:$E$1000,Observacion_Directa!$A$2:$A$1000,$A133,Observacion_Directa!$B$2:$B$1000,"&gt;="&amp;DATEVALUE($B133&amp;"-01"),Observacion_Directa!$B$2:$B$1000,"&lt;="&amp;EOMONTH(DATEVALUE($B133&amp;"-01"),0)))-1)/4*100,"")</f>
        <v/>
      </c>
      <c r="Q133" t="str">
        <f>IF(H133="","",MIN(100,100*H133/Parametros!$B$4))</f>
        <v/>
      </c>
      <c r="R133" t="str">
        <f>IF(I133="","",IF(I133=0,100,MIN(100,100*Parametros!$B$5/I133)))</f>
        <v/>
      </c>
      <c r="S133" t="str">
        <f>IF(J133="","",IF(J133=0,100,MIN(100,100*Parametros!$B$6/J133)))</f>
        <v/>
      </c>
      <c r="T133" t="str">
        <f>IF(L133="","",MIN(100,100*L133/Parametros!$B$7))</f>
        <v/>
      </c>
      <c r="U133" t="str">
        <f>IF(K133="","",MIN(100,100*K133/Parametros!$B$8))</f>
        <v/>
      </c>
      <c r="V133" t="str">
        <f ca="1">IFERROR(((AVERAGEIFS(Documentacion!$C$2:$C$1000,Documentacion!$A$2:$A$1000,$A133,Documentacion!$B$2:$B$1000,"&gt;="&amp;DATEVALUE($B133&amp;"-01"),Documentacion!$B$2:$B$1000,"&lt;="&amp;EOMONTH(DATEVALUE($B133&amp;"-01"),0)))-1)/4*100,"")</f>
        <v/>
      </c>
      <c r="W133" t="str">
        <f ca="1">IFERROR(((AVERAGEIFS(Feedback_360!$D$2:$D$1000,Feedback_360!$A$2:$A$1000,$A133,Feedback_360!$B$2:$B$1000,"&gt;="&amp;DATEVALUE($B133&amp;"-01"),Feedback_360!$B$2:$B$1000,"&lt;="&amp;EOMONTH(DATEVALUE($B133&amp;"-01"),0)))-1)/4*100,"")</f>
        <v/>
      </c>
      <c r="X133" t="str">
        <f ca="1">IFERROR(((AVERAGEIFS(Observacion_Directa!$D$2:$D$1000,Observacion_Directa!$A$2:$A$1000,$A133,Observacion_Directa!$B$2:$B$1000,"&gt;="&amp;DATEVALUE($B133&amp;"-01"),Observacion_Directa!$B$2:$B$1000,"&lt;="&amp;EOMONTH(DATEVALUE($B133&amp;"-01"),0)))-1)/4*100,"")</f>
        <v/>
      </c>
      <c r="Y133" t="e">
        <f t="shared" ca="1" si="5"/>
        <v>#DIV/0!</v>
      </c>
    </row>
    <row r="134" spans="12:25" x14ac:dyDescent="0.2">
      <c r="L134" t="str">
        <f t="shared" si="4"/>
        <v/>
      </c>
      <c r="M134" t="str">
        <f>IFERROR(AVERAGEIFS(Prod_5dias!$H$2:$H$1000,Prod_5dias!$A$2:$A$1000,$A134,Prod_5dias!$B$2:$B$1000,$B134),"")</f>
        <v/>
      </c>
      <c r="N134" t="str">
        <f>IF(M134="","",MIN(100,100*M134/Parametros!$B$7))</f>
        <v/>
      </c>
      <c r="O134" t="str">
        <f>IF(F134="","",IF(F134=0,100,MIN(100,100*Parametros!$B$3/F134)))</f>
        <v/>
      </c>
      <c r="P134" t="str">
        <f ca="1">IFERROR(((AVERAGEIFS(Observacion_Directa!$E$2:$E$1000,Observacion_Directa!$A$2:$A$1000,$A134,Observacion_Directa!$B$2:$B$1000,"&gt;="&amp;DATEVALUE($B134&amp;"-01"),Observacion_Directa!$B$2:$B$1000,"&lt;="&amp;EOMONTH(DATEVALUE($B134&amp;"-01"),0)))-1)/4*100,"")</f>
        <v/>
      </c>
      <c r="Q134" t="str">
        <f>IF(H134="","",MIN(100,100*H134/Parametros!$B$4))</f>
        <v/>
      </c>
      <c r="R134" t="str">
        <f>IF(I134="","",IF(I134=0,100,MIN(100,100*Parametros!$B$5/I134)))</f>
        <v/>
      </c>
      <c r="S134" t="str">
        <f>IF(J134="","",IF(J134=0,100,MIN(100,100*Parametros!$B$6/J134)))</f>
        <v/>
      </c>
      <c r="T134" t="str">
        <f>IF(L134="","",MIN(100,100*L134/Parametros!$B$7))</f>
        <v/>
      </c>
      <c r="U134" t="str">
        <f>IF(K134="","",MIN(100,100*K134/Parametros!$B$8))</f>
        <v/>
      </c>
      <c r="V134" t="str">
        <f ca="1">IFERROR(((AVERAGEIFS(Documentacion!$C$2:$C$1000,Documentacion!$A$2:$A$1000,$A134,Documentacion!$B$2:$B$1000,"&gt;="&amp;DATEVALUE($B134&amp;"-01"),Documentacion!$B$2:$B$1000,"&lt;="&amp;EOMONTH(DATEVALUE($B134&amp;"-01"),0)))-1)/4*100,"")</f>
        <v/>
      </c>
      <c r="W134" t="str">
        <f ca="1">IFERROR(((AVERAGEIFS(Feedback_360!$D$2:$D$1000,Feedback_360!$A$2:$A$1000,$A134,Feedback_360!$B$2:$B$1000,"&gt;="&amp;DATEVALUE($B134&amp;"-01"),Feedback_360!$B$2:$B$1000,"&lt;="&amp;EOMONTH(DATEVALUE($B134&amp;"-01"),0)))-1)/4*100,"")</f>
        <v/>
      </c>
      <c r="X134" t="str">
        <f ca="1">IFERROR(((AVERAGEIFS(Observacion_Directa!$D$2:$D$1000,Observacion_Directa!$A$2:$A$1000,$A134,Observacion_Directa!$B$2:$B$1000,"&gt;="&amp;DATEVALUE($B134&amp;"-01"),Observacion_Directa!$B$2:$B$1000,"&lt;="&amp;EOMONTH(DATEVALUE($B134&amp;"-01"),0)))-1)/4*100,"")</f>
        <v/>
      </c>
      <c r="Y134" t="e">
        <f t="shared" ca="1" si="5"/>
        <v>#DIV/0!</v>
      </c>
    </row>
    <row r="135" spans="12:25" x14ac:dyDescent="0.2">
      <c r="L135" t="str">
        <f t="shared" si="4"/>
        <v/>
      </c>
      <c r="M135" t="str">
        <f>IFERROR(AVERAGEIFS(Prod_5dias!$H$2:$H$1000,Prod_5dias!$A$2:$A$1000,$A135,Prod_5dias!$B$2:$B$1000,$B135),"")</f>
        <v/>
      </c>
      <c r="N135" t="str">
        <f>IF(M135="","",MIN(100,100*M135/Parametros!$B$7))</f>
        <v/>
      </c>
      <c r="O135" t="str">
        <f>IF(F135="","",IF(F135=0,100,MIN(100,100*Parametros!$B$3/F135)))</f>
        <v/>
      </c>
      <c r="P135" t="str">
        <f ca="1">IFERROR(((AVERAGEIFS(Observacion_Directa!$E$2:$E$1000,Observacion_Directa!$A$2:$A$1000,$A135,Observacion_Directa!$B$2:$B$1000,"&gt;="&amp;DATEVALUE($B135&amp;"-01"),Observacion_Directa!$B$2:$B$1000,"&lt;="&amp;EOMONTH(DATEVALUE($B135&amp;"-01"),0)))-1)/4*100,"")</f>
        <v/>
      </c>
      <c r="Q135" t="str">
        <f>IF(H135="","",MIN(100,100*H135/Parametros!$B$4))</f>
        <v/>
      </c>
      <c r="R135" t="str">
        <f>IF(I135="","",IF(I135=0,100,MIN(100,100*Parametros!$B$5/I135)))</f>
        <v/>
      </c>
      <c r="S135" t="str">
        <f>IF(J135="","",IF(J135=0,100,MIN(100,100*Parametros!$B$6/J135)))</f>
        <v/>
      </c>
      <c r="T135" t="str">
        <f>IF(L135="","",MIN(100,100*L135/Parametros!$B$7))</f>
        <v/>
      </c>
      <c r="U135" t="str">
        <f>IF(K135="","",MIN(100,100*K135/Parametros!$B$8))</f>
        <v/>
      </c>
      <c r="V135" t="str">
        <f ca="1">IFERROR(((AVERAGEIFS(Documentacion!$C$2:$C$1000,Documentacion!$A$2:$A$1000,$A135,Documentacion!$B$2:$B$1000,"&gt;="&amp;DATEVALUE($B135&amp;"-01"),Documentacion!$B$2:$B$1000,"&lt;="&amp;EOMONTH(DATEVALUE($B135&amp;"-01"),0)))-1)/4*100,"")</f>
        <v/>
      </c>
      <c r="W135" t="str">
        <f ca="1">IFERROR(((AVERAGEIFS(Feedback_360!$D$2:$D$1000,Feedback_360!$A$2:$A$1000,$A135,Feedback_360!$B$2:$B$1000,"&gt;="&amp;DATEVALUE($B135&amp;"-01"),Feedback_360!$B$2:$B$1000,"&lt;="&amp;EOMONTH(DATEVALUE($B135&amp;"-01"),0)))-1)/4*100,"")</f>
        <v/>
      </c>
      <c r="X135" t="str">
        <f ca="1">IFERROR(((AVERAGEIFS(Observacion_Directa!$D$2:$D$1000,Observacion_Directa!$A$2:$A$1000,$A135,Observacion_Directa!$B$2:$B$1000,"&gt;="&amp;DATEVALUE($B135&amp;"-01"),Observacion_Directa!$B$2:$B$1000,"&lt;="&amp;EOMONTH(DATEVALUE($B135&amp;"-01"),0)))-1)/4*100,"")</f>
        <v/>
      </c>
      <c r="Y135" t="e">
        <f t="shared" ca="1" si="5"/>
        <v>#DIV/0!</v>
      </c>
    </row>
    <row r="136" spans="12:25" x14ac:dyDescent="0.2">
      <c r="L136" t="str">
        <f t="shared" si="4"/>
        <v/>
      </c>
      <c r="M136" t="str">
        <f>IFERROR(AVERAGEIFS(Prod_5dias!$H$2:$H$1000,Prod_5dias!$A$2:$A$1000,$A136,Prod_5dias!$B$2:$B$1000,$B136),"")</f>
        <v/>
      </c>
      <c r="N136" t="str">
        <f>IF(M136="","",MIN(100,100*M136/Parametros!$B$7))</f>
        <v/>
      </c>
      <c r="O136" t="str">
        <f>IF(F136="","",IF(F136=0,100,MIN(100,100*Parametros!$B$3/F136)))</f>
        <v/>
      </c>
      <c r="P136" t="str">
        <f ca="1">IFERROR(((AVERAGEIFS(Observacion_Directa!$E$2:$E$1000,Observacion_Directa!$A$2:$A$1000,$A136,Observacion_Directa!$B$2:$B$1000,"&gt;="&amp;DATEVALUE($B136&amp;"-01"),Observacion_Directa!$B$2:$B$1000,"&lt;="&amp;EOMONTH(DATEVALUE($B136&amp;"-01"),0)))-1)/4*100,"")</f>
        <v/>
      </c>
      <c r="Q136" t="str">
        <f>IF(H136="","",MIN(100,100*H136/Parametros!$B$4))</f>
        <v/>
      </c>
      <c r="R136" t="str">
        <f>IF(I136="","",IF(I136=0,100,MIN(100,100*Parametros!$B$5/I136)))</f>
        <v/>
      </c>
      <c r="S136" t="str">
        <f>IF(J136="","",IF(J136=0,100,MIN(100,100*Parametros!$B$6/J136)))</f>
        <v/>
      </c>
      <c r="T136" t="str">
        <f>IF(L136="","",MIN(100,100*L136/Parametros!$B$7))</f>
        <v/>
      </c>
      <c r="U136" t="str">
        <f>IF(K136="","",MIN(100,100*K136/Parametros!$B$8))</f>
        <v/>
      </c>
      <c r="V136" t="str">
        <f ca="1">IFERROR(((AVERAGEIFS(Documentacion!$C$2:$C$1000,Documentacion!$A$2:$A$1000,$A136,Documentacion!$B$2:$B$1000,"&gt;="&amp;DATEVALUE($B136&amp;"-01"),Documentacion!$B$2:$B$1000,"&lt;="&amp;EOMONTH(DATEVALUE($B136&amp;"-01"),0)))-1)/4*100,"")</f>
        <v/>
      </c>
      <c r="W136" t="str">
        <f ca="1">IFERROR(((AVERAGEIFS(Feedback_360!$D$2:$D$1000,Feedback_360!$A$2:$A$1000,$A136,Feedback_360!$B$2:$B$1000,"&gt;="&amp;DATEVALUE($B136&amp;"-01"),Feedback_360!$B$2:$B$1000,"&lt;="&amp;EOMONTH(DATEVALUE($B136&amp;"-01"),0)))-1)/4*100,"")</f>
        <v/>
      </c>
      <c r="X136" t="str">
        <f ca="1">IFERROR(((AVERAGEIFS(Observacion_Directa!$D$2:$D$1000,Observacion_Directa!$A$2:$A$1000,$A136,Observacion_Directa!$B$2:$B$1000,"&gt;="&amp;DATEVALUE($B136&amp;"-01"),Observacion_Directa!$B$2:$B$1000,"&lt;="&amp;EOMONTH(DATEVALUE($B136&amp;"-01"),0)))-1)/4*100,"")</f>
        <v/>
      </c>
      <c r="Y136" t="e">
        <f t="shared" ca="1" si="5"/>
        <v>#DIV/0!</v>
      </c>
    </row>
    <row r="137" spans="12:25" x14ac:dyDescent="0.2">
      <c r="L137" t="str">
        <f t="shared" si="4"/>
        <v/>
      </c>
      <c r="M137" t="str">
        <f>IFERROR(AVERAGEIFS(Prod_5dias!$H$2:$H$1000,Prod_5dias!$A$2:$A$1000,$A137,Prod_5dias!$B$2:$B$1000,$B137),"")</f>
        <v/>
      </c>
      <c r="N137" t="str">
        <f>IF(M137="","",MIN(100,100*M137/Parametros!$B$7))</f>
        <v/>
      </c>
      <c r="O137" t="str">
        <f>IF(F137="","",IF(F137=0,100,MIN(100,100*Parametros!$B$3/F137)))</f>
        <v/>
      </c>
      <c r="P137" t="str">
        <f ca="1">IFERROR(((AVERAGEIFS(Observacion_Directa!$E$2:$E$1000,Observacion_Directa!$A$2:$A$1000,$A137,Observacion_Directa!$B$2:$B$1000,"&gt;="&amp;DATEVALUE($B137&amp;"-01"),Observacion_Directa!$B$2:$B$1000,"&lt;="&amp;EOMONTH(DATEVALUE($B137&amp;"-01"),0)))-1)/4*100,"")</f>
        <v/>
      </c>
      <c r="Q137" t="str">
        <f>IF(H137="","",MIN(100,100*H137/Parametros!$B$4))</f>
        <v/>
      </c>
      <c r="R137" t="str">
        <f>IF(I137="","",IF(I137=0,100,MIN(100,100*Parametros!$B$5/I137)))</f>
        <v/>
      </c>
      <c r="S137" t="str">
        <f>IF(J137="","",IF(J137=0,100,MIN(100,100*Parametros!$B$6/J137)))</f>
        <v/>
      </c>
      <c r="T137" t="str">
        <f>IF(L137="","",MIN(100,100*L137/Parametros!$B$7))</f>
        <v/>
      </c>
      <c r="U137" t="str">
        <f>IF(K137="","",MIN(100,100*K137/Parametros!$B$8))</f>
        <v/>
      </c>
      <c r="V137" t="str">
        <f ca="1">IFERROR(((AVERAGEIFS(Documentacion!$C$2:$C$1000,Documentacion!$A$2:$A$1000,$A137,Documentacion!$B$2:$B$1000,"&gt;="&amp;DATEVALUE($B137&amp;"-01"),Documentacion!$B$2:$B$1000,"&lt;="&amp;EOMONTH(DATEVALUE($B137&amp;"-01"),0)))-1)/4*100,"")</f>
        <v/>
      </c>
      <c r="W137" t="str">
        <f ca="1">IFERROR(((AVERAGEIFS(Feedback_360!$D$2:$D$1000,Feedback_360!$A$2:$A$1000,$A137,Feedback_360!$B$2:$B$1000,"&gt;="&amp;DATEVALUE($B137&amp;"-01"),Feedback_360!$B$2:$B$1000,"&lt;="&amp;EOMONTH(DATEVALUE($B137&amp;"-01"),0)))-1)/4*100,"")</f>
        <v/>
      </c>
      <c r="X137" t="str">
        <f ca="1">IFERROR(((AVERAGEIFS(Observacion_Directa!$D$2:$D$1000,Observacion_Directa!$A$2:$A$1000,$A137,Observacion_Directa!$B$2:$B$1000,"&gt;="&amp;DATEVALUE($B137&amp;"-01"),Observacion_Directa!$B$2:$B$1000,"&lt;="&amp;EOMONTH(DATEVALUE($B137&amp;"-01"),0)))-1)/4*100,"")</f>
        <v/>
      </c>
      <c r="Y137" t="e">
        <f t="shared" ca="1" si="5"/>
        <v>#DIV/0!</v>
      </c>
    </row>
    <row r="138" spans="12:25" x14ac:dyDescent="0.2">
      <c r="L138" t="str">
        <f t="shared" si="4"/>
        <v/>
      </c>
      <c r="M138" t="str">
        <f>IFERROR(AVERAGEIFS(Prod_5dias!$H$2:$H$1000,Prod_5dias!$A$2:$A$1000,$A138,Prod_5dias!$B$2:$B$1000,$B138),"")</f>
        <v/>
      </c>
      <c r="N138" t="str">
        <f>IF(M138="","",MIN(100,100*M138/Parametros!$B$7))</f>
        <v/>
      </c>
      <c r="O138" t="str">
        <f>IF(F138="","",IF(F138=0,100,MIN(100,100*Parametros!$B$3/F138)))</f>
        <v/>
      </c>
      <c r="P138" t="str">
        <f ca="1">IFERROR(((AVERAGEIFS(Observacion_Directa!$E$2:$E$1000,Observacion_Directa!$A$2:$A$1000,$A138,Observacion_Directa!$B$2:$B$1000,"&gt;="&amp;DATEVALUE($B138&amp;"-01"),Observacion_Directa!$B$2:$B$1000,"&lt;="&amp;EOMONTH(DATEVALUE($B138&amp;"-01"),0)))-1)/4*100,"")</f>
        <v/>
      </c>
      <c r="Q138" t="str">
        <f>IF(H138="","",MIN(100,100*H138/Parametros!$B$4))</f>
        <v/>
      </c>
      <c r="R138" t="str">
        <f>IF(I138="","",IF(I138=0,100,MIN(100,100*Parametros!$B$5/I138)))</f>
        <v/>
      </c>
      <c r="S138" t="str">
        <f>IF(J138="","",IF(J138=0,100,MIN(100,100*Parametros!$B$6/J138)))</f>
        <v/>
      </c>
      <c r="T138" t="str">
        <f>IF(L138="","",MIN(100,100*L138/Parametros!$B$7))</f>
        <v/>
      </c>
      <c r="U138" t="str">
        <f>IF(K138="","",MIN(100,100*K138/Parametros!$B$8))</f>
        <v/>
      </c>
      <c r="V138" t="str">
        <f ca="1">IFERROR(((AVERAGEIFS(Documentacion!$C$2:$C$1000,Documentacion!$A$2:$A$1000,$A138,Documentacion!$B$2:$B$1000,"&gt;="&amp;DATEVALUE($B138&amp;"-01"),Documentacion!$B$2:$B$1000,"&lt;="&amp;EOMONTH(DATEVALUE($B138&amp;"-01"),0)))-1)/4*100,"")</f>
        <v/>
      </c>
      <c r="W138" t="str">
        <f ca="1">IFERROR(((AVERAGEIFS(Feedback_360!$D$2:$D$1000,Feedback_360!$A$2:$A$1000,$A138,Feedback_360!$B$2:$B$1000,"&gt;="&amp;DATEVALUE($B138&amp;"-01"),Feedback_360!$B$2:$B$1000,"&lt;="&amp;EOMONTH(DATEVALUE($B138&amp;"-01"),0)))-1)/4*100,"")</f>
        <v/>
      </c>
      <c r="X138" t="str">
        <f ca="1">IFERROR(((AVERAGEIFS(Observacion_Directa!$D$2:$D$1000,Observacion_Directa!$A$2:$A$1000,$A138,Observacion_Directa!$B$2:$B$1000,"&gt;="&amp;DATEVALUE($B138&amp;"-01"),Observacion_Directa!$B$2:$B$1000,"&lt;="&amp;EOMONTH(DATEVALUE($B138&amp;"-01"),0)))-1)/4*100,"")</f>
        <v/>
      </c>
      <c r="Y138" t="e">
        <f t="shared" ca="1" si="5"/>
        <v>#DIV/0!</v>
      </c>
    </row>
    <row r="139" spans="12:25" x14ac:dyDescent="0.2">
      <c r="L139" t="str">
        <f t="shared" si="4"/>
        <v/>
      </c>
      <c r="M139" t="str">
        <f>IFERROR(AVERAGEIFS(Prod_5dias!$H$2:$H$1000,Prod_5dias!$A$2:$A$1000,$A139,Prod_5dias!$B$2:$B$1000,$B139),"")</f>
        <v/>
      </c>
      <c r="N139" t="str">
        <f>IF(M139="","",MIN(100,100*M139/Parametros!$B$7))</f>
        <v/>
      </c>
      <c r="O139" t="str">
        <f>IF(F139="","",IF(F139=0,100,MIN(100,100*Parametros!$B$3/F139)))</f>
        <v/>
      </c>
      <c r="P139" t="str">
        <f ca="1">IFERROR(((AVERAGEIFS(Observacion_Directa!$E$2:$E$1000,Observacion_Directa!$A$2:$A$1000,$A139,Observacion_Directa!$B$2:$B$1000,"&gt;="&amp;DATEVALUE($B139&amp;"-01"),Observacion_Directa!$B$2:$B$1000,"&lt;="&amp;EOMONTH(DATEVALUE($B139&amp;"-01"),0)))-1)/4*100,"")</f>
        <v/>
      </c>
      <c r="Q139" t="str">
        <f>IF(H139="","",MIN(100,100*H139/Parametros!$B$4))</f>
        <v/>
      </c>
      <c r="R139" t="str">
        <f>IF(I139="","",IF(I139=0,100,MIN(100,100*Parametros!$B$5/I139)))</f>
        <v/>
      </c>
      <c r="S139" t="str">
        <f>IF(J139="","",IF(J139=0,100,MIN(100,100*Parametros!$B$6/J139)))</f>
        <v/>
      </c>
      <c r="T139" t="str">
        <f>IF(L139="","",MIN(100,100*L139/Parametros!$B$7))</f>
        <v/>
      </c>
      <c r="U139" t="str">
        <f>IF(K139="","",MIN(100,100*K139/Parametros!$B$8))</f>
        <v/>
      </c>
      <c r="V139" t="str">
        <f ca="1">IFERROR(((AVERAGEIFS(Documentacion!$C$2:$C$1000,Documentacion!$A$2:$A$1000,$A139,Documentacion!$B$2:$B$1000,"&gt;="&amp;DATEVALUE($B139&amp;"-01"),Documentacion!$B$2:$B$1000,"&lt;="&amp;EOMONTH(DATEVALUE($B139&amp;"-01"),0)))-1)/4*100,"")</f>
        <v/>
      </c>
      <c r="W139" t="str">
        <f ca="1">IFERROR(((AVERAGEIFS(Feedback_360!$D$2:$D$1000,Feedback_360!$A$2:$A$1000,$A139,Feedback_360!$B$2:$B$1000,"&gt;="&amp;DATEVALUE($B139&amp;"-01"),Feedback_360!$B$2:$B$1000,"&lt;="&amp;EOMONTH(DATEVALUE($B139&amp;"-01"),0)))-1)/4*100,"")</f>
        <v/>
      </c>
      <c r="X139" t="str">
        <f ca="1">IFERROR(((AVERAGEIFS(Observacion_Directa!$D$2:$D$1000,Observacion_Directa!$A$2:$A$1000,$A139,Observacion_Directa!$B$2:$B$1000,"&gt;="&amp;DATEVALUE($B139&amp;"-01"),Observacion_Directa!$B$2:$B$1000,"&lt;="&amp;EOMONTH(DATEVALUE($B139&amp;"-01"),0)))-1)/4*100,"")</f>
        <v/>
      </c>
      <c r="Y139" t="e">
        <f t="shared" ca="1" si="5"/>
        <v>#DIV/0!</v>
      </c>
    </row>
    <row r="140" spans="12:25" x14ac:dyDescent="0.2">
      <c r="L140" t="str">
        <f t="shared" si="4"/>
        <v/>
      </c>
      <c r="M140" t="str">
        <f>IFERROR(AVERAGEIFS(Prod_5dias!$H$2:$H$1000,Prod_5dias!$A$2:$A$1000,$A140,Prod_5dias!$B$2:$B$1000,$B140),"")</f>
        <v/>
      </c>
      <c r="N140" t="str">
        <f>IF(M140="","",MIN(100,100*M140/Parametros!$B$7))</f>
        <v/>
      </c>
      <c r="O140" t="str">
        <f>IF(F140="","",IF(F140=0,100,MIN(100,100*Parametros!$B$3/F140)))</f>
        <v/>
      </c>
      <c r="P140" t="str">
        <f ca="1">IFERROR(((AVERAGEIFS(Observacion_Directa!$E$2:$E$1000,Observacion_Directa!$A$2:$A$1000,$A140,Observacion_Directa!$B$2:$B$1000,"&gt;="&amp;DATEVALUE($B140&amp;"-01"),Observacion_Directa!$B$2:$B$1000,"&lt;="&amp;EOMONTH(DATEVALUE($B140&amp;"-01"),0)))-1)/4*100,"")</f>
        <v/>
      </c>
      <c r="Q140" t="str">
        <f>IF(H140="","",MIN(100,100*H140/Parametros!$B$4))</f>
        <v/>
      </c>
      <c r="R140" t="str">
        <f>IF(I140="","",IF(I140=0,100,MIN(100,100*Parametros!$B$5/I140)))</f>
        <v/>
      </c>
      <c r="S140" t="str">
        <f>IF(J140="","",IF(J140=0,100,MIN(100,100*Parametros!$B$6/J140)))</f>
        <v/>
      </c>
      <c r="T140" t="str">
        <f>IF(L140="","",MIN(100,100*L140/Parametros!$B$7))</f>
        <v/>
      </c>
      <c r="U140" t="str">
        <f>IF(K140="","",MIN(100,100*K140/Parametros!$B$8))</f>
        <v/>
      </c>
      <c r="V140" t="str">
        <f ca="1">IFERROR(((AVERAGEIFS(Documentacion!$C$2:$C$1000,Documentacion!$A$2:$A$1000,$A140,Documentacion!$B$2:$B$1000,"&gt;="&amp;DATEVALUE($B140&amp;"-01"),Documentacion!$B$2:$B$1000,"&lt;="&amp;EOMONTH(DATEVALUE($B140&amp;"-01"),0)))-1)/4*100,"")</f>
        <v/>
      </c>
      <c r="W140" t="str">
        <f ca="1">IFERROR(((AVERAGEIFS(Feedback_360!$D$2:$D$1000,Feedback_360!$A$2:$A$1000,$A140,Feedback_360!$B$2:$B$1000,"&gt;="&amp;DATEVALUE($B140&amp;"-01"),Feedback_360!$B$2:$B$1000,"&lt;="&amp;EOMONTH(DATEVALUE($B140&amp;"-01"),0)))-1)/4*100,"")</f>
        <v/>
      </c>
      <c r="X140" t="str">
        <f ca="1">IFERROR(((AVERAGEIFS(Observacion_Directa!$D$2:$D$1000,Observacion_Directa!$A$2:$A$1000,$A140,Observacion_Directa!$B$2:$B$1000,"&gt;="&amp;DATEVALUE($B140&amp;"-01"),Observacion_Directa!$B$2:$B$1000,"&lt;="&amp;EOMONTH(DATEVALUE($B140&amp;"-01"),0)))-1)/4*100,"")</f>
        <v/>
      </c>
      <c r="Y140" t="e">
        <f t="shared" ca="1" si="5"/>
        <v>#DIV/0!</v>
      </c>
    </row>
    <row r="141" spans="12:25" x14ac:dyDescent="0.2">
      <c r="L141" t="str">
        <f t="shared" si="4"/>
        <v/>
      </c>
      <c r="M141" t="str">
        <f>IFERROR(AVERAGEIFS(Prod_5dias!$H$2:$H$1000,Prod_5dias!$A$2:$A$1000,$A141,Prod_5dias!$B$2:$B$1000,$B141),"")</f>
        <v/>
      </c>
      <c r="N141" t="str">
        <f>IF(M141="","",MIN(100,100*M141/Parametros!$B$7))</f>
        <v/>
      </c>
      <c r="O141" t="str">
        <f>IF(F141="","",IF(F141=0,100,MIN(100,100*Parametros!$B$3/F141)))</f>
        <v/>
      </c>
      <c r="P141" t="str">
        <f ca="1">IFERROR(((AVERAGEIFS(Observacion_Directa!$E$2:$E$1000,Observacion_Directa!$A$2:$A$1000,$A141,Observacion_Directa!$B$2:$B$1000,"&gt;="&amp;DATEVALUE($B141&amp;"-01"),Observacion_Directa!$B$2:$B$1000,"&lt;="&amp;EOMONTH(DATEVALUE($B141&amp;"-01"),0)))-1)/4*100,"")</f>
        <v/>
      </c>
      <c r="Q141" t="str">
        <f>IF(H141="","",MIN(100,100*H141/Parametros!$B$4))</f>
        <v/>
      </c>
      <c r="R141" t="str">
        <f>IF(I141="","",IF(I141=0,100,MIN(100,100*Parametros!$B$5/I141)))</f>
        <v/>
      </c>
      <c r="S141" t="str">
        <f>IF(J141="","",IF(J141=0,100,MIN(100,100*Parametros!$B$6/J141)))</f>
        <v/>
      </c>
      <c r="T141" t="str">
        <f>IF(L141="","",MIN(100,100*L141/Parametros!$B$7))</f>
        <v/>
      </c>
      <c r="U141" t="str">
        <f>IF(K141="","",MIN(100,100*K141/Parametros!$B$8))</f>
        <v/>
      </c>
      <c r="V141" t="str">
        <f ca="1">IFERROR(((AVERAGEIFS(Documentacion!$C$2:$C$1000,Documentacion!$A$2:$A$1000,$A141,Documentacion!$B$2:$B$1000,"&gt;="&amp;DATEVALUE($B141&amp;"-01"),Documentacion!$B$2:$B$1000,"&lt;="&amp;EOMONTH(DATEVALUE($B141&amp;"-01"),0)))-1)/4*100,"")</f>
        <v/>
      </c>
      <c r="W141" t="str">
        <f ca="1">IFERROR(((AVERAGEIFS(Feedback_360!$D$2:$D$1000,Feedback_360!$A$2:$A$1000,$A141,Feedback_360!$B$2:$B$1000,"&gt;="&amp;DATEVALUE($B141&amp;"-01"),Feedback_360!$B$2:$B$1000,"&lt;="&amp;EOMONTH(DATEVALUE($B141&amp;"-01"),0)))-1)/4*100,"")</f>
        <v/>
      </c>
      <c r="X141" t="str">
        <f ca="1">IFERROR(((AVERAGEIFS(Observacion_Directa!$D$2:$D$1000,Observacion_Directa!$A$2:$A$1000,$A141,Observacion_Directa!$B$2:$B$1000,"&gt;="&amp;DATEVALUE($B141&amp;"-01"),Observacion_Directa!$B$2:$B$1000,"&lt;="&amp;EOMONTH(DATEVALUE($B141&amp;"-01"),0)))-1)/4*100,"")</f>
        <v/>
      </c>
      <c r="Y141" t="e">
        <f t="shared" ca="1" si="5"/>
        <v>#DIV/0!</v>
      </c>
    </row>
    <row r="142" spans="12:25" x14ac:dyDescent="0.2">
      <c r="L142" t="str">
        <f t="shared" si="4"/>
        <v/>
      </c>
      <c r="M142" t="str">
        <f>IFERROR(AVERAGEIFS(Prod_5dias!$H$2:$H$1000,Prod_5dias!$A$2:$A$1000,$A142,Prod_5dias!$B$2:$B$1000,$B142),"")</f>
        <v/>
      </c>
      <c r="N142" t="str">
        <f>IF(M142="","",MIN(100,100*M142/Parametros!$B$7))</f>
        <v/>
      </c>
      <c r="O142" t="str">
        <f>IF(F142="","",IF(F142=0,100,MIN(100,100*Parametros!$B$3/F142)))</f>
        <v/>
      </c>
      <c r="P142" t="str">
        <f ca="1">IFERROR(((AVERAGEIFS(Observacion_Directa!$E$2:$E$1000,Observacion_Directa!$A$2:$A$1000,$A142,Observacion_Directa!$B$2:$B$1000,"&gt;="&amp;DATEVALUE($B142&amp;"-01"),Observacion_Directa!$B$2:$B$1000,"&lt;="&amp;EOMONTH(DATEVALUE($B142&amp;"-01"),0)))-1)/4*100,"")</f>
        <v/>
      </c>
      <c r="Q142" t="str">
        <f>IF(H142="","",MIN(100,100*H142/Parametros!$B$4))</f>
        <v/>
      </c>
      <c r="R142" t="str">
        <f>IF(I142="","",IF(I142=0,100,MIN(100,100*Parametros!$B$5/I142)))</f>
        <v/>
      </c>
      <c r="S142" t="str">
        <f>IF(J142="","",IF(J142=0,100,MIN(100,100*Parametros!$B$6/J142)))</f>
        <v/>
      </c>
      <c r="T142" t="str">
        <f>IF(L142="","",MIN(100,100*L142/Parametros!$B$7))</f>
        <v/>
      </c>
      <c r="U142" t="str">
        <f>IF(K142="","",MIN(100,100*K142/Parametros!$B$8))</f>
        <v/>
      </c>
      <c r="V142" t="str">
        <f ca="1">IFERROR(((AVERAGEIFS(Documentacion!$C$2:$C$1000,Documentacion!$A$2:$A$1000,$A142,Documentacion!$B$2:$B$1000,"&gt;="&amp;DATEVALUE($B142&amp;"-01"),Documentacion!$B$2:$B$1000,"&lt;="&amp;EOMONTH(DATEVALUE($B142&amp;"-01"),0)))-1)/4*100,"")</f>
        <v/>
      </c>
      <c r="W142" t="str">
        <f ca="1">IFERROR(((AVERAGEIFS(Feedback_360!$D$2:$D$1000,Feedback_360!$A$2:$A$1000,$A142,Feedback_360!$B$2:$B$1000,"&gt;="&amp;DATEVALUE($B142&amp;"-01"),Feedback_360!$B$2:$B$1000,"&lt;="&amp;EOMONTH(DATEVALUE($B142&amp;"-01"),0)))-1)/4*100,"")</f>
        <v/>
      </c>
      <c r="X142" t="str">
        <f ca="1">IFERROR(((AVERAGEIFS(Observacion_Directa!$D$2:$D$1000,Observacion_Directa!$A$2:$A$1000,$A142,Observacion_Directa!$B$2:$B$1000,"&gt;="&amp;DATEVALUE($B142&amp;"-01"),Observacion_Directa!$B$2:$B$1000,"&lt;="&amp;EOMONTH(DATEVALUE($B142&amp;"-01"),0)))-1)/4*100,"")</f>
        <v/>
      </c>
      <c r="Y142" t="e">
        <f t="shared" ca="1" si="5"/>
        <v>#DIV/0!</v>
      </c>
    </row>
    <row r="143" spans="12:25" x14ac:dyDescent="0.2">
      <c r="L143" t="str">
        <f t="shared" si="4"/>
        <v/>
      </c>
      <c r="M143" t="str">
        <f>IFERROR(AVERAGEIFS(Prod_5dias!$H$2:$H$1000,Prod_5dias!$A$2:$A$1000,$A143,Prod_5dias!$B$2:$B$1000,$B143),"")</f>
        <v/>
      </c>
      <c r="N143" t="str">
        <f>IF(M143="","",MIN(100,100*M143/Parametros!$B$7))</f>
        <v/>
      </c>
      <c r="O143" t="str">
        <f>IF(F143="","",IF(F143=0,100,MIN(100,100*Parametros!$B$3/F143)))</f>
        <v/>
      </c>
      <c r="P143" t="str">
        <f ca="1">IFERROR(((AVERAGEIFS(Observacion_Directa!$E$2:$E$1000,Observacion_Directa!$A$2:$A$1000,$A143,Observacion_Directa!$B$2:$B$1000,"&gt;="&amp;DATEVALUE($B143&amp;"-01"),Observacion_Directa!$B$2:$B$1000,"&lt;="&amp;EOMONTH(DATEVALUE($B143&amp;"-01"),0)))-1)/4*100,"")</f>
        <v/>
      </c>
      <c r="Q143" t="str">
        <f>IF(H143="","",MIN(100,100*H143/Parametros!$B$4))</f>
        <v/>
      </c>
      <c r="R143" t="str">
        <f>IF(I143="","",IF(I143=0,100,MIN(100,100*Parametros!$B$5/I143)))</f>
        <v/>
      </c>
      <c r="S143" t="str">
        <f>IF(J143="","",IF(J143=0,100,MIN(100,100*Parametros!$B$6/J143)))</f>
        <v/>
      </c>
      <c r="T143" t="str">
        <f>IF(L143="","",MIN(100,100*L143/Parametros!$B$7))</f>
        <v/>
      </c>
      <c r="U143" t="str">
        <f>IF(K143="","",MIN(100,100*K143/Parametros!$B$8))</f>
        <v/>
      </c>
      <c r="V143" t="str">
        <f ca="1">IFERROR(((AVERAGEIFS(Documentacion!$C$2:$C$1000,Documentacion!$A$2:$A$1000,$A143,Documentacion!$B$2:$B$1000,"&gt;="&amp;DATEVALUE($B143&amp;"-01"),Documentacion!$B$2:$B$1000,"&lt;="&amp;EOMONTH(DATEVALUE($B143&amp;"-01"),0)))-1)/4*100,"")</f>
        <v/>
      </c>
      <c r="W143" t="str">
        <f ca="1">IFERROR(((AVERAGEIFS(Feedback_360!$D$2:$D$1000,Feedback_360!$A$2:$A$1000,$A143,Feedback_360!$B$2:$B$1000,"&gt;="&amp;DATEVALUE($B143&amp;"-01"),Feedback_360!$B$2:$B$1000,"&lt;="&amp;EOMONTH(DATEVALUE($B143&amp;"-01"),0)))-1)/4*100,"")</f>
        <v/>
      </c>
      <c r="X143" t="str">
        <f ca="1">IFERROR(((AVERAGEIFS(Observacion_Directa!$D$2:$D$1000,Observacion_Directa!$A$2:$A$1000,$A143,Observacion_Directa!$B$2:$B$1000,"&gt;="&amp;DATEVALUE($B143&amp;"-01"),Observacion_Directa!$B$2:$B$1000,"&lt;="&amp;EOMONTH(DATEVALUE($B143&amp;"-01"),0)))-1)/4*100,"")</f>
        <v/>
      </c>
      <c r="Y143" t="e">
        <f t="shared" ca="1" si="5"/>
        <v>#DIV/0!</v>
      </c>
    </row>
    <row r="144" spans="12:25" x14ac:dyDescent="0.2">
      <c r="L144" t="str">
        <f t="shared" si="4"/>
        <v/>
      </c>
      <c r="M144" t="str">
        <f>IFERROR(AVERAGEIFS(Prod_5dias!$H$2:$H$1000,Prod_5dias!$A$2:$A$1000,$A144,Prod_5dias!$B$2:$B$1000,$B144),"")</f>
        <v/>
      </c>
      <c r="N144" t="str">
        <f>IF(M144="","",MIN(100,100*M144/Parametros!$B$7))</f>
        <v/>
      </c>
      <c r="O144" t="str">
        <f>IF(F144="","",IF(F144=0,100,MIN(100,100*Parametros!$B$3/F144)))</f>
        <v/>
      </c>
      <c r="P144" t="str">
        <f ca="1">IFERROR(((AVERAGEIFS(Observacion_Directa!$E$2:$E$1000,Observacion_Directa!$A$2:$A$1000,$A144,Observacion_Directa!$B$2:$B$1000,"&gt;="&amp;DATEVALUE($B144&amp;"-01"),Observacion_Directa!$B$2:$B$1000,"&lt;="&amp;EOMONTH(DATEVALUE($B144&amp;"-01"),0)))-1)/4*100,"")</f>
        <v/>
      </c>
      <c r="Q144" t="str">
        <f>IF(H144="","",MIN(100,100*H144/Parametros!$B$4))</f>
        <v/>
      </c>
      <c r="R144" t="str">
        <f>IF(I144="","",IF(I144=0,100,MIN(100,100*Parametros!$B$5/I144)))</f>
        <v/>
      </c>
      <c r="S144" t="str">
        <f>IF(J144="","",IF(J144=0,100,MIN(100,100*Parametros!$B$6/J144)))</f>
        <v/>
      </c>
      <c r="T144" t="str">
        <f>IF(L144="","",MIN(100,100*L144/Parametros!$B$7))</f>
        <v/>
      </c>
      <c r="U144" t="str">
        <f>IF(K144="","",MIN(100,100*K144/Parametros!$B$8))</f>
        <v/>
      </c>
      <c r="V144" t="str">
        <f ca="1">IFERROR(((AVERAGEIFS(Documentacion!$C$2:$C$1000,Documentacion!$A$2:$A$1000,$A144,Documentacion!$B$2:$B$1000,"&gt;="&amp;DATEVALUE($B144&amp;"-01"),Documentacion!$B$2:$B$1000,"&lt;="&amp;EOMONTH(DATEVALUE($B144&amp;"-01"),0)))-1)/4*100,"")</f>
        <v/>
      </c>
      <c r="W144" t="str">
        <f ca="1">IFERROR(((AVERAGEIFS(Feedback_360!$D$2:$D$1000,Feedback_360!$A$2:$A$1000,$A144,Feedback_360!$B$2:$B$1000,"&gt;="&amp;DATEVALUE($B144&amp;"-01"),Feedback_360!$B$2:$B$1000,"&lt;="&amp;EOMONTH(DATEVALUE($B144&amp;"-01"),0)))-1)/4*100,"")</f>
        <v/>
      </c>
      <c r="X144" t="str">
        <f ca="1">IFERROR(((AVERAGEIFS(Observacion_Directa!$D$2:$D$1000,Observacion_Directa!$A$2:$A$1000,$A144,Observacion_Directa!$B$2:$B$1000,"&gt;="&amp;DATEVALUE($B144&amp;"-01"),Observacion_Directa!$B$2:$B$1000,"&lt;="&amp;EOMONTH(DATEVALUE($B144&amp;"-01"),0)))-1)/4*100,"")</f>
        <v/>
      </c>
      <c r="Y144" t="e">
        <f t="shared" ca="1" si="5"/>
        <v>#DIV/0!</v>
      </c>
    </row>
    <row r="145" spans="12:25" x14ac:dyDescent="0.2">
      <c r="L145" t="str">
        <f t="shared" si="4"/>
        <v/>
      </c>
      <c r="M145" t="str">
        <f>IFERROR(AVERAGEIFS(Prod_5dias!$H$2:$H$1000,Prod_5dias!$A$2:$A$1000,$A145,Prod_5dias!$B$2:$B$1000,$B145),"")</f>
        <v/>
      </c>
      <c r="N145" t="str">
        <f>IF(M145="","",MIN(100,100*M145/Parametros!$B$7))</f>
        <v/>
      </c>
      <c r="O145" t="str">
        <f>IF(F145="","",IF(F145=0,100,MIN(100,100*Parametros!$B$3/F145)))</f>
        <v/>
      </c>
      <c r="P145" t="str">
        <f ca="1">IFERROR(((AVERAGEIFS(Observacion_Directa!$E$2:$E$1000,Observacion_Directa!$A$2:$A$1000,$A145,Observacion_Directa!$B$2:$B$1000,"&gt;="&amp;DATEVALUE($B145&amp;"-01"),Observacion_Directa!$B$2:$B$1000,"&lt;="&amp;EOMONTH(DATEVALUE($B145&amp;"-01"),0)))-1)/4*100,"")</f>
        <v/>
      </c>
      <c r="Q145" t="str">
        <f>IF(H145="","",MIN(100,100*H145/Parametros!$B$4))</f>
        <v/>
      </c>
      <c r="R145" t="str">
        <f>IF(I145="","",IF(I145=0,100,MIN(100,100*Parametros!$B$5/I145)))</f>
        <v/>
      </c>
      <c r="S145" t="str">
        <f>IF(J145="","",IF(J145=0,100,MIN(100,100*Parametros!$B$6/J145)))</f>
        <v/>
      </c>
      <c r="T145" t="str">
        <f>IF(L145="","",MIN(100,100*L145/Parametros!$B$7))</f>
        <v/>
      </c>
      <c r="U145" t="str">
        <f>IF(K145="","",MIN(100,100*K145/Parametros!$B$8))</f>
        <v/>
      </c>
      <c r="V145" t="str">
        <f ca="1">IFERROR(((AVERAGEIFS(Documentacion!$C$2:$C$1000,Documentacion!$A$2:$A$1000,$A145,Documentacion!$B$2:$B$1000,"&gt;="&amp;DATEVALUE($B145&amp;"-01"),Documentacion!$B$2:$B$1000,"&lt;="&amp;EOMONTH(DATEVALUE($B145&amp;"-01"),0)))-1)/4*100,"")</f>
        <v/>
      </c>
      <c r="W145" t="str">
        <f ca="1">IFERROR(((AVERAGEIFS(Feedback_360!$D$2:$D$1000,Feedback_360!$A$2:$A$1000,$A145,Feedback_360!$B$2:$B$1000,"&gt;="&amp;DATEVALUE($B145&amp;"-01"),Feedback_360!$B$2:$B$1000,"&lt;="&amp;EOMONTH(DATEVALUE($B145&amp;"-01"),0)))-1)/4*100,"")</f>
        <v/>
      </c>
      <c r="X145" t="str">
        <f ca="1">IFERROR(((AVERAGEIFS(Observacion_Directa!$D$2:$D$1000,Observacion_Directa!$A$2:$A$1000,$A145,Observacion_Directa!$B$2:$B$1000,"&gt;="&amp;DATEVALUE($B145&amp;"-01"),Observacion_Directa!$B$2:$B$1000,"&lt;="&amp;EOMONTH(DATEVALUE($B145&amp;"-01"),0)))-1)/4*100,"")</f>
        <v/>
      </c>
      <c r="Y145" t="e">
        <f t="shared" ca="1" si="5"/>
        <v>#DIV/0!</v>
      </c>
    </row>
    <row r="146" spans="12:25" x14ac:dyDescent="0.2">
      <c r="L146" t="str">
        <f t="shared" si="4"/>
        <v/>
      </c>
      <c r="M146" t="str">
        <f>IFERROR(AVERAGEIFS(Prod_5dias!$H$2:$H$1000,Prod_5dias!$A$2:$A$1000,$A146,Prod_5dias!$B$2:$B$1000,$B146),"")</f>
        <v/>
      </c>
      <c r="N146" t="str">
        <f>IF(M146="","",MIN(100,100*M146/Parametros!$B$7))</f>
        <v/>
      </c>
      <c r="O146" t="str">
        <f>IF(F146="","",IF(F146=0,100,MIN(100,100*Parametros!$B$3/F146)))</f>
        <v/>
      </c>
      <c r="P146" t="str">
        <f ca="1">IFERROR(((AVERAGEIFS(Observacion_Directa!$E$2:$E$1000,Observacion_Directa!$A$2:$A$1000,$A146,Observacion_Directa!$B$2:$B$1000,"&gt;="&amp;DATEVALUE($B146&amp;"-01"),Observacion_Directa!$B$2:$B$1000,"&lt;="&amp;EOMONTH(DATEVALUE($B146&amp;"-01"),0)))-1)/4*100,"")</f>
        <v/>
      </c>
      <c r="Q146" t="str">
        <f>IF(H146="","",MIN(100,100*H146/Parametros!$B$4))</f>
        <v/>
      </c>
      <c r="R146" t="str">
        <f>IF(I146="","",IF(I146=0,100,MIN(100,100*Parametros!$B$5/I146)))</f>
        <v/>
      </c>
      <c r="S146" t="str">
        <f>IF(J146="","",IF(J146=0,100,MIN(100,100*Parametros!$B$6/J146)))</f>
        <v/>
      </c>
      <c r="T146" t="str">
        <f>IF(L146="","",MIN(100,100*L146/Parametros!$B$7))</f>
        <v/>
      </c>
      <c r="U146" t="str">
        <f>IF(K146="","",MIN(100,100*K146/Parametros!$B$8))</f>
        <v/>
      </c>
      <c r="V146" t="str">
        <f ca="1">IFERROR(((AVERAGEIFS(Documentacion!$C$2:$C$1000,Documentacion!$A$2:$A$1000,$A146,Documentacion!$B$2:$B$1000,"&gt;="&amp;DATEVALUE($B146&amp;"-01"),Documentacion!$B$2:$B$1000,"&lt;="&amp;EOMONTH(DATEVALUE($B146&amp;"-01"),0)))-1)/4*100,"")</f>
        <v/>
      </c>
      <c r="W146" t="str">
        <f ca="1">IFERROR(((AVERAGEIFS(Feedback_360!$D$2:$D$1000,Feedback_360!$A$2:$A$1000,$A146,Feedback_360!$B$2:$B$1000,"&gt;="&amp;DATEVALUE($B146&amp;"-01"),Feedback_360!$B$2:$B$1000,"&lt;="&amp;EOMONTH(DATEVALUE($B146&amp;"-01"),0)))-1)/4*100,"")</f>
        <v/>
      </c>
      <c r="X146" t="str">
        <f ca="1">IFERROR(((AVERAGEIFS(Observacion_Directa!$D$2:$D$1000,Observacion_Directa!$A$2:$A$1000,$A146,Observacion_Directa!$B$2:$B$1000,"&gt;="&amp;DATEVALUE($B146&amp;"-01"),Observacion_Directa!$B$2:$B$1000,"&lt;="&amp;EOMONTH(DATEVALUE($B146&amp;"-01"),0)))-1)/4*100,"")</f>
        <v/>
      </c>
      <c r="Y146" t="e">
        <f t="shared" ca="1" si="5"/>
        <v>#DIV/0!</v>
      </c>
    </row>
    <row r="147" spans="12:25" x14ac:dyDescent="0.2">
      <c r="L147" t="str">
        <f t="shared" si="4"/>
        <v/>
      </c>
      <c r="M147" t="str">
        <f>IFERROR(AVERAGEIFS(Prod_5dias!$H$2:$H$1000,Prod_5dias!$A$2:$A$1000,$A147,Prod_5dias!$B$2:$B$1000,$B147),"")</f>
        <v/>
      </c>
      <c r="N147" t="str">
        <f>IF(M147="","",MIN(100,100*M147/Parametros!$B$7))</f>
        <v/>
      </c>
      <c r="O147" t="str">
        <f>IF(F147="","",IF(F147=0,100,MIN(100,100*Parametros!$B$3/F147)))</f>
        <v/>
      </c>
      <c r="P147" t="str">
        <f ca="1">IFERROR(((AVERAGEIFS(Observacion_Directa!$E$2:$E$1000,Observacion_Directa!$A$2:$A$1000,$A147,Observacion_Directa!$B$2:$B$1000,"&gt;="&amp;DATEVALUE($B147&amp;"-01"),Observacion_Directa!$B$2:$B$1000,"&lt;="&amp;EOMONTH(DATEVALUE($B147&amp;"-01"),0)))-1)/4*100,"")</f>
        <v/>
      </c>
      <c r="Q147" t="str">
        <f>IF(H147="","",MIN(100,100*H147/Parametros!$B$4))</f>
        <v/>
      </c>
      <c r="R147" t="str">
        <f>IF(I147="","",IF(I147=0,100,MIN(100,100*Parametros!$B$5/I147)))</f>
        <v/>
      </c>
      <c r="S147" t="str">
        <f>IF(J147="","",IF(J147=0,100,MIN(100,100*Parametros!$B$6/J147)))</f>
        <v/>
      </c>
      <c r="T147" t="str">
        <f>IF(L147="","",MIN(100,100*L147/Parametros!$B$7))</f>
        <v/>
      </c>
      <c r="U147" t="str">
        <f>IF(K147="","",MIN(100,100*K147/Parametros!$B$8))</f>
        <v/>
      </c>
      <c r="V147" t="str">
        <f ca="1">IFERROR(((AVERAGEIFS(Documentacion!$C$2:$C$1000,Documentacion!$A$2:$A$1000,$A147,Documentacion!$B$2:$B$1000,"&gt;="&amp;DATEVALUE($B147&amp;"-01"),Documentacion!$B$2:$B$1000,"&lt;="&amp;EOMONTH(DATEVALUE($B147&amp;"-01"),0)))-1)/4*100,"")</f>
        <v/>
      </c>
      <c r="W147" t="str">
        <f ca="1">IFERROR(((AVERAGEIFS(Feedback_360!$D$2:$D$1000,Feedback_360!$A$2:$A$1000,$A147,Feedback_360!$B$2:$B$1000,"&gt;="&amp;DATEVALUE($B147&amp;"-01"),Feedback_360!$B$2:$B$1000,"&lt;="&amp;EOMONTH(DATEVALUE($B147&amp;"-01"),0)))-1)/4*100,"")</f>
        <v/>
      </c>
      <c r="X147" t="str">
        <f ca="1">IFERROR(((AVERAGEIFS(Observacion_Directa!$D$2:$D$1000,Observacion_Directa!$A$2:$A$1000,$A147,Observacion_Directa!$B$2:$B$1000,"&gt;="&amp;DATEVALUE($B147&amp;"-01"),Observacion_Directa!$B$2:$B$1000,"&lt;="&amp;EOMONTH(DATEVALUE($B147&amp;"-01"),0)))-1)/4*100,"")</f>
        <v/>
      </c>
      <c r="Y147" t="e">
        <f t="shared" ca="1" si="5"/>
        <v>#DIV/0!</v>
      </c>
    </row>
    <row r="148" spans="12:25" x14ac:dyDescent="0.2">
      <c r="L148" t="str">
        <f t="shared" si="4"/>
        <v/>
      </c>
      <c r="M148" t="str">
        <f>IFERROR(AVERAGEIFS(Prod_5dias!$H$2:$H$1000,Prod_5dias!$A$2:$A$1000,$A148,Prod_5dias!$B$2:$B$1000,$B148),"")</f>
        <v/>
      </c>
      <c r="N148" t="str">
        <f>IF(M148="","",MIN(100,100*M148/Parametros!$B$7))</f>
        <v/>
      </c>
      <c r="O148" t="str">
        <f>IF(F148="","",IF(F148=0,100,MIN(100,100*Parametros!$B$3/F148)))</f>
        <v/>
      </c>
      <c r="P148" t="str">
        <f ca="1">IFERROR(((AVERAGEIFS(Observacion_Directa!$E$2:$E$1000,Observacion_Directa!$A$2:$A$1000,$A148,Observacion_Directa!$B$2:$B$1000,"&gt;="&amp;DATEVALUE($B148&amp;"-01"),Observacion_Directa!$B$2:$B$1000,"&lt;="&amp;EOMONTH(DATEVALUE($B148&amp;"-01"),0)))-1)/4*100,"")</f>
        <v/>
      </c>
      <c r="Q148" t="str">
        <f>IF(H148="","",MIN(100,100*H148/Parametros!$B$4))</f>
        <v/>
      </c>
      <c r="R148" t="str">
        <f>IF(I148="","",IF(I148=0,100,MIN(100,100*Parametros!$B$5/I148)))</f>
        <v/>
      </c>
      <c r="S148" t="str">
        <f>IF(J148="","",IF(J148=0,100,MIN(100,100*Parametros!$B$6/J148)))</f>
        <v/>
      </c>
      <c r="T148" t="str">
        <f>IF(L148="","",MIN(100,100*L148/Parametros!$B$7))</f>
        <v/>
      </c>
      <c r="U148" t="str">
        <f>IF(K148="","",MIN(100,100*K148/Parametros!$B$8))</f>
        <v/>
      </c>
      <c r="V148" t="str">
        <f ca="1">IFERROR(((AVERAGEIFS(Documentacion!$C$2:$C$1000,Documentacion!$A$2:$A$1000,$A148,Documentacion!$B$2:$B$1000,"&gt;="&amp;DATEVALUE($B148&amp;"-01"),Documentacion!$B$2:$B$1000,"&lt;="&amp;EOMONTH(DATEVALUE($B148&amp;"-01"),0)))-1)/4*100,"")</f>
        <v/>
      </c>
      <c r="W148" t="str">
        <f ca="1">IFERROR(((AVERAGEIFS(Feedback_360!$D$2:$D$1000,Feedback_360!$A$2:$A$1000,$A148,Feedback_360!$B$2:$B$1000,"&gt;="&amp;DATEVALUE($B148&amp;"-01"),Feedback_360!$B$2:$B$1000,"&lt;="&amp;EOMONTH(DATEVALUE($B148&amp;"-01"),0)))-1)/4*100,"")</f>
        <v/>
      </c>
      <c r="X148" t="str">
        <f ca="1">IFERROR(((AVERAGEIFS(Observacion_Directa!$D$2:$D$1000,Observacion_Directa!$A$2:$A$1000,$A148,Observacion_Directa!$B$2:$B$1000,"&gt;="&amp;DATEVALUE($B148&amp;"-01"),Observacion_Directa!$B$2:$B$1000,"&lt;="&amp;EOMONTH(DATEVALUE($B148&amp;"-01"),0)))-1)/4*100,"")</f>
        <v/>
      </c>
      <c r="Y148" t="e">
        <f t="shared" ca="1" si="5"/>
        <v>#DIV/0!</v>
      </c>
    </row>
    <row r="149" spans="12:25" x14ac:dyDescent="0.2">
      <c r="L149" t="str">
        <f t="shared" si="4"/>
        <v/>
      </c>
      <c r="M149" t="str">
        <f>IFERROR(AVERAGEIFS(Prod_5dias!$H$2:$H$1000,Prod_5dias!$A$2:$A$1000,$A149,Prod_5dias!$B$2:$B$1000,$B149),"")</f>
        <v/>
      </c>
      <c r="N149" t="str">
        <f>IF(M149="","",MIN(100,100*M149/Parametros!$B$7))</f>
        <v/>
      </c>
      <c r="O149" t="str">
        <f>IF(F149="","",IF(F149=0,100,MIN(100,100*Parametros!$B$3/F149)))</f>
        <v/>
      </c>
      <c r="P149" t="str">
        <f ca="1">IFERROR(((AVERAGEIFS(Observacion_Directa!$E$2:$E$1000,Observacion_Directa!$A$2:$A$1000,$A149,Observacion_Directa!$B$2:$B$1000,"&gt;="&amp;DATEVALUE($B149&amp;"-01"),Observacion_Directa!$B$2:$B$1000,"&lt;="&amp;EOMONTH(DATEVALUE($B149&amp;"-01"),0)))-1)/4*100,"")</f>
        <v/>
      </c>
      <c r="Q149" t="str">
        <f>IF(H149="","",MIN(100,100*H149/Parametros!$B$4))</f>
        <v/>
      </c>
      <c r="R149" t="str">
        <f>IF(I149="","",IF(I149=0,100,MIN(100,100*Parametros!$B$5/I149)))</f>
        <v/>
      </c>
      <c r="S149" t="str">
        <f>IF(J149="","",IF(J149=0,100,MIN(100,100*Parametros!$B$6/J149)))</f>
        <v/>
      </c>
      <c r="T149" t="str">
        <f>IF(L149="","",MIN(100,100*L149/Parametros!$B$7))</f>
        <v/>
      </c>
      <c r="U149" t="str">
        <f>IF(K149="","",MIN(100,100*K149/Parametros!$B$8))</f>
        <v/>
      </c>
      <c r="V149" t="str">
        <f ca="1">IFERROR(((AVERAGEIFS(Documentacion!$C$2:$C$1000,Documentacion!$A$2:$A$1000,$A149,Documentacion!$B$2:$B$1000,"&gt;="&amp;DATEVALUE($B149&amp;"-01"),Documentacion!$B$2:$B$1000,"&lt;="&amp;EOMONTH(DATEVALUE($B149&amp;"-01"),0)))-1)/4*100,"")</f>
        <v/>
      </c>
      <c r="W149" t="str">
        <f ca="1">IFERROR(((AVERAGEIFS(Feedback_360!$D$2:$D$1000,Feedback_360!$A$2:$A$1000,$A149,Feedback_360!$B$2:$B$1000,"&gt;="&amp;DATEVALUE($B149&amp;"-01"),Feedback_360!$B$2:$B$1000,"&lt;="&amp;EOMONTH(DATEVALUE($B149&amp;"-01"),0)))-1)/4*100,"")</f>
        <v/>
      </c>
      <c r="X149" t="str">
        <f ca="1">IFERROR(((AVERAGEIFS(Observacion_Directa!$D$2:$D$1000,Observacion_Directa!$A$2:$A$1000,$A149,Observacion_Directa!$B$2:$B$1000,"&gt;="&amp;DATEVALUE($B149&amp;"-01"),Observacion_Directa!$B$2:$B$1000,"&lt;="&amp;EOMONTH(DATEVALUE($B149&amp;"-01"),0)))-1)/4*100,"")</f>
        <v/>
      </c>
      <c r="Y149" t="e">
        <f t="shared" ca="1" si="5"/>
        <v>#DIV/0!</v>
      </c>
    </row>
    <row r="150" spans="12:25" x14ac:dyDescent="0.2">
      <c r="L150" t="str">
        <f t="shared" si="4"/>
        <v/>
      </c>
      <c r="M150" t="str">
        <f>IFERROR(AVERAGEIFS(Prod_5dias!$H$2:$H$1000,Prod_5dias!$A$2:$A$1000,$A150,Prod_5dias!$B$2:$B$1000,$B150),"")</f>
        <v/>
      </c>
      <c r="N150" t="str">
        <f>IF(M150="","",MIN(100,100*M150/Parametros!$B$7))</f>
        <v/>
      </c>
      <c r="O150" t="str">
        <f>IF(F150="","",IF(F150=0,100,MIN(100,100*Parametros!$B$3/F150)))</f>
        <v/>
      </c>
      <c r="P150" t="str">
        <f ca="1">IFERROR(((AVERAGEIFS(Observacion_Directa!$E$2:$E$1000,Observacion_Directa!$A$2:$A$1000,$A150,Observacion_Directa!$B$2:$B$1000,"&gt;="&amp;DATEVALUE($B150&amp;"-01"),Observacion_Directa!$B$2:$B$1000,"&lt;="&amp;EOMONTH(DATEVALUE($B150&amp;"-01"),0)))-1)/4*100,"")</f>
        <v/>
      </c>
      <c r="Q150" t="str">
        <f>IF(H150="","",MIN(100,100*H150/Parametros!$B$4))</f>
        <v/>
      </c>
      <c r="R150" t="str">
        <f>IF(I150="","",IF(I150=0,100,MIN(100,100*Parametros!$B$5/I150)))</f>
        <v/>
      </c>
      <c r="S150" t="str">
        <f>IF(J150="","",IF(J150=0,100,MIN(100,100*Parametros!$B$6/J150)))</f>
        <v/>
      </c>
      <c r="T150" t="str">
        <f>IF(L150="","",MIN(100,100*L150/Parametros!$B$7))</f>
        <v/>
      </c>
      <c r="U150" t="str">
        <f>IF(K150="","",MIN(100,100*K150/Parametros!$B$8))</f>
        <v/>
      </c>
      <c r="V150" t="str">
        <f ca="1">IFERROR(((AVERAGEIFS(Documentacion!$C$2:$C$1000,Documentacion!$A$2:$A$1000,$A150,Documentacion!$B$2:$B$1000,"&gt;="&amp;DATEVALUE($B150&amp;"-01"),Documentacion!$B$2:$B$1000,"&lt;="&amp;EOMONTH(DATEVALUE($B150&amp;"-01"),0)))-1)/4*100,"")</f>
        <v/>
      </c>
      <c r="W150" t="str">
        <f ca="1">IFERROR(((AVERAGEIFS(Feedback_360!$D$2:$D$1000,Feedback_360!$A$2:$A$1000,$A150,Feedback_360!$B$2:$B$1000,"&gt;="&amp;DATEVALUE($B150&amp;"-01"),Feedback_360!$B$2:$B$1000,"&lt;="&amp;EOMONTH(DATEVALUE($B150&amp;"-01"),0)))-1)/4*100,"")</f>
        <v/>
      </c>
      <c r="X150" t="str">
        <f ca="1">IFERROR(((AVERAGEIFS(Observacion_Directa!$D$2:$D$1000,Observacion_Directa!$A$2:$A$1000,$A150,Observacion_Directa!$B$2:$B$1000,"&gt;="&amp;DATEVALUE($B150&amp;"-01"),Observacion_Directa!$B$2:$B$1000,"&lt;="&amp;EOMONTH(DATEVALUE($B150&amp;"-01"),0)))-1)/4*100,"")</f>
        <v/>
      </c>
      <c r="Y150" t="e">
        <f t="shared" ca="1" si="5"/>
        <v>#DIV/0!</v>
      </c>
    </row>
    <row r="151" spans="12:25" x14ac:dyDescent="0.2">
      <c r="L151" t="str">
        <f t="shared" si="4"/>
        <v/>
      </c>
      <c r="M151" t="str">
        <f>IFERROR(AVERAGEIFS(Prod_5dias!$H$2:$H$1000,Prod_5dias!$A$2:$A$1000,$A151,Prod_5dias!$B$2:$B$1000,$B151),"")</f>
        <v/>
      </c>
      <c r="N151" t="str">
        <f>IF(M151="","",MIN(100,100*M151/Parametros!$B$7))</f>
        <v/>
      </c>
      <c r="O151" t="str">
        <f>IF(F151="","",IF(F151=0,100,MIN(100,100*Parametros!$B$3/F151)))</f>
        <v/>
      </c>
      <c r="P151" t="str">
        <f ca="1">IFERROR(((AVERAGEIFS(Observacion_Directa!$E$2:$E$1000,Observacion_Directa!$A$2:$A$1000,$A151,Observacion_Directa!$B$2:$B$1000,"&gt;="&amp;DATEVALUE($B151&amp;"-01"),Observacion_Directa!$B$2:$B$1000,"&lt;="&amp;EOMONTH(DATEVALUE($B151&amp;"-01"),0)))-1)/4*100,"")</f>
        <v/>
      </c>
      <c r="Q151" t="str">
        <f>IF(H151="","",MIN(100,100*H151/Parametros!$B$4))</f>
        <v/>
      </c>
      <c r="R151" t="str">
        <f>IF(I151="","",IF(I151=0,100,MIN(100,100*Parametros!$B$5/I151)))</f>
        <v/>
      </c>
      <c r="S151" t="str">
        <f>IF(J151="","",IF(J151=0,100,MIN(100,100*Parametros!$B$6/J151)))</f>
        <v/>
      </c>
      <c r="T151" t="str">
        <f>IF(L151="","",MIN(100,100*L151/Parametros!$B$7))</f>
        <v/>
      </c>
      <c r="U151" t="str">
        <f>IF(K151="","",MIN(100,100*K151/Parametros!$B$8))</f>
        <v/>
      </c>
      <c r="V151" t="str">
        <f ca="1">IFERROR(((AVERAGEIFS(Documentacion!$C$2:$C$1000,Documentacion!$A$2:$A$1000,$A151,Documentacion!$B$2:$B$1000,"&gt;="&amp;DATEVALUE($B151&amp;"-01"),Documentacion!$B$2:$B$1000,"&lt;="&amp;EOMONTH(DATEVALUE($B151&amp;"-01"),0)))-1)/4*100,"")</f>
        <v/>
      </c>
      <c r="W151" t="str">
        <f ca="1">IFERROR(((AVERAGEIFS(Feedback_360!$D$2:$D$1000,Feedback_360!$A$2:$A$1000,$A151,Feedback_360!$B$2:$B$1000,"&gt;="&amp;DATEVALUE($B151&amp;"-01"),Feedback_360!$B$2:$B$1000,"&lt;="&amp;EOMONTH(DATEVALUE($B151&amp;"-01"),0)))-1)/4*100,"")</f>
        <v/>
      </c>
      <c r="X151" t="str">
        <f ca="1">IFERROR(((AVERAGEIFS(Observacion_Directa!$D$2:$D$1000,Observacion_Directa!$A$2:$A$1000,$A151,Observacion_Directa!$B$2:$B$1000,"&gt;="&amp;DATEVALUE($B151&amp;"-01"),Observacion_Directa!$B$2:$B$1000,"&lt;="&amp;EOMONTH(DATEVALUE($B151&amp;"-01"),0)))-1)/4*100,"")</f>
        <v/>
      </c>
      <c r="Y151" t="e">
        <f t="shared" ca="1" si="5"/>
        <v>#DIV/0!</v>
      </c>
    </row>
    <row r="152" spans="12:25" x14ac:dyDescent="0.2">
      <c r="L152" t="str">
        <f t="shared" si="4"/>
        <v/>
      </c>
      <c r="M152" t="str">
        <f>IFERROR(AVERAGEIFS(Prod_5dias!$H$2:$H$1000,Prod_5dias!$A$2:$A$1000,$A152,Prod_5dias!$B$2:$B$1000,$B152),"")</f>
        <v/>
      </c>
      <c r="N152" t="str">
        <f>IF(M152="","",MIN(100,100*M152/Parametros!$B$7))</f>
        <v/>
      </c>
      <c r="O152" t="str">
        <f>IF(F152="","",IF(F152=0,100,MIN(100,100*Parametros!$B$3/F152)))</f>
        <v/>
      </c>
      <c r="P152" t="str">
        <f ca="1">IFERROR(((AVERAGEIFS(Observacion_Directa!$E$2:$E$1000,Observacion_Directa!$A$2:$A$1000,$A152,Observacion_Directa!$B$2:$B$1000,"&gt;="&amp;DATEVALUE($B152&amp;"-01"),Observacion_Directa!$B$2:$B$1000,"&lt;="&amp;EOMONTH(DATEVALUE($B152&amp;"-01"),0)))-1)/4*100,"")</f>
        <v/>
      </c>
      <c r="Q152" t="str">
        <f>IF(H152="","",MIN(100,100*H152/Parametros!$B$4))</f>
        <v/>
      </c>
      <c r="R152" t="str">
        <f>IF(I152="","",IF(I152=0,100,MIN(100,100*Parametros!$B$5/I152)))</f>
        <v/>
      </c>
      <c r="S152" t="str">
        <f>IF(J152="","",IF(J152=0,100,MIN(100,100*Parametros!$B$6/J152)))</f>
        <v/>
      </c>
      <c r="T152" t="str">
        <f>IF(L152="","",MIN(100,100*L152/Parametros!$B$7))</f>
        <v/>
      </c>
      <c r="U152" t="str">
        <f>IF(K152="","",MIN(100,100*K152/Parametros!$B$8))</f>
        <v/>
      </c>
      <c r="V152" t="str">
        <f ca="1">IFERROR(((AVERAGEIFS(Documentacion!$C$2:$C$1000,Documentacion!$A$2:$A$1000,$A152,Documentacion!$B$2:$B$1000,"&gt;="&amp;DATEVALUE($B152&amp;"-01"),Documentacion!$B$2:$B$1000,"&lt;="&amp;EOMONTH(DATEVALUE($B152&amp;"-01"),0)))-1)/4*100,"")</f>
        <v/>
      </c>
      <c r="W152" t="str">
        <f ca="1">IFERROR(((AVERAGEIFS(Feedback_360!$D$2:$D$1000,Feedback_360!$A$2:$A$1000,$A152,Feedback_360!$B$2:$B$1000,"&gt;="&amp;DATEVALUE($B152&amp;"-01"),Feedback_360!$B$2:$B$1000,"&lt;="&amp;EOMONTH(DATEVALUE($B152&amp;"-01"),0)))-1)/4*100,"")</f>
        <v/>
      </c>
      <c r="X152" t="str">
        <f ca="1">IFERROR(((AVERAGEIFS(Observacion_Directa!$D$2:$D$1000,Observacion_Directa!$A$2:$A$1000,$A152,Observacion_Directa!$B$2:$B$1000,"&gt;="&amp;DATEVALUE($B152&amp;"-01"),Observacion_Directa!$B$2:$B$1000,"&lt;="&amp;EOMONTH(DATEVALUE($B152&amp;"-01"),0)))-1)/4*100,"")</f>
        <v/>
      </c>
      <c r="Y152" t="e">
        <f t="shared" ca="1" si="5"/>
        <v>#DIV/0!</v>
      </c>
    </row>
    <row r="153" spans="12:25" x14ac:dyDescent="0.2">
      <c r="L153" t="str">
        <f t="shared" si="4"/>
        <v/>
      </c>
      <c r="M153" t="str">
        <f>IFERROR(AVERAGEIFS(Prod_5dias!$H$2:$H$1000,Prod_5dias!$A$2:$A$1000,$A153,Prod_5dias!$B$2:$B$1000,$B153),"")</f>
        <v/>
      </c>
      <c r="N153" t="str">
        <f>IF(M153="","",MIN(100,100*M153/Parametros!$B$7))</f>
        <v/>
      </c>
      <c r="O153" t="str">
        <f>IF(F153="","",IF(F153=0,100,MIN(100,100*Parametros!$B$3/F153)))</f>
        <v/>
      </c>
      <c r="P153" t="str">
        <f ca="1">IFERROR(((AVERAGEIFS(Observacion_Directa!$E$2:$E$1000,Observacion_Directa!$A$2:$A$1000,$A153,Observacion_Directa!$B$2:$B$1000,"&gt;="&amp;DATEVALUE($B153&amp;"-01"),Observacion_Directa!$B$2:$B$1000,"&lt;="&amp;EOMONTH(DATEVALUE($B153&amp;"-01"),0)))-1)/4*100,"")</f>
        <v/>
      </c>
      <c r="Q153" t="str">
        <f>IF(H153="","",MIN(100,100*H153/Parametros!$B$4))</f>
        <v/>
      </c>
      <c r="R153" t="str">
        <f>IF(I153="","",IF(I153=0,100,MIN(100,100*Parametros!$B$5/I153)))</f>
        <v/>
      </c>
      <c r="S153" t="str">
        <f>IF(J153="","",IF(J153=0,100,MIN(100,100*Parametros!$B$6/J153)))</f>
        <v/>
      </c>
      <c r="T153" t="str">
        <f>IF(L153="","",MIN(100,100*L153/Parametros!$B$7))</f>
        <v/>
      </c>
      <c r="U153" t="str">
        <f>IF(K153="","",MIN(100,100*K153/Parametros!$B$8))</f>
        <v/>
      </c>
      <c r="V153" t="str">
        <f ca="1">IFERROR(((AVERAGEIFS(Documentacion!$C$2:$C$1000,Documentacion!$A$2:$A$1000,$A153,Documentacion!$B$2:$B$1000,"&gt;="&amp;DATEVALUE($B153&amp;"-01"),Documentacion!$B$2:$B$1000,"&lt;="&amp;EOMONTH(DATEVALUE($B153&amp;"-01"),0)))-1)/4*100,"")</f>
        <v/>
      </c>
      <c r="W153" t="str">
        <f ca="1">IFERROR(((AVERAGEIFS(Feedback_360!$D$2:$D$1000,Feedback_360!$A$2:$A$1000,$A153,Feedback_360!$B$2:$B$1000,"&gt;="&amp;DATEVALUE($B153&amp;"-01"),Feedback_360!$B$2:$B$1000,"&lt;="&amp;EOMONTH(DATEVALUE($B153&amp;"-01"),0)))-1)/4*100,"")</f>
        <v/>
      </c>
      <c r="X153" t="str">
        <f ca="1">IFERROR(((AVERAGEIFS(Observacion_Directa!$D$2:$D$1000,Observacion_Directa!$A$2:$A$1000,$A153,Observacion_Directa!$B$2:$B$1000,"&gt;="&amp;DATEVALUE($B153&amp;"-01"),Observacion_Directa!$B$2:$B$1000,"&lt;="&amp;EOMONTH(DATEVALUE($B153&amp;"-01"),0)))-1)/4*100,"")</f>
        <v/>
      </c>
      <c r="Y153" t="e">
        <f t="shared" ca="1" si="5"/>
        <v>#DIV/0!</v>
      </c>
    </row>
    <row r="154" spans="12:25" x14ac:dyDescent="0.2">
      <c r="L154" t="str">
        <f t="shared" si="4"/>
        <v/>
      </c>
      <c r="M154" t="str">
        <f>IFERROR(AVERAGEIFS(Prod_5dias!$H$2:$H$1000,Prod_5dias!$A$2:$A$1000,$A154,Prod_5dias!$B$2:$B$1000,$B154),"")</f>
        <v/>
      </c>
      <c r="N154" t="str">
        <f>IF(M154="","",MIN(100,100*M154/Parametros!$B$7))</f>
        <v/>
      </c>
      <c r="O154" t="str">
        <f>IF(F154="","",IF(F154=0,100,MIN(100,100*Parametros!$B$3/F154)))</f>
        <v/>
      </c>
      <c r="P154" t="str">
        <f ca="1">IFERROR(((AVERAGEIFS(Observacion_Directa!$E$2:$E$1000,Observacion_Directa!$A$2:$A$1000,$A154,Observacion_Directa!$B$2:$B$1000,"&gt;="&amp;DATEVALUE($B154&amp;"-01"),Observacion_Directa!$B$2:$B$1000,"&lt;="&amp;EOMONTH(DATEVALUE($B154&amp;"-01"),0)))-1)/4*100,"")</f>
        <v/>
      </c>
      <c r="Q154" t="str">
        <f>IF(H154="","",MIN(100,100*H154/Parametros!$B$4))</f>
        <v/>
      </c>
      <c r="R154" t="str">
        <f>IF(I154="","",IF(I154=0,100,MIN(100,100*Parametros!$B$5/I154)))</f>
        <v/>
      </c>
      <c r="S154" t="str">
        <f>IF(J154="","",IF(J154=0,100,MIN(100,100*Parametros!$B$6/J154)))</f>
        <v/>
      </c>
      <c r="T154" t="str">
        <f>IF(L154="","",MIN(100,100*L154/Parametros!$B$7))</f>
        <v/>
      </c>
      <c r="U154" t="str">
        <f>IF(K154="","",MIN(100,100*K154/Parametros!$B$8))</f>
        <v/>
      </c>
      <c r="V154" t="str">
        <f ca="1">IFERROR(((AVERAGEIFS(Documentacion!$C$2:$C$1000,Documentacion!$A$2:$A$1000,$A154,Documentacion!$B$2:$B$1000,"&gt;="&amp;DATEVALUE($B154&amp;"-01"),Documentacion!$B$2:$B$1000,"&lt;="&amp;EOMONTH(DATEVALUE($B154&amp;"-01"),0)))-1)/4*100,"")</f>
        <v/>
      </c>
      <c r="W154" t="str">
        <f ca="1">IFERROR(((AVERAGEIFS(Feedback_360!$D$2:$D$1000,Feedback_360!$A$2:$A$1000,$A154,Feedback_360!$B$2:$B$1000,"&gt;="&amp;DATEVALUE($B154&amp;"-01"),Feedback_360!$B$2:$B$1000,"&lt;="&amp;EOMONTH(DATEVALUE($B154&amp;"-01"),0)))-1)/4*100,"")</f>
        <v/>
      </c>
      <c r="X154" t="str">
        <f ca="1">IFERROR(((AVERAGEIFS(Observacion_Directa!$D$2:$D$1000,Observacion_Directa!$A$2:$A$1000,$A154,Observacion_Directa!$B$2:$B$1000,"&gt;="&amp;DATEVALUE($B154&amp;"-01"),Observacion_Directa!$B$2:$B$1000,"&lt;="&amp;EOMONTH(DATEVALUE($B154&amp;"-01"),0)))-1)/4*100,"")</f>
        <v/>
      </c>
      <c r="Y154" t="e">
        <f t="shared" ca="1" si="5"/>
        <v>#DIV/0!</v>
      </c>
    </row>
    <row r="155" spans="12:25" x14ac:dyDescent="0.2">
      <c r="L155" t="str">
        <f t="shared" si="4"/>
        <v/>
      </c>
      <c r="M155" t="str">
        <f>IFERROR(AVERAGEIFS(Prod_5dias!$H$2:$H$1000,Prod_5dias!$A$2:$A$1000,$A155,Prod_5dias!$B$2:$B$1000,$B155),"")</f>
        <v/>
      </c>
      <c r="N155" t="str">
        <f>IF(M155="","",MIN(100,100*M155/Parametros!$B$7))</f>
        <v/>
      </c>
      <c r="O155" t="str">
        <f>IF(F155="","",IF(F155=0,100,MIN(100,100*Parametros!$B$3/F155)))</f>
        <v/>
      </c>
      <c r="P155" t="str">
        <f ca="1">IFERROR(((AVERAGEIFS(Observacion_Directa!$E$2:$E$1000,Observacion_Directa!$A$2:$A$1000,$A155,Observacion_Directa!$B$2:$B$1000,"&gt;="&amp;DATEVALUE($B155&amp;"-01"),Observacion_Directa!$B$2:$B$1000,"&lt;="&amp;EOMONTH(DATEVALUE($B155&amp;"-01"),0)))-1)/4*100,"")</f>
        <v/>
      </c>
      <c r="Q155" t="str">
        <f>IF(H155="","",MIN(100,100*H155/Parametros!$B$4))</f>
        <v/>
      </c>
      <c r="R155" t="str">
        <f>IF(I155="","",IF(I155=0,100,MIN(100,100*Parametros!$B$5/I155)))</f>
        <v/>
      </c>
      <c r="S155" t="str">
        <f>IF(J155="","",IF(J155=0,100,MIN(100,100*Parametros!$B$6/J155)))</f>
        <v/>
      </c>
      <c r="T155" t="str">
        <f>IF(L155="","",MIN(100,100*L155/Parametros!$B$7))</f>
        <v/>
      </c>
      <c r="U155" t="str">
        <f>IF(K155="","",MIN(100,100*K155/Parametros!$B$8))</f>
        <v/>
      </c>
      <c r="V155" t="str">
        <f ca="1">IFERROR(((AVERAGEIFS(Documentacion!$C$2:$C$1000,Documentacion!$A$2:$A$1000,$A155,Documentacion!$B$2:$B$1000,"&gt;="&amp;DATEVALUE($B155&amp;"-01"),Documentacion!$B$2:$B$1000,"&lt;="&amp;EOMONTH(DATEVALUE($B155&amp;"-01"),0)))-1)/4*100,"")</f>
        <v/>
      </c>
      <c r="W155" t="str">
        <f ca="1">IFERROR(((AVERAGEIFS(Feedback_360!$D$2:$D$1000,Feedback_360!$A$2:$A$1000,$A155,Feedback_360!$B$2:$B$1000,"&gt;="&amp;DATEVALUE($B155&amp;"-01"),Feedback_360!$B$2:$B$1000,"&lt;="&amp;EOMONTH(DATEVALUE($B155&amp;"-01"),0)))-1)/4*100,"")</f>
        <v/>
      </c>
      <c r="X155" t="str">
        <f ca="1">IFERROR(((AVERAGEIFS(Observacion_Directa!$D$2:$D$1000,Observacion_Directa!$A$2:$A$1000,$A155,Observacion_Directa!$B$2:$B$1000,"&gt;="&amp;DATEVALUE($B155&amp;"-01"),Observacion_Directa!$B$2:$B$1000,"&lt;="&amp;EOMONTH(DATEVALUE($B155&amp;"-01"),0)))-1)/4*100,"")</f>
        <v/>
      </c>
      <c r="Y155" t="e">
        <f t="shared" ca="1" si="5"/>
        <v>#DIV/0!</v>
      </c>
    </row>
    <row r="156" spans="12:25" x14ac:dyDescent="0.2">
      <c r="L156" t="str">
        <f t="shared" si="4"/>
        <v/>
      </c>
      <c r="M156" t="str">
        <f>IFERROR(AVERAGEIFS(Prod_5dias!$H$2:$H$1000,Prod_5dias!$A$2:$A$1000,$A156,Prod_5dias!$B$2:$B$1000,$B156),"")</f>
        <v/>
      </c>
      <c r="N156" t="str">
        <f>IF(M156="","",MIN(100,100*M156/Parametros!$B$7))</f>
        <v/>
      </c>
      <c r="O156" t="str">
        <f>IF(F156="","",IF(F156=0,100,MIN(100,100*Parametros!$B$3/F156)))</f>
        <v/>
      </c>
      <c r="P156" t="str">
        <f ca="1">IFERROR(((AVERAGEIFS(Observacion_Directa!$E$2:$E$1000,Observacion_Directa!$A$2:$A$1000,$A156,Observacion_Directa!$B$2:$B$1000,"&gt;="&amp;DATEVALUE($B156&amp;"-01"),Observacion_Directa!$B$2:$B$1000,"&lt;="&amp;EOMONTH(DATEVALUE($B156&amp;"-01"),0)))-1)/4*100,"")</f>
        <v/>
      </c>
      <c r="Q156" t="str">
        <f>IF(H156="","",MIN(100,100*H156/Parametros!$B$4))</f>
        <v/>
      </c>
      <c r="R156" t="str">
        <f>IF(I156="","",IF(I156=0,100,MIN(100,100*Parametros!$B$5/I156)))</f>
        <v/>
      </c>
      <c r="S156" t="str">
        <f>IF(J156="","",IF(J156=0,100,MIN(100,100*Parametros!$B$6/J156)))</f>
        <v/>
      </c>
      <c r="T156" t="str">
        <f>IF(L156="","",MIN(100,100*L156/Parametros!$B$7))</f>
        <v/>
      </c>
      <c r="U156" t="str">
        <f>IF(K156="","",MIN(100,100*K156/Parametros!$B$8))</f>
        <v/>
      </c>
      <c r="V156" t="str">
        <f ca="1">IFERROR(((AVERAGEIFS(Documentacion!$C$2:$C$1000,Documentacion!$A$2:$A$1000,$A156,Documentacion!$B$2:$B$1000,"&gt;="&amp;DATEVALUE($B156&amp;"-01"),Documentacion!$B$2:$B$1000,"&lt;="&amp;EOMONTH(DATEVALUE($B156&amp;"-01"),0)))-1)/4*100,"")</f>
        <v/>
      </c>
      <c r="W156" t="str">
        <f ca="1">IFERROR(((AVERAGEIFS(Feedback_360!$D$2:$D$1000,Feedback_360!$A$2:$A$1000,$A156,Feedback_360!$B$2:$B$1000,"&gt;="&amp;DATEVALUE($B156&amp;"-01"),Feedback_360!$B$2:$B$1000,"&lt;="&amp;EOMONTH(DATEVALUE($B156&amp;"-01"),0)))-1)/4*100,"")</f>
        <v/>
      </c>
      <c r="X156" t="str">
        <f ca="1">IFERROR(((AVERAGEIFS(Observacion_Directa!$D$2:$D$1000,Observacion_Directa!$A$2:$A$1000,$A156,Observacion_Directa!$B$2:$B$1000,"&gt;="&amp;DATEVALUE($B156&amp;"-01"),Observacion_Directa!$B$2:$B$1000,"&lt;="&amp;EOMONTH(DATEVALUE($B156&amp;"-01"),0)))-1)/4*100,"")</f>
        <v/>
      </c>
      <c r="Y156" t="e">
        <f t="shared" ca="1" si="5"/>
        <v>#DIV/0!</v>
      </c>
    </row>
    <row r="157" spans="12:25" x14ac:dyDescent="0.2">
      <c r="L157" t="str">
        <f t="shared" si="4"/>
        <v/>
      </c>
      <c r="M157" t="str">
        <f>IFERROR(AVERAGEIFS(Prod_5dias!$H$2:$H$1000,Prod_5dias!$A$2:$A$1000,$A157,Prod_5dias!$B$2:$B$1000,$B157),"")</f>
        <v/>
      </c>
      <c r="N157" t="str">
        <f>IF(M157="","",MIN(100,100*M157/Parametros!$B$7))</f>
        <v/>
      </c>
      <c r="O157" t="str">
        <f>IF(F157="","",IF(F157=0,100,MIN(100,100*Parametros!$B$3/F157)))</f>
        <v/>
      </c>
      <c r="P157" t="str">
        <f ca="1">IFERROR(((AVERAGEIFS(Observacion_Directa!$E$2:$E$1000,Observacion_Directa!$A$2:$A$1000,$A157,Observacion_Directa!$B$2:$B$1000,"&gt;="&amp;DATEVALUE($B157&amp;"-01"),Observacion_Directa!$B$2:$B$1000,"&lt;="&amp;EOMONTH(DATEVALUE($B157&amp;"-01"),0)))-1)/4*100,"")</f>
        <v/>
      </c>
      <c r="Q157" t="str">
        <f>IF(H157="","",MIN(100,100*H157/Parametros!$B$4))</f>
        <v/>
      </c>
      <c r="R157" t="str">
        <f>IF(I157="","",IF(I157=0,100,MIN(100,100*Parametros!$B$5/I157)))</f>
        <v/>
      </c>
      <c r="S157" t="str">
        <f>IF(J157="","",IF(J157=0,100,MIN(100,100*Parametros!$B$6/J157)))</f>
        <v/>
      </c>
      <c r="T157" t="str">
        <f>IF(L157="","",MIN(100,100*L157/Parametros!$B$7))</f>
        <v/>
      </c>
      <c r="U157" t="str">
        <f>IF(K157="","",MIN(100,100*K157/Parametros!$B$8))</f>
        <v/>
      </c>
      <c r="V157" t="str">
        <f ca="1">IFERROR(((AVERAGEIFS(Documentacion!$C$2:$C$1000,Documentacion!$A$2:$A$1000,$A157,Documentacion!$B$2:$B$1000,"&gt;="&amp;DATEVALUE($B157&amp;"-01"),Documentacion!$B$2:$B$1000,"&lt;="&amp;EOMONTH(DATEVALUE($B157&amp;"-01"),0)))-1)/4*100,"")</f>
        <v/>
      </c>
      <c r="W157" t="str">
        <f ca="1">IFERROR(((AVERAGEIFS(Feedback_360!$D$2:$D$1000,Feedback_360!$A$2:$A$1000,$A157,Feedback_360!$B$2:$B$1000,"&gt;="&amp;DATEVALUE($B157&amp;"-01"),Feedback_360!$B$2:$B$1000,"&lt;="&amp;EOMONTH(DATEVALUE($B157&amp;"-01"),0)))-1)/4*100,"")</f>
        <v/>
      </c>
      <c r="X157" t="str">
        <f ca="1">IFERROR(((AVERAGEIFS(Observacion_Directa!$D$2:$D$1000,Observacion_Directa!$A$2:$A$1000,$A157,Observacion_Directa!$B$2:$B$1000,"&gt;="&amp;DATEVALUE($B157&amp;"-01"),Observacion_Directa!$B$2:$B$1000,"&lt;="&amp;EOMONTH(DATEVALUE($B157&amp;"-01"),0)))-1)/4*100,"")</f>
        <v/>
      </c>
      <c r="Y157" t="e">
        <f t="shared" ca="1" si="5"/>
        <v>#DIV/0!</v>
      </c>
    </row>
    <row r="158" spans="12:25" x14ac:dyDescent="0.2">
      <c r="L158" t="str">
        <f t="shared" si="4"/>
        <v/>
      </c>
      <c r="M158" t="str">
        <f>IFERROR(AVERAGEIFS(Prod_5dias!$H$2:$H$1000,Prod_5dias!$A$2:$A$1000,$A158,Prod_5dias!$B$2:$B$1000,$B158),"")</f>
        <v/>
      </c>
      <c r="N158" t="str">
        <f>IF(M158="","",MIN(100,100*M158/Parametros!$B$7))</f>
        <v/>
      </c>
      <c r="O158" t="str">
        <f>IF(F158="","",IF(F158=0,100,MIN(100,100*Parametros!$B$3/F158)))</f>
        <v/>
      </c>
      <c r="P158" t="str">
        <f ca="1">IFERROR(((AVERAGEIFS(Observacion_Directa!$E$2:$E$1000,Observacion_Directa!$A$2:$A$1000,$A158,Observacion_Directa!$B$2:$B$1000,"&gt;="&amp;DATEVALUE($B158&amp;"-01"),Observacion_Directa!$B$2:$B$1000,"&lt;="&amp;EOMONTH(DATEVALUE($B158&amp;"-01"),0)))-1)/4*100,"")</f>
        <v/>
      </c>
      <c r="Q158" t="str">
        <f>IF(H158="","",MIN(100,100*H158/Parametros!$B$4))</f>
        <v/>
      </c>
      <c r="R158" t="str">
        <f>IF(I158="","",IF(I158=0,100,MIN(100,100*Parametros!$B$5/I158)))</f>
        <v/>
      </c>
      <c r="S158" t="str">
        <f>IF(J158="","",IF(J158=0,100,MIN(100,100*Parametros!$B$6/J158)))</f>
        <v/>
      </c>
      <c r="T158" t="str">
        <f>IF(L158="","",MIN(100,100*L158/Parametros!$B$7))</f>
        <v/>
      </c>
      <c r="U158" t="str">
        <f>IF(K158="","",MIN(100,100*K158/Parametros!$B$8))</f>
        <v/>
      </c>
      <c r="V158" t="str">
        <f ca="1">IFERROR(((AVERAGEIFS(Documentacion!$C$2:$C$1000,Documentacion!$A$2:$A$1000,$A158,Documentacion!$B$2:$B$1000,"&gt;="&amp;DATEVALUE($B158&amp;"-01"),Documentacion!$B$2:$B$1000,"&lt;="&amp;EOMONTH(DATEVALUE($B158&amp;"-01"),0)))-1)/4*100,"")</f>
        <v/>
      </c>
      <c r="W158" t="str">
        <f ca="1">IFERROR(((AVERAGEIFS(Feedback_360!$D$2:$D$1000,Feedback_360!$A$2:$A$1000,$A158,Feedback_360!$B$2:$B$1000,"&gt;="&amp;DATEVALUE($B158&amp;"-01"),Feedback_360!$B$2:$B$1000,"&lt;="&amp;EOMONTH(DATEVALUE($B158&amp;"-01"),0)))-1)/4*100,"")</f>
        <v/>
      </c>
      <c r="X158" t="str">
        <f ca="1">IFERROR(((AVERAGEIFS(Observacion_Directa!$D$2:$D$1000,Observacion_Directa!$A$2:$A$1000,$A158,Observacion_Directa!$B$2:$B$1000,"&gt;="&amp;DATEVALUE($B158&amp;"-01"),Observacion_Directa!$B$2:$B$1000,"&lt;="&amp;EOMONTH(DATEVALUE($B158&amp;"-01"),0)))-1)/4*100,"")</f>
        <v/>
      </c>
      <c r="Y158" t="e">
        <f t="shared" ca="1" si="5"/>
        <v>#DIV/0!</v>
      </c>
    </row>
    <row r="159" spans="12:25" x14ac:dyDescent="0.2">
      <c r="L159" t="str">
        <f t="shared" si="4"/>
        <v/>
      </c>
      <c r="M159" t="str">
        <f>IFERROR(AVERAGEIFS(Prod_5dias!$H$2:$H$1000,Prod_5dias!$A$2:$A$1000,$A159,Prod_5dias!$B$2:$B$1000,$B159),"")</f>
        <v/>
      </c>
      <c r="N159" t="str">
        <f>IF(M159="","",MIN(100,100*M159/Parametros!$B$7))</f>
        <v/>
      </c>
      <c r="O159" t="str">
        <f>IF(F159="","",IF(F159=0,100,MIN(100,100*Parametros!$B$3/F159)))</f>
        <v/>
      </c>
      <c r="P159" t="str">
        <f ca="1">IFERROR(((AVERAGEIFS(Observacion_Directa!$E$2:$E$1000,Observacion_Directa!$A$2:$A$1000,$A159,Observacion_Directa!$B$2:$B$1000,"&gt;="&amp;DATEVALUE($B159&amp;"-01"),Observacion_Directa!$B$2:$B$1000,"&lt;="&amp;EOMONTH(DATEVALUE($B159&amp;"-01"),0)))-1)/4*100,"")</f>
        <v/>
      </c>
      <c r="Q159" t="str">
        <f>IF(H159="","",MIN(100,100*H159/Parametros!$B$4))</f>
        <v/>
      </c>
      <c r="R159" t="str">
        <f>IF(I159="","",IF(I159=0,100,MIN(100,100*Parametros!$B$5/I159)))</f>
        <v/>
      </c>
      <c r="S159" t="str">
        <f>IF(J159="","",IF(J159=0,100,MIN(100,100*Parametros!$B$6/J159)))</f>
        <v/>
      </c>
      <c r="T159" t="str">
        <f>IF(L159="","",MIN(100,100*L159/Parametros!$B$7))</f>
        <v/>
      </c>
      <c r="U159" t="str">
        <f>IF(K159="","",MIN(100,100*K159/Parametros!$B$8))</f>
        <v/>
      </c>
      <c r="V159" t="str">
        <f ca="1">IFERROR(((AVERAGEIFS(Documentacion!$C$2:$C$1000,Documentacion!$A$2:$A$1000,$A159,Documentacion!$B$2:$B$1000,"&gt;="&amp;DATEVALUE($B159&amp;"-01"),Documentacion!$B$2:$B$1000,"&lt;="&amp;EOMONTH(DATEVALUE($B159&amp;"-01"),0)))-1)/4*100,"")</f>
        <v/>
      </c>
      <c r="W159" t="str">
        <f ca="1">IFERROR(((AVERAGEIFS(Feedback_360!$D$2:$D$1000,Feedback_360!$A$2:$A$1000,$A159,Feedback_360!$B$2:$B$1000,"&gt;="&amp;DATEVALUE($B159&amp;"-01"),Feedback_360!$B$2:$B$1000,"&lt;="&amp;EOMONTH(DATEVALUE($B159&amp;"-01"),0)))-1)/4*100,"")</f>
        <v/>
      </c>
      <c r="X159" t="str">
        <f ca="1">IFERROR(((AVERAGEIFS(Observacion_Directa!$D$2:$D$1000,Observacion_Directa!$A$2:$A$1000,$A159,Observacion_Directa!$B$2:$B$1000,"&gt;="&amp;DATEVALUE($B159&amp;"-01"),Observacion_Directa!$B$2:$B$1000,"&lt;="&amp;EOMONTH(DATEVALUE($B159&amp;"-01"),0)))-1)/4*100,"")</f>
        <v/>
      </c>
      <c r="Y159" t="e">
        <f t="shared" ca="1" si="5"/>
        <v>#DIV/0!</v>
      </c>
    </row>
    <row r="160" spans="12:25" x14ac:dyDescent="0.2">
      <c r="L160" t="str">
        <f t="shared" si="4"/>
        <v/>
      </c>
      <c r="M160" t="str">
        <f>IFERROR(AVERAGEIFS(Prod_5dias!$H$2:$H$1000,Prod_5dias!$A$2:$A$1000,$A160,Prod_5dias!$B$2:$B$1000,$B160),"")</f>
        <v/>
      </c>
      <c r="N160" t="str">
        <f>IF(M160="","",MIN(100,100*M160/Parametros!$B$7))</f>
        <v/>
      </c>
      <c r="O160" t="str">
        <f>IF(F160="","",IF(F160=0,100,MIN(100,100*Parametros!$B$3/F160)))</f>
        <v/>
      </c>
      <c r="P160" t="str">
        <f ca="1">IFERROR(((AVERAGEIFS(Observacion_Directa!$E$2:$E$1000,Observacion_Directa!$A$2:$A$1000,$A160,Observacion_Directa!$B$2:$B$1000,"&gt;="&amp;DATEVALUE($B160&amp;"-01"),Observacion_Directa!$B$2:$B$1000,"&lt;="&amp;EOMONTH(DATEVALUE($B160&amp;"-01"),0)))-1)/4*100,"")</f>
        <v/>
      </c>
      <c r="Q160" t="str">
        <f>IF(H160="","",MIN(100,100*H160/Parametros!$B$4))</f>
        <v/>
      </c>
      <c r="R160" t="str">
        <f>IF(I160="","",IF(I160=0,100,MIN(100,100*Parametros!$B$5/I160)))</f>
        <v/>
      </c>
      <c r="S160" t="str">
        <f>IF(J160="","",IF(J160=0,100,MIN(100,100*Parametros!$B$6/J160)))</f>
        <v/>
      </c>
      <c r="T160" t="str">
        <f>IF(L160="","",MIN(100,100*L160/Parametros!$B$7))</f>
        <v/>
      </c>
      <c r="U160" t="str">
        <f>IF(K160="","",MIN(100,100*K160/Parametros!$B$8))</f>
        <v/>
      </c>
      <c r="V160" t="str">
        <f ca="1">IFERROR(((AVERAGEIFS(Documentacion!$C$2:$C$1000,Documentacion!$A$2:$A$1000,$A160,Documentacion!$B$2:$B$1000,"&gt;="&amp;DATEVALUE($B160&amp;"-01"),Documentacion!$B$2:$B$1000,"&lt;="&amp;EOMONTH(DATEVALUE($B160&amp;"-01"),0)))-1)/4*100,"")</f>
        <v/>
      </c>
      <c r="W160" t="str">
        <f ca="1">IFERROR(((AVERAGEIFS(Feedback_360!$D$2:$D$1000,Feedback_360!$A$2:$A$1000,$A160,Feedback_360!$B$2:$B$1000,"&gt;="&amp;DATEVALUE($B160&amp;"-01"),Feedback_360!$B$2:$B$1000,"&lt;="&amp;EOMONTH(DATEVALUE($B160&amp;"-01"),0)))-1)/4*100,"")</f>
        <v/>
      </c>
      <c r="X160" t="str">
        <f ca="1">IFERROR(((AVERAGEIFS(Observacion_Directa!$D$2:$D$1000,Observacion_Directa!$A$2:$A$1000,$A160,Observacion_Directa!$B$2:$B$1000,"&gt;="&amp;DATEVALUE($B160&amp;"-01"),Observacion_Directa!$B$2:$B$1000,"&lt;="&amp;EOMONTH(DATEVALUE($B160&amp;"-01"),0)))-1)/4*100,"")</f>
        <v/>
      </c>
      <c r="Y160" t="e">
        <f t="shared" ca="1" si="5"/>
        <v>#DIV/0!</v>
      </c>
    </row>
    <row r="161" spans="12:25" x14ac:dyDescent="0.2">
      <c r="L161" t="str">
        <f t="shared" si="4"/>
        <v/>
      </c>
      <c r="M161" t="str">
        <f>IFERROR(AVERAGEIFS(Prod_5dias!$H$2:$H$1000,Prod_5dias!$A$2:$A$1000,$A161,Prod_5dias!$B$2:$B$1000,$B161),"")</f>
        <v/>
      </c>
      <c r="N161" t="str">
        <f>IF(M161="","",MIN(100,100*M161/Parametros!$B$7))</f>
        <v/>
      </c>
      <c r="O161" t="str">
        <f>IF(F161="","",IF(F161=0,100,MIN(100,100*Parametros!$B$3/F161)))</f>
        <v/>
      </c>
      <c r="P161" t="str">
        <f ca="1">IFERROR(((AVERAGEIFS(Observacion_Directa!$E$2:$E$1000,Observacion_Directa!$A$2:$A$1000,$A161,Observacion_Directa!$B$2:$B$1000,"&gt;="&amp;DATEVALUE($B161&amp;"-01"),Observacion_Directa!$B$2:$B$1000,"&lt;="&amp;EOMONTH(DATEVALUE($B161&amp;"-01"),0)))-1)/4*100,"")</f>
        <v/>
      </c>
      <c r="Q161" t="str">
        <f>IF(H161="","",MIN(100,100*H161/Parametros!$B$4))</f>
        <v/>
      </c>
      <c r="R161" t="str">
        <f>IF(I161="","",IF(I161=0,100,MIN(100,100*Parametros!$B$5/I161)))</f>
        <v/>
      </c>
      <c r="S161" t="str">
        <f>IF(J161="","",IF(J161=0,100,MIN(100,100*Parametros!$B$6/J161)))</f>
        <v/>
      </c>
      <c r="T161" t="str">
        <f>IF(L161="","",MIN(100,100*L161/Parametros!$B$7))</f>
        <v/>
      </c>
      <c r="U161" t="str">
        <f>IF(K161="","",MIN(100,100*K161/Parametros!$B$8))</f>
        <v/>
      </c>
      <c r="V161" t="str">
        <f ca="1">IFERROR(((AVERAGEIFS(Documentacion!$C$2:$C$1000,Documentacion!$A$2:$A$1000,$A161,Documentacion!$B$2:$B$1000,"&gt;="&amp;DATEVALUE($B161&amp;"-01"),Documentacion!$B$2:$B$1000,"&lt;="&amp;EOMONTH(DATEVALUE($B161&amp;"-01"),0)))-1)/4*100,"")</f>
        <v/>
      </c>
      <c r="W161" t="str">
        <f ca="1">IFERROR(((AVERAGEIFS(Feedback_360!$D$2:$D$1000,Feedback_360!$A$2:$A$1000,$A161,Feedback_360!$B$2:$B$1000,"&gt;="&amp;DATEVALUE($B161&amp;"-01"),Feedback_360!$B$2:$B$1000,"&lt;="&amp;EOMONTH(DATEVALUE($B161&amp;"-01"),0)))-1)/4*100,"")</f>
        <v/>
      </c>
      <c r="X161" t="str">
        <f ca="1">IFERROR(((AVERAGEIFS(Observacion_Directa!$D$2:$D$1000,Observacion_Directa!$A$2:$A$1000,$A161,Observacion_Directa!$B$2:$B$1000,"&gt;="&amp;DATEVALUE($B161&amp;"-01"),Observacion_Directa!$B$2:$B$1000,"&lt;="&amp;EOMONTH(DATEVALUE($B161&amp;"-01"),0)))-1)/4*100,"")</f>
        <v/>
      </c>
      <c r="Y161" t="e">
        <f t="shared" ca="1" si="5"/>
        <v>#DIV/0!</v>
      </c>
    </row>
    <row r="162" spans="12:25" x14ac:dyDescent="0.2">
      <c r="L162" t="str">
        <f t="shared" si="4"/>
        <v/>
      </c>
      <c r="M162" t="str">
        <f>IFERROR(AVERAGEIFS(Prod_5dias!$H$2:$H$1000,Prod_5dias!$A$2:$A$1000,$A162,Prod_5dias!$B$2:$B$1000,$B162),"")</f>
        <v/>
      </c>
      <c r="N162" t="str">
        <f>IF(M162="","",MIN(100,100*M162/Parametros!$B$7))</f>
        <v/>
      </c>
      <c r="O162" t="str">
        <f>IF(F162="","",IF(F162=0,100,MIN(100,100*Parametros!$B$3/F162)))</f>
        <v/>
      </c>
      <c r="P162" t="str">
        <f ca="1">IFERROR(((AVERAGEIFS(Observacion_Directa!$E$2:$E$1000,Observacion_Directa!$A$2:$A$1000,$A162,Observacion_Directa!$B$2:$B$1000,"&gt;="&amp;DATEVALUE($B162&amp;"-01"),Observacion_Directa!$B$2:$B$1000,"&lt;="&amp;EOMONTH(DATEVALUE($B162&amp;"-01"),0)))-1)/4*100,"")</f>
        <v/>
      </c>
      <c r="Q162" t="str">
        <f>IF(H162="","",MIN(100,100*H162/Parametros!$B$4))</f>
        <v/>
      </c>
      <c r="R162" t="str">
        <f>IF(I162="","",IF(I162=0,100,MIN(100,100*Parametros!$B$5/I162)))</f>
        <v/>
      </c>
      <c r="S162" t="str">
        <f>IF(J162="","",IF(J162=0,100,MIN(100,100*Parametros!$B$6/J162)))</f>
        <v/>
      </c>
      <c r="T162" t="str">
        <f>IF(L162="","",MIN(100,100*L162/Parametros!$B$7))</f>
        <v/>
      </c>
      <c r="U162" t="str">
        <f>IF(K162="","",MIN(100,100*K162/Parametros!$B$8))</f>
        <v/>
      </c>
      <c r="V162" t="str">
        <f ca="1">IFERROR(((AVERAGEIFS(Documentacion!$C$2:$C$1000,Documentacion!$A$2:$A$1000,$A162,Documentacion!$B$2:$B$1000,"&gt;="&amp;DATEVALUE($B162&amp;"-01"),Documentacion!$B$2:$B$1000,"&lt;="&amp;EOMONTH(DATEVALUE($B162&amp;"-01"),0)))-1)/4*100,"")</f>
        <v/>
      </c>
      <c r="W162" t="str">
        <f ca="1">IFERROR(((AVERAGEIFS(Feedback_360!$D$2:$D$1000,Feedback_360!$A$2:$A$1000,$A162,Feedback_360!$B$2:$B$1000,"&gt;="&amp;DATEVALUE($B162&amp;"-01"),Feedback_360!$B$2:$B$1000,"&lt;="&amp;EOMONTH(DATEVALUE($B162&amp;"-01"),0)))-1)/4*100,"")</f>
        <v/>
      </c>
      <c r="X162" t="str">
        <f ca="1">IFERROR(((AVERAGEIFS(Observacion_Directa!$D$2:$D$1000,Observacion_Directa!$A$2:$A$1000,$A162,Observacion_Directa!$B$2:$B$1000,"&gt;="&amp;DATEVALUE($B162&amp;"-01"),Observacion_Directa!$B$2:$B$1000,"&lt;="&amp;EOMONTH(DATEVALUE($B162&amp;"-01"),0)))-1)/4*100,"")</f>
        <v/>
      </c>
      <c r="Y162" t="e">
        <f t="shared" ca="1" si="5"/>
        <v>#DIV/0!</v>
      </c>
    </row>
    <row r="163" spans="12:25" x14ac:dyDescent="0.2">
      <c r="L163" t="str">
        <f t="shared" si="4"/>
        <v/>
      </c>
      <c r="M163" t="str">
        <f>IFERROR(AVERAGEIFS(Prod_5dias!$H$2:$H$1000,Prod_5dias!$A$2:$A$1000,$A163,Prod_5dias!$B$2:$B$1000,$B163),"")</f>
        <v/>
      </c>
      <c r="N163" t="str">
        <f>IF(M163="","",MIN(100,100*M163/Parametros!$B$7))</f>
        <v/>
      </c>
      <c r="O163" t="str">
        <f>IF(F163="","",IF(F163=0,100,MIN(100,100*Parametros!$B$3/F163)))</f>
        <v/>
      </c>
      <c r="P163" t="str">
        <f ca="1">IFERROR(((AVERAGEIFS(Observacion_Directa!$E$2:$E$1000,Observacion_Directa!$A$2:$A$1000,$A163,Observacion_Directa!$B$2:$B$1000,"&gt;="&amp;DATEVALUE($B163&amp;"-01"),Observacion_Directa!$B$2:$B$1000,"&lt;="&amp;EOMONTH(DATEVALUE($B163&amp;"-01"),0)))-1)/4*100,"")</f>
        <v/>
      </c>
      <c r="Q163" t="str">
        <f>IF(H163="","",MIN(100,100*H163/Parametros!$B$4))</f>
        <v/>
      </c>
      <c r="R163" t="str">
        <f>IF(I163="","",IF(I163=0,100,MIN(100,100*Parametros!$B$5/I163)))</f>
        <v/>
      </c>
      <c r="S163" t="str">
        <f>IF(J163="","",IF(J163=0,100,MIN(100,100*Parametros!$B$6/J163)))</f>
        <v/>
      </c>
      <c r="T163" t="str">
        <f>IF(L163="","",MIN(100,100*L163/Parametros!$B$7))</f>
        <v/>
      </c>
      <c r="U163" t="str">
        <f>IF(K163="","",MIN(100,100*K163/Parametros!$B$8))</f>
        <v/>
      </c>
      <c r="V163" t="str">
        <f ca="1">IFERROR(((AVERAGEIFS(Documentacion!$C$2:$C$1000,Documentacion!$A$2:$A$1000,$A163,Documentacion!$B$2:$B$1000,"&gt;="&amp;DATEVALUE($B163&amp;"-01"),Documentacion!$B$2:$B$1000,"&lt;="&amp;EOMONTH(DATEVALUE($B163&amp;"-01"),0)))-1)/4*100,"")</f>
        <v/>
      </c>
      <c r="W163" t="str">
        <f ca="1">IFERROR(((AVERAGEIFS(Feedback_360!$D$2:$D$1000,Feedback_360!$A$2:$A$1000,$A163,Feedback_360!$B$2:$B$1000,"&gt;="&amp;DATEVALUE($B163&amp;"-01"),Feedback_360!$B$2:$B$1000,"&lt;="&amp;EOMONTH(DATEVALUE($B163&amp;"-01"),0)))-1)/4*100,"")</f>
        <v/>
      </c>
      <c r="X163" t="str">
        <f ca="1">IFERROR(((AVERAGEIFS(Observacion_Directa!$D$2:$D$1000,Observacion_Directa!$A$2:$A$1000,$A163,Observacion_Directa!$B$2:$B$1000,"&gt;="&amp;DATEVALUE($B163&amp;"-01"),Observacion_Directa!$B$2:$B$1000,"&lt;="&amp;EOMONTH(DATEVALUE($B163&amp;"-01"),0)))-1)/4*100,"")</f>
        <v/>
      </c>
      <c r="Y163" t="e">
        <f t="shared" ca="1" si="5"/>
        <v>#DIV/0!</v>
      </c>
    </row>
    <row r="164" spans="12:25" x14ac:dyDescent="0.2">
      <c r="L164" t="str">
        <f t="shared" si="4"/>
        <v/>
      </c>
      <c r="M164" t="str">
        <f>IFERROR(AVERAGEIFS(Prod_5dias!$H$2:$H$1000,Prod_5dias!$A$2:$A$1000,$A164,Prod_5dias!$B$2:$B$1000,$B164),"")</f>
        <v/>
      </c>
      <c r="N164" t="str">
        <f>IF(M164="","",MIN(100,100*M164/Parametros!$B$7))</f>
        <v/>
      </c>
      <c r="O164" t="str">
        <f>IF(F164="","",IF(F164=0,100,MIN(100,100*Parametros!$B$3/F164)))</f>
        <v/>
      </c>
      <c r="P164" t="str">
        <f ca="1">IFERROR(((AVERAGEIFS(Observacion_Directa!$E$2:$E$1000,Observacion_Directa!$A$2:$A$1000,$A164,Observacion_Directa!$B$2:$B$1000,"&gt;="&amp;DATEVALUE($B164&amp;"-01"),Observacion_Directa!$B$2:$B$1000,"&lt;="&amp;EOMONTH(DATEVALUE($B164&amp;"-01"),0)))-1)/4*100,"")</f>
        <v/>
      </c>
      <c r="Q164" t="str">
        <f>IF(H164="","",MIN(100,100*H164/Parametros!$B$4))</f>
        <v/>
      </c>
      <c r="R164" t="str">
        <f>IF(I164="","",IF(I164=0,100,MIN(100,100*Parametros!$B$5/I164)))</f>
        <v/>
      </c>
      <c r="S164" t="str">
        <f>IF(J164="","",IF(J164=0,100,MIN(100,100*Parametros!$B$6/J164)))</f>
        <v/>
      </c>
      <c r="T164" t="str">
        <f>IF(L164="","",MIN(100,100*L164/Parametros!$B$7))</f>
        <v/>
      </c>
      <c r="U164" t="str">
        <f>IF(K164="","",MIN(100,100*K164/Parametros!$B$8))</f>
        <v/>
      </c>
      <c r="V164" t="str">
        <f ca="1">IFERROR(((AVERAGEIFS(Documentacion!$C$2:$C$1000,Documentacion!$A$2:$A$1000,$A164,Documentacion!$B$2:$B$1000,"&gt;="&amp;DATEVALUE($B164&amp;"-01"),Documentacion!$B$2:$B$1000,"&lt;="&amp;EOMONTH(DATEVALUE($B164&amp;"-01"),0)))-1)/4*100,"")</f>
        <v/>
      </c>
      <c r="W164" t="str">
        <f ca="1">IFERROR(((AVERAGEIFS(Feedback_360!$D$2:$D$1000,Feedback_360!$A$2:$A$1000,$A164,Feedback_360!$B$2:$B$1000,"&gt;="&amp;DATEVALUE($B164&amp;"-01"),Feedback_360!$B$2:$B$1000,"&lt;="&amp;EOMONTH(DATEVALUE($B164&amp;"-01"),0)))-1)/4*100,"")</f>
        <v/>
      </c>
      <c r="X164" t="str">
        <f ca="1">IFERROR(((AVERAGEIFS(Observacion_Directa!$D$2:$D$1000,Observacion_Directa!$A$2:$A$1000,$A164,Observacion_Directa!$B$2:$B$1000,"&gt;="&amp;DATEVALUE($B164&amp;"-01"),Observacion_Directa!$B$2:$B$1000,"&lt;="&amp;EOMONTH(DATEVALUE($B164&amp;"-01"),0)))-1)/4*100,"")</f>
        <v/>
      </c>
      <c r="Y164" t="e">
        <f t="shared" ca="1" si="5"/>
        <v>#DIV/0!</v>
      </c>
    </row>
    <row r="165" spans="12:25" x14ac:dyDescent="0.2">
      <c r="L165" t="str">
        <f t="shared" si="4"/>
        <v/>
      </c>
      <c r="M165" t="str">
        <f>IFERROR(AVERAGEIFS(Prod_5dias!$H$2:$H$1000,Prod_5dias!$A$2:$A$1000,$A165,Prod_5dias!$B$2:$B$1000,$B165),"")</f>
        <v/>
      </c>
      <c r="N165" t="str">
        <f>IF(M165="","",MIN(100,100*M165/Parametros!$B$7))</f>
        <v/>
      </c>
      <c r="O165" t="str">
        <f>IF(F165="","",IF(F165=0,100,MIN(100,100*Parametros!$B$3/F165)))</f>
        <v/>
      </c>
      <c r="P165" t="str">
        <f ca="1">IFERROR(((AVERAGEIFS(Observacion_Directa!$E$2:$E$1000,Observacion_Directa!$A$2:$A$1000,$A165,Observacion_Directa!$B$2:$B$1000,"&gt;="&amp;DATEVALUE($B165&amp;"-01"),Observacion_Directa!$B$2:$B$1000,"&lt;="&amp;EOMONTH(DATEVALUE($B165&amp;"-01"),0)))-1)/4*100,"")</f>
        <v/>
      </c>
      <c r="Q165" t="str">
        <f>IF(H165="","",MIN(100,100*H165/Parametros!$B$4))</f>
        <v/>
      </c>
      <c r="R165" t="str">
        <f>IF(I165="","",IF(I165=0,100,MIN(100,100*Parametros!$B$5/I165)))</f>
        <v/>
      </c>
      <c r="S165" t="str">
        <f>IF(J165="","",IF(J165=0,100,MIN(100,100*Parametros!$B$6/J165)))</f>
        <v/>
      </c>
      <c r="T165" t="str">
        <f>IF(L165="","",MIN(100,100*L165/Parametros!$B$7))</f>
        <v/>
      </c>
      <c r="U165" t="str">
        <f>IF(K165="","",MIN(100,100*K165/Parametros!$B$8))</f>
        <v/>
      </c>
      <c r="V165" t="str">
        <f ca="1">IFERROR(((AVERAGEIFS(Documentacion!$C$2:$C$1000,Documentacion!$A$2:$A$1000,$A165,Documentacion!$B$2:$B$1000,"&gt;="&amp;DATEVALUE($B165&amp;"-01"),Documentacion!$B$2:$B$1000,"&lt;="&amp;EOMONTH(DATEVALUE($B165&amp;"-01"),0)))-1)/4*100,"")</f>
        <v/>
      </c>
      <c r="W165" t="str">
        <f ca="1">IFERROR(((AVERAGEIFS(Feedback_360!$D$2:$D$1000,Feedback_360!$A$2:$A$1000,$A165,Feedback_360!$B$2:$B$1000,"&gt;="&amp;DATEVALUE($B165&amp;"-01"),Feedback_360!$B$2:$B$1000,"&lt;="&amp;EOMONTH(DATEVALUE($B165&amp;"-01"),0)))-1)/4*100,"")</f>
        <v/>
      </c>
      <c r="X165" t="str">
        <f ca="1">IFERROR(((AVERAGEIFS(Observacion_Directa!$D$2:$D$1000,Observacion_Directa!$A$2:$A$1000,$A165,Observacion_Directa!$B$2:$B$1000,"&gt;="&amp;DATEVALUE($B165&amp;"-01"),Observacion_Directa!$B$2:$B$1000,"&lt;="&amp;EOMONTH(DATEVALUE($B165&amp;"-01"),0)))-1)/4*100,"")</f>
        <v/>
      </c>
      <c r="Y165" t="e">
        <f t="shared" ca="1" si="5"/>
        <v>#DIV/0!</v>
      </c>
    </row>
    <row r="166" spans="12:25" x14ac:dyDescent="0.2">
      <c r="L166" t="str">
        <f t="shared" si="4"/>
        <v/>
      </c>
      <c r="M166" t="str">
        <f>IFERROR(AVERAGEIFS(Prod_5dias!$H$2:$H$1000,Prod_5dias!$A$2:$A$1000,$A166,Prod_5dias!$B$2:$B$1000,$B166),"")</f>
        <v/>
      </c>
      <c r="N166" t="str">
        <f>IF(M166="","",MIN(100,100*M166/Parametros!$B$7))</f>
        <v/>
      </c>
      <c r="O166" t="str">
        <f>IF(F166="","",IF(F166=0,100,MIN(100,100*Parametros!$B$3/F166)))</f>
        <v/>
      </c>
      <c r="P166" t="str">
        <f ca="1">IFERROR(((AVERAGEIFS(Observacion_Directa!$E$2:$E$1000,Observacion_Directa!$A$2:$A$1000,$A166,Observacion_Directa!$B$2:$B$1000,"&gt;="&amp;DATEVALUE($B166&amp;"-01"),Observacion_Directa!$B$2:$B$1000,"&lt;="&amp;EOMONTH(DATEVALUE($B166&amp;"-01"),0)))-1)/4*100,"")</f>
        <v/>
      </c>
      <c r="Q166" t="str">
        <f>IF(H166="","",MIN(100,100*H166/Parametros!$B$4))</f>
        <v/>
      </c>
      <c r="R166" t="str">
        <f>IF(I166="","",IF(I166=0,100,MIN(100,100*Parametros!$B$5/I166)))</f>
        <v/>
      </c>
      <c r="S166" t="str">
        <f>IF(J166="","",IF(J166=0,100,MIN(100,100*Parametros!$B$6/J166)))</f>
        <v/>
      </c>
      <c r="T166" t="str">
        <f>IF(L166="","",MIN(100,100*L166/Parametros!$B$7))</f>
        <v/>
      </c>
      <c r="U166" t="str">
        <f>IF(K166="","",MIN(100,100*K166/Parametros!$B$8))</f>
        <v/>
      </c>
      <c r="V166" t="str">
        <f ca="1">IFERROR(((AVERAGEIFS(Documentacion!$C$2:$C$1000,Documentacion!$A$2:$A$1000,$A166,Documentacion!$B$2:$B$1000,"&gt;="&amp;DATEVALUE($B166&amp;"-01"),Documentacion!$B$2:$B$1000,"&lt;="&amp;EOMONTH(DATEVALUE($B166&amp;"-01"),0)))-1)/4*100,"")</f>
        <v/>
      </c>
      <c r="W166" t="str">
        <f ca="1">IFERROR(((AVERAGEIFS(Feedback_360!$D$2:$D$1000,Feedback_360!$A$2:$A$1000,$A166,Feedback_360!$B$2:$B$1000,"&gt;="&amp;DATEVALUE($B166&amp;"-01"),Feedback_360!$B$2:$B$1000,"&lt;="&amp;EOMONTH(DATEVALUE($B166&amp;"-01"),0)))-1)/4*100,"")</f>
        <v/>
      </c>
      <c r="X166" t="str">
        <f ca="1">IFERROR(((AVERAGEIFS(Observacion_Directa!$D$2:$D$1000,Observacion_Directa!$A$2:$A$1000,$A166,Observacion_Directa!$B$2:$B$1000,"&gt;="&amp;DATEVALUE($B166&amp;"-01"),Observacion_Directa!$B$2:$B$1000,"&lt;="&amp;EOMONTH(DATEVALUE($B166&amp;"-01"),0)))-1)/4*100,"")</f>
        <v/>
      </c>
      <c r="Y166" t="e">
        <f t="shared" ca="1" si="5"/>
        <v>#DIV/0!</v>
      </c>
    </row>
    <row r="167" spans="12:25" x14ac:dyDescent="0.2">
      <c r="L167" t="str">
        <f t="shared" si="4"/>
        <v/>
      </c>
      <c r="M167" t="str">
        <f>IFERROR(AVERAGEIFS(Prod_5dias!$H$2:$H$1000,Prod_5dias!$A$2:$A$1000,$A167,Prod_5dias!$B$2:$B$1000,$B167),"")</f>
        <v/>
      </c>
      <c r="N167" t="str">
        <f>IF(M167="","",MIN(100,100*M167/Parametros!$B$7))</f>
        <v/>
      </c>
      <c r="O167" t="str">
        <f>IF(F167="","",IF(F167=0,100,MIN(100,100*Parametros!$B$3/F167)))</f>
        <v/>
      </c>
      <c r="P167" t="str">
        <f ca="1">IFERROR(((AVERAGEIFS(Observacion_Directa!$E$2:$E$1000,Observacion_Directa!$A$2:$A$1000,$A167,Observacion_Directa!$B$2:$B$1000,"&gt;="&amp;DATEVALUE($B167&amp;"-01"),Observacion_Directa!$B$2:$B$1000,"&lt;="&amp;EOMONTH(DATEVALUE($B167&amp;"-01"),0)))-1)/4*100,"")</f>
        <v/>
      </c>
      <c r="Q167" t="str">
        <f>IF(H167="","",MIN(100,100*H167/Parametros!$B$4))</f>
        <v/>
      </c>
      <c r="R167" t="str">
        <f>IF(I167="","",IF(I167=0,100,MIN(100,100*Parametros!$B$5/I167)))</f>
        <v/>
      </c>
      <c r="S167" t="str">
        <f>IF(J167="","",IF(J167=0,100,MIN(100,100*Parametros!$B$6/J167)))</f>
        <v/>
      </c>
      <c r="T167" t="str">
        <f>IF(L167="","",MIN(100,100*L167/Parametros!$B$7))</f>
        <v/>
      </c>
      <c r="U167" t="str">
        <f>IF(K167="","",MIN(100,100*K167/Parametros!$B$8))</f>
        <v/>
      </c>
      <c r="V167" t="str">
        <f ca="1">IFERROR(((AVERAGEIFS(Documentacion!$C$2:$C$1000,Documentacion!$A$2:$A$1000,$A167,Documentacion!$B$2:$B$1000,"&gt;="&amp;DATEVALUE($B167&amp;"-01"),Documentacion!$B$2:$B$1000,"&lt;="&amp;EOMONTH(DATEVALUE($B167&amp;"-01"),0)))-1)/4*100,"")</f>
        <v/>
      </c>
      <c r="W167" t="str">
        <f ca="1">IFERROR(((AVERAGEIFS(Feedback_360!$D$2:$D$1000,Feedback_360!$A$2:$A$1000,$A167,Feedback_360!$B$2:$B$1000,"&gt;="&amp;DATEVALUE($B167&amp;"-01"),Feedback_360!$B$2:$B$1000,"&lt;="&amp;EOMONTH(DATEVALUE($B167&amp;"-01"),0)))-1)/4*100,"")</f>
        <v/>
      </c>
      <c r="X167" t="str">
        <f ca="1">IFERROR(((AVERAGEIFS(Observacion_Directa!$D$2:$D$1000,Observacion_Directa!$A$2:$A$1000,$A167,Observacion_Directa!$B$2:$B$1000,"&gt;="&amp;DATEVALUE($B167&amp;"-01"),Observacion_Directa!$B$2:$B$1000,"&lt;="&amp;EOMONTH(DATEVALUE($B167&amp;"-01"),0)))-1)/4*100,"")</f>
        <v/>
      </c>
      <c r="Y167" t="e">
        <f t="shared" ca="1" si="5"/>
        <v>#DIV/0!</v>
      </c>
    </row>
    <row r="168" spans="12:25" x14ac:dyDescent="0.2">
      <c r="L168" t="str">
        <f t="shared" si="4"/>
        <v/>
      </c>
      <c r="M168" t="str">
        <f>IFERROR(AVERAGEIFS(Prod_5dias!$H$2:$H$1000,Prod_5dias!$A$2:$A$1000,$A168,Prod_5dias!$B$2:$B$1000,$B168),"")</f>
        <v/>
      </c>
      <c r="N168" t="str">
        <f>IF(M168="","",MIN(100,100*M168/Parametros!$B$7))</f>
        <v/>
      </c>
      <c r="O168" t="str">
        <f>IF(F168="","",IF(F168=0,100,MIN(100,100*Parametros!$B$3/F168)))</f>
        <v/>
      </c>
      <c r="P168" t="str">
        <f ca="1">IFERROR(((AVERAGEIFS(Observacion_Directa!$E$2:$E$1000,Observacion_Directa!$A$2:$A$1000,$A168,Observacion_Directa!$B$2:$B$1000,"&gt;="&amp;DATEVALUE($B168&amp;"-01"),Observacion_Directa!$B$2:$B$1000,"&lt;="&amp;EOMONTH(DATEVALUE($B168&amp;"-01"),0)))-1)/4*100,"")</f>
        <v/>
      </c>
      <c r="Q168" t="str">
        <f>IF(H168="","",MIN(100,100*H168/Parametros!$B$4))</f>
        <v/>
      </c>
      <c r="R168" t="str">
        <f>IF(I168="","",IF(I168=0,100,MIN(100,100*Parametros!$B$5/I168)))</f>
        <v/>
      </c>
      <c r="S168" t="str">
        <f>IF(J168="","",IF(J168=0,100,MIN(100,100*Parametros!$B$6/J168)))</f>
        <v/>
      </c>
      <c r="T168" t="str">
        <f>IF(L168="","",MIN(100,100*L168/Parametros!$B$7))</f>
        <v/>
      </c>
      <c r="U168" t="str">
        <f>IF(K168="","",MIN(100,100*K168/Parametros!$B$8))</f>
        <v/>
      </c>
      <c r="V168" t="str">
        <f ca="1">IFERROR(((AVERAGEIFS(Documentacion!$C$2:$C$1000,Documentacion!$A$2:$A$1000,$A168,Documentacion!$B$2:$B$1000,"&gt;="&amp;DATEVALUE($B168&amp;"-01"),Documentacion!$B$2:$B$1000,"&lt;="&amp;EOMONTH(DATEVALUE($B168&amp;"-01"),0)))-1)/4*100,"")</f>
        <v/>
      </c>
      <c r="W168" t="str">
        <f ca="1">IFERROR(((AVERAGEIFS(Feedback_360!$D$2:$D$1000,Feedback_360!$A$2:$A$1000,$A168,Feedback_360!$B$2:$B$1000,"&gt;="&amp;DATEVALUE($B168&amp;"-01"),Feedback_360!$B$2:$B$1000,"&lt;="&amp;EOMONTH(DATEVALUE($B168&amp;"-01"),0)))-1)/4*100,"")</f>
        <v/>
      </c>
      <c r="X168" t="str">
        <f ca="1">IFERROR(((AVERAGEIFS(Observacion_Directa!$D$2:$D$1000,Observacion_Directa!$A$2:$A$1000,$A168,Observacion_Directa!$B$2:$B$1000,"&gt;="&amp;DATEVALUE($B168&amp;"-01"),Observacion_Directa!$B$2:$B$1000,"&lt;="&amp;EOMONTH(DATEVALUE($B168&amp;"-01"),0)))-1)/4*100,"")</f>
        <v/>
      </c>
      <c r="Y168" t="e">
        <f t="shared" ca="1" si="5"/>
        <v>#DIV/0!</v>
      </c>
    </row>
    <row r="169" spans="12:25" x14ac:dyDescent="0.2">
      <c r="L169" t="str">
        <f t="shared" si="4"/>
        <v/>
      </c>
      <c r="M169" t="str">
        <f>IFERROR(AVERAGEIFS(Prod_5dias!$H$2:$H$1000,Prod_5dias!$A$2:$A$1000,$A169,Prod_5dias!$B$2:$B$1000,$B169),"")</f>
        <v/>
      </c>
      <c r="N169" t="str">
        <f>IF(M169="","",MIN(100,100*M169/Parametros!$B$7))</f>
        <v/>
      </c>
      <c r="O169" t="str">
        <f>IF(F169="","",IF(F169=0,100,MIN(100,100*Parametros!$B$3/F169)))</f>
        <v/>
      </c>
      <c r="P169" t="str">
        <f ca="1">IFERROR(((AVERAGEIFS(Observacion_Directa!$E$2:$E$1000,Observacion_Directa!$A$2:$A$1000,$A169,Observacion_Directa!$B$2:$B$1000,"&gt;="&amp;DATEVALUE($B169&amp;"-01"),Observacion_Directa!$B$2:$B$1000,"&lt;="&amp;EOMONTH(DATEVALUE($B169&amp;"-01"),0)))-1)/4*100,"")</f>
        <v/>
      </c>
      <c r="Q169" t="str">
        <f>IF(H169="","",MIN(100,100*H169/Parametros!$B$4))</f>
        <v/>
      </c>
      <c r="R169" t="str">
        <f>IF(I169="","",IF(I169=0,100,MIN(100,100*Parametros!$B$5/I169)))</f>
        <v/>
      </c>
      <c r="S169" t="str">
        <f>IF(J169="","",IF(J169=0,100,MIN(100,100*Parametros!$B$6/J169)))</f>
        <v/>
      </c>
      <c r="T169" t="str">
        <f>IF(L169="","",MIN(100,100*L169/Parametros!$B$7))</f>
        <v/>
      </c>
      <c r="U169" t="str">
        <f>IF(K169="","",MIN(100,100*K169/Parametros!$B$8))</f>
        <v/>
      </c>
      <c r="V169" t="str">
        <f ca="1">IFERROR(((AVERAGEIFS(Documentacion!$C$2:$C$1000,Documentacion!$A$2:$A$1000,$A169,Documentacion!$B$2:$B$1000,"&gt;="&amp;DATEVALUE($B169&amp;"-01"),Documentacion!$B$2:$B$1000,"&lt;="&amp;EOMONTH(DATEVALUE($B169&amp;"-01"),0)))-1)/4*100,"")</f>
        <v/>
      </c>
      <c r="W169" t="str">
        <f ca="1">IFERROR(((AVERAGEIFS(Feedback_360!$D$2:$D$1000,Feedback_360!$A$2:$A$1000,$A169,Feedback_360!$B$2:$B$1000,"&gt;="&amp;DATEVALUE($B169&amp;"-01"),Feedback_360!$B$2:$B$1000,"&lt;="&amp;EOMONTH(DATEVALUE($B169&amp;"-01"),0)))-1)/4*100,"")</f>
        <v/>
      </c>
      <c r="X169" t="str">
        <f ca="1">IFERROR(((AVERAGEIFS(Observacion_Directa!$D$2:$D$1000,Observacion_Directa!$A$2:$A$1000,$A169,Observacion_Directa!$B$2:$B$1000,"&gt;="&amp;DATEVALUE($B169&amp;"-01"),Observacion_Directa!$B$2:$B$1000,"&lt;="&amp;EOMONTH(DATEVALUE($B169&amp;"-01"),0)))-1)/4*100,"")</f>
        <v/>
      </c>
      <c r="Y169" t="e">
        <f t="shared" ca="1" si="5"/>
        <v>#DIV/0!</v>
      </c>
    </row>
    <row r="170" spans="12:25" x14ac:dyDescent="0.2">
      <c r="L170" t="str">
        <f t="shared" si="4"/>
        <v/>
      </c>
      <c r="M170" t="str">
        <f>IFERROR(AVERAGEIFS(Prod_5dias!$H$2:$H$1000,Prod_5dias!$A$2:$A$1000,$A170,Prod_5dias!$B$2:$B$1000,$B170),"")</f>
        <v/>
      </c>
      <c r="N170" t="str">
        <f>IF(M170="","",MIN(100,100*M170/Parametros!$B$7))</f>
        <v/>
      </c>
      <c r="O170" t="str">
        <f>IF(F170="","",IF(F170=0,100,MIN(100,100*Parametros!$B$3/F170)))</f>
        <v/>
      </c>
      <c r="P170" t="str">
        <f ca="1">IFERROR(((AVERAGEIFS(Observacion_Directa!$E$2:$E$1000,Observacion_Directa!$A$2:$A$1000,$A170,Observacion_Directa!$B$2:$B$1000,"&gt;="&amp;DATEVALUE($B170&amp;"-01"),Observacion_Directa!$B$2:$B$1000,"&lt;="&amp;EOMONTH(DATEVALUE($B170&amp;"-01"),0)))-1)/4*100,"")</f>
        <v/>
      </c>
      <c r="Q170" t="str">
        <f>IF(H170="","",MIN(100,100*H170/Parametros!$B$4))</f>
        <v/>
      </c>
      <c r="R170" t="str">
        <f>IF(I170="","",IF(I170=0,100,MIN(100,100*Parametros!$B$5/I170)))</f>
        <v/>
      </c>
      <c r="S170" t="str">
        <f>IF(J170="","",IF(J170=0,100,MIN(100,100*Parametros!$B$6/J170)))</f>
        <v/>
      </c>
      <c r="T170" t="str">
        <f>IF(L170="","",MIN(100,100*L170/Parametros!$B$7))</f>
        <v/>
      </c>
      <c r="U170" t="str">
        <f>IF(K170="","",MIN(100,100*K170/Parametros!$B$8))</f>
        <v/>
      </c>
      <c r="V170" t="str">
        <f ca="1">IFERROR(((AVERAGEIFS(Documentacion!$C$2:$C$1000,Documentacion!$A$2:$A$1000,$A170,Documentacion!$B$2:$B$1000,"&gt;="&amp;DATEVALUE($B170&amp;"-01"),Documentacion!$B$2:$B$1000,"&lt;="&amp;EOMONTH(DATEVALUE($B170&amp;"-01"),0)))-1)/4*100,"")</f>
        <v/>
      </c>
      <c r="W170" t="str">
        <f ca="1">IFERROR(((AVERAGEIFS(Feedback_360!$D$2:$D$1000,Feedback_360!$A$2:$A$1000,$A170,Feedback_360!$B$2:$B$1000,"&gt;="&amp;DATEVALUE($B170&amp;"-01"),Feedback_360!$B$2:$B$1000,"&lt;="&amp;EOMONTH(DATEVALUE($B170&amp;"-01"),0)))-1)/4*100,"")</f>
        <v/>
      </c>
      <c r="X170" t="str">
        <f ca="1">IFERROR(((AVERAGEIFS(Observacion_Directa!$D$2:$D$1000,Observacion_Directa!$A$2:$A$1000,$A170,Observacion_Directa!$B$2:$B$1000,"&gt;="&amp;DATEVALUE($B170&amp;"-01"),Observacion_Directa!$B$2:$B$1000,"&lt;="&amp;EOMONTH(DATEVALUE($B170&amp;"-01"),0)))-1)/4*100,"")</f>
        <v/>
      </c>
      <c r="Y170" t="e">
        <f t="shared" ca="1" si="5"/>
        <v>#DIV/0!</v>
      </c>
    </row>
    <row r="171" spans="12:25" x14ac:dyDescent="0.2">
      <c r="L171" t="str">
        <f t="shared" si="4"/>
        <v/>
      </c>
      <c r="M171" t="str">
        <f>IFERROR(AVERAGEIFS(Prod_5dias!$H$2:$H$1000,Prod_5dias!$A$2:$A$1000,$A171,Prod_5dias!$B$2:$B$1000,$B171),"")</f>
        <v/>
      </c>
      <c r="N171" t="str">
        <f>IF(M171="","",MIN(100,100*M171/Parametros!$B$7))</f>
        <v/>
      </c>
      <c r="O171" t="str">
        <f>IF(F171="","",IF(F171=0,100,MIN(100,100*Parametros!$B$3/F171)))</f>
        <v/>
      </c>
      <c r="P171" t="str">
        <f ca="1">IFERROR(((AVERAGEIFS(Observacion_Directa!$E$2:$E$1000,Observacion_Directa!$A$2:$A$1000,$A171,Observacion_Directa!$B$2:$B$1000,"&gt;="&amp;DATEVALUE($B171&amp;"-01"),Observacion_Directa!$B$2:$B$1000,"&lt;="&amp;EOMONTH(DATEVALUE($B171&amp;"-01"),0)))-1)/4*100,"")</f>
        <v/>
      </c>
      <c r="Q171" t="str">
        <f>IF(H171="","",MIN(100,100*H171/Parametros!$B$4))</f>
        <v/>
      </c>
      <c r="R171" t="str">
        <f>IF(I171="","",IF(I171=0,100,MIN(100,100*Parametros!$B$5/I171)))</f>
        <v/>
      </c>
      <c r="S171" t="str">
        <f>IF(J171="","",IF(J171=0,100,MIN(100,100*Parametros!$B$6/J171)))</f>
        <v/>
      </c>
      <c r="T171" t="str">
        <f>IF(L171="","",MIN(100,100*L171/Parametros!$B$7))</f>
        <v/>
      </c>
      <c r="U171" t="str">
        <f>IF(K171="","",MIN(100,100*K171/Parametros!$B$8))</f>
        <v/>
      </c>
      <c r="V171" t="str">
        <f ca="1">IFERROR(((AVERAGEIFS(Documentacion!$C$2:$C$1000,Documentacion!$A$2:$A$1000,$A171,Documentacion!$B$2:$B$1000,"&gt;="&amp;DATEVALUE($B171&amp;"-01"),Documentacion!$B$2:$B$1000,"&lt;="&amp;EOMONTH(DATEVALUE($B171&amp;"-01"),0)))-1)/4*100,"")</f>
        <v/>
      </c>
      <c r="W171" t="str">
        <f ca="1">IFERROR(((AVERAGEIFS(Feedback_360!$D$2:$D$1000,Feedback_360!$A$2:$A$1000,$A171,Feedback_360!$B$2:$B$1000,"&gt;="&amp;DATEVALUE($B171&amp;"-01"),Feedback_360!$B$2:$B$1000,"&lt;="&amp;EOMONTH(DATEVALUE($B171&amp;"-01"),0)))-1)/4*100,"")</f>
        <v/>
      </c>
      <c r="X171" t="str">
        <f ca="1">IFERROR(((AVERAGEIFS(Observacion_Directa!$D$2:$D$1000,Observacion_Directa!$A$2:$A$1000,$A171,Observacion_Directa!$B$2:$B$1000,"&gt;="&amp;DATEVALUE($B171&amp;"-01"),Observacion_Directa!$B$2:$B$1000,"&lt;="&amp;EOMONTH(DATEVALUE($B171&amp;"-01"),0)))-1)/4*100,"")</f>
        <v/>
      </c>
      <c r="Y171" t="e">
        <f t="shared" ca="1" si="5"/>
        <v>#DIV/0!</v>
      </c>
    </row>
    <row r="172" spans="12:25" x14ac:dyDescent="0.2">
      <c r="L172" t="str">
        <f t="shared" si="4"/>
        <v/>
      </c>
      <c r="M172" t="str">
        <f>IFERROR(AVERAGEIFS(Prod_5dias!$H$2:$H$1000,Prod_5dias!$A$2:$A$1000,$A172,Prod_5dias!$B$2:$B$1000,$B172),"")</f>
        <v/>
      </c>
      <c r="N172" t="str">
        <f>IF(M172="","",MIN(100,100*M172/Parametros!$B$7))</f>
        <v/>
      </c>
      <c r="O172" t="str">
        <f>IF(F172="","",IF(F172=0,100,MIN(100,100*Parametros!$B$3/F172)))</f>
        <v/>
      </c>
      <c r="P172" t="str">
        <f ca="1">IFERROR(((AVERAGEIFS(Observacion_Directa!$E$2:$E$1000,Observacion_Directa!$A$2:$A$1000,$A172,Observacion_Directa!$B$2:$B$1000,"&gt;="&amp;DATEVALUE($B172&amp;"-01"),Observacion_Directa!$B$2:$B$1000,"&lt;="&amp;EOMONTH(DATEVALUE($B172&amp;"-01"),0)))-1)/4*100,"")</f>
        <v/>
      </c>
      <c r="Q172" t="str">
        <f>IF(H172="","",MIN(100,100*H172/Parametros!$B$4))</f>
        <v/>
      </c>
      <c r="R172" t="str">
        <f>IF(I172="","",IF(I172=0,100,MIN(100,100*Parametros!$B$5/I172)))</f>
        <v/>
      </c>
      <c r="S172" t="str">
        <f>IF(J172="","",IF(J172=0,100,MIN(100,100*Parametros!$B$6/J172)))</f>
        <v/>
      </c>
      <c r="T172" t="str">
        <f>IF(L172="","",MIN(100,100*L172/Parametros!$B$7))</f>
        <v/>
      </c>
      <c r="U172" t="str">
        <f>IF(K172="","",MIN(100,100*K172/Parametros!$B$8))</f>
        <v/>
      </c>
      <c r="V172" t="str">
        <f ca="1">IFERROR(((AVERAGEIFS(Documentacion!$C$2:$C$1000,Documentacion!$A$2:$A$1000,$A172,Documentacion!$B$2:$B$1000,"&gt;="&amp;DATEVALUE($B172&amp;"-01"),Documentacion!$B$2:$B$1000,"&lt;="&amp;EOMONTH(DATEVALUE($B172&amp;"-01"),0)))-1)/4*100,"")</f>
        <v/>
      </c>
      <c r="W172" t="str">
        <f ca="1">IFERROR(((AVERAGEIFS(Feedback_360!$D$2:$D$1000,Feedback_360!$A$2:$A$1000,$A172,Feedback_360!$B$2:$B$1000,"&gt;="&amp;DATEVALUE($B172&amp;"-01"),Feedback_360!$B$2:$B$1000,"&lt;="&amp;EOMONTH(DATEVALUE($B172&amp;"-01"),0)))-1)/4*100,"")</f>
        <v/>
      </c>
      <c r="X172" t="str">
        <f ca="1">IFERROR(((AVERAGEIFS(Observacion_Directa!$D$2:$D$1000,Observacion_Directa!$A$2:$A$1000,$A172,Observacion_Directa!$B$2:$B$1000,"&gt;="&amp;DATEVALUE($B172&amp;"-01"),Observacion_Directa!$B$2:$B$1000,"&lt;="&amp;EOMONTH(DATEVALUE($B172&amp;"-01"),0)))-1)/4*100,"")</f>
        <v/>
      </c>
      <c r="Y172" t="e">
        <f t="shared" ca="1" si="5"/>
        <v>#DIV/0!</v>
      </c>
    </row>
    <row r="173" spans="12:25" x14ac:dyDescent="0.2">
      <c r="L173" t="str">
        <f t="shared" si="4"/>
        <v/>
      </c>
      <c r="M173" t="str">
        <f>IFERROR(AVERAGEIFS(Prod_5dias!$H$2:$H$1000,Prod_5dias!$A$2:$A$1000,$A173,Prod_5dias!$B$2:$B$1000,$B173),"")</f>
        <v/>
      </c>
      <c r="N173" t="str">
        <f>IF(M173="","",MIN(100,100*M173/Parametros!$B$7))</f>
        <v/>
      </c>
      <c r="O173" t="str">
        <f>IF(F173="","",IF(F173=0,100,MIN(100,100*Parametros!$B$3/F173)))</f>
        <v/>
      </c>
      <c r="P173" t="str">
        <f ca="1">IFERROR(((AVERAGEIFS(Observacion_Directa!$E$2:$E$1000,Observacion_Directa!$A$2:$A$1000,$A173,Observacion_Directa!$B$2:$B$1000,"&gt;="&amp;DATEVALUE($B173&amp;"-01"),Observacion_Directa!$B$2:$B$1000,"&lt;="&amp;EOMONTH(DATEVALUE($B173&amp;"-01"),0)))-1)/4*100,"")</f>
        <v/>
      </c>
      <c r="Q173" t="str">
        <f>IF(H173="","",MIN(100,100*H173/Parametros!$B$4))</f>
        <v/>
      </c>
      <c r="R173" t="str">
        <f>IF(I173="","",IF(I173=0,100,MIN(100,100*Parametros!$B$5/I173)))</f>
        <v/>
      </c>
      <c r="S173" t="str">
        <f>IF(J173="","",IF(J173=0,100,MIN(100,100*Parametros!$B$6/J173)))</f>
        <v/>
      </c>
      <c r="T173" t="str">
        <f>IF(L173="","",MIN(100,100*L173/Parametros!$B$7))</f>
        <v/>
      </c>
      <c r="U173" t="str">
        <f>IF(K173="","",MIN(100,100*K173/Parametros!$B$8))</f>
        <v/>
      </c>
      <c r="V173" t="str">
        <f ca="1">IFERROR(((AVERAGEIFS(Documentacion!$C$2:$C$1000,Documentacion!$A$2:$A$1000,$A173,Documentacion!$B$2:$B$1000,"&gt;="&amp;DATEVALUE($B173&amp;"-01"),Documentacion!$B$2:$B$1000,"&lt;="&amp;EOMONTH(DATEVALUE($B173&amp;"-01"),0)))-1)/4*100,"")</f>
        <v/>
      </c>
      <c r="W173" t="str">
        <f ca="1">IFERROR(((AVERAGEIFS(Feedback_360!$D$2:$D$1000,Feedback_360!$A$2:$A$1000,$A173,Feedback_360!$B$2:$B$1000,"&gt;="&amp;DATEVALUE($B173&amp;"-01"),Feedback_360!$B$2:$B$1000,"&lt;="&amp;EOMONTH(DATEVALUE($B173&amp;"-01"),0)))-1)/4*100,"")</f>
        <v/>
      </c>
      <c r="X173" t="str">
        <f ca="1">IFERROR(((AVERAGEIFS(Observacion_Directa!$D$2:$D$1000,Observacion_Directa!$A$2:$A$1000,$A173,Observacion_Directa!$B$2:$B$1000,"&gt;="&amp;DATEVALUE($B173&amp;"-01"),Observacion_Directa!$B$2:$B$1000,"&lt;="&amp;EOMONTH(DATEVALUE($B173&amp;"-01"),0)))-1)/4*100,"")</f>
        <v/>
      </c>
      <c r="Y173" t="e">
        <f t="shared" ca="1" si="5"/>
        <v>#DIV/0!</v>
      </c>
    </row>
    <row r="174" spans="12:25" x14ac:dyDescent="0.2">
      <c r="L174" t="str">
        <f t="shared" si="4"/>
        <v/>
      </c>
      <c r="M174" t="str">
        <f>IFERROR(AVERAGEIFS(Prod_5dias!$H$2:$H$1000,Prod_5dias!$A$2:$A$1000,$A174,Prod_5dias!$B$2:$B$1000,$B174),"")</f>
        <v/>
      </c>
      <c r="N174" t="str">
        <f>IF(M174="","",MIN(100,100*M174/Parametros!$B$7))</f>
        <v/>
      </c>
      <c r="O174" t="str">
        <f>IF(F174="","",IF(F174=0,100,MIN(100,100*Parametros!$B$3/F174)))</f>
        <v/>
      </c>
      <c r="P174" t="str">
        <f ca="1">IFERROR(((AVERAGEIFS(Observacion_Directa!$E$2:$E$1000,Observacion_Directa!$A$2:$A$1000,$A174,Observacion_Directa!$B$2:$B$1000,"&gt;="&amp;DATEVALUE($B174&amp;"-01"),Observacion_Directa!$B$2:$B$1000,"&lt;="&amp;EOMONTH(DATEVALUE($B174&amp;"-01"),0)))-1)/4*100,"")</f>
        <v/>
      </c>
      <c r="Q174" t="str">
        <f>IF(H174="","",MIN(100,100*H174/Parametros!$B$4))</f>
        <v/>
      </c>
      <c r="R174" t="str">
        <f>IF(I174="","",IF(I174=0,100,MIN(100,100*Parametros!$B$5/I174)))</f>
        <v/>
      </c>
      <c r="S174" t="str">
        <f>IF(J174="","",IF(J174=0,100,MIN(100,100*Parametros!$B$6/J174)))</f>
        <v/>
      </c>
      <c r="T174" t="str">
        <f>IF(L174="","",MIN(100,100*L174/Parametros!$B$7))</f>
        <v/>
      </c>
      <c r="U174" t="str">
        <f>IF(K174="","",MIN(100,100*K174/Parametros!$B$8))</f>
        <v/>
      </c>
      <c r="V174" t="str">
        <f ca="1">IFERROR(((AVERAGEIFS(Documentacion!$C$2:$C$1000,Documentacion!$A$2:$A$1000,$A174,Documentacion!$B$2:$B$1000,"&gt;="&amp;DATEVALUE($B174&amp;"-01"),Documentacion!$B$2:$B$1000,"&lt;="&amp;EOMONTH(DATEVALUE($B174&amp;"-01"),0)))-1)/4*100,"")</f>
        <v/>
      </c>
      <c r="W174" t="str">
        <f ca="1">IFERROR(((AVERAGEIFS(Feedback_360!$D$2:$D$1000,Feedback_360!$A$2:$A$1000,$A174,Feedback_360!$B$2:$B$1000,"&gt;="&amp;DATEVALUE($B174&amp;"-01"),Feedback_360!$B$2:$B$1000,"&lt;="&amp;EOMONTH(DATEVALUE($B174&amp;"-01"),0)))-1)/4*100,"")</f>
        <v/>
      </c>
      <c r="X174" t="str">
        <f ca="1">IFERROR(((AVERAGEIFS(Observacion_Directa!$D$2:$D$1000,Observacion_Directa!$A$2:$A$1000,$A174,Observacion_Directa!$B$2:$B$1000,"&gt;="&amp;DATEVALUE($B174&amp;"-01"),Observacion_Directa!$B$2:$B$1000,"&lt;="&amp;EOMONTH(DATEVALUE($B174&amp;"-01"),0)))-1)/4*100,"")</f>
        <v/>
      </c>
      <c r="Y174" t="e">
        <f t="shared" ca="1" si="5"/>
        <v>#DIV/0!</v>
      </c>
    </row>
    <row r="175" spans="12:25" x14ac:dyDescent="0.2">
      <c r="L175" t="str">
        <f t="shared" si="4"/>
        <v/>
      </c>
      <c r="M175" t="str">
        <f>IFERROR(AVERAGEIFS(Prod_5dias!$H$2:$H$1000,Prod_5dias!$A$2:$A$1000,$A175,Prod_5dias!$B$2:$B$1000,$B175),"")</f>
        <v/>
      </c>
      <c r="N175" t="str">
        <f>IF(M175="","",MIN(100,100*M175/Parametros!$B$7))</f>
        <v/>
      </c>
      <c r="O175" t="str">
        <f>IF(F175="","",IF(F175=0,100,MIN(100,100*Parametros!$B$3/F175)))</f>
        <v/>
      </c>
      <c r="P175" t="str">
        <f ca="1">IFERROR(((AVERAGEIFS(Observacion_Directa!$E$2:$E$1000,Observacion_Directa!$A$2:$A$1000,$A175,Observacion_Directa!$B$2:$B$1000,"&gt;="&amp;DATEVALUE($B175&amp;"-01"),Observacion_Directa!$B$2:$B$1000,"&lt;="&amp;EOMONTH(DATEVALUE($B175&amp;"-01"),0)))-1)/4*100,"")</f>
        <v/>
      </c>
      <c r="Q175" t="str">
        <f>IF(H175="","",MIN(100,100*H175/Parametros!$B$4))</f>
        <v/>
      </c>
      <c r="R175" t="str">
        <f>IF(I175="","",IF(I175=0,100,MIN(100,100*Parametros!$B$5/I175)))</f>
        <v/>
      </c>
      <c r="S175" t="str">
        <f>IF(J175="","",IF(J175=0,100,MIN(100,100*Parametros!$B$6/J175)))</f>
        <v/>
      </c>
      <c r="T175" t="str">
        <f>IF(L175="","",MIN(100,100*L175/Parametros!$B$7))</f>
        <v/>
      </c>
      <c r="U175" t="str">
        <f>IF(K175="","",MIN(100,100*K175/Parametros!$B$8))</f>
        <v/>
      </c>
      <c r="V175" t="str">
        <f ca="1">IFERROR(((AVERAGEIFS(Documentacion!$C$2:$C$1000,Documentacion!$A$2:$A$1000,$A175,Documentacion!$B$2:$B$1000,"&gt;="&amp;DATEVALUE($B175&amp;"-01"),Documentacion!$B$2:$B$1000,"&lt;="&amp;EOMONTH(DATEVALUE($B175&amp;"-01"),0)))-1)/4*100,"")</f>
        <v/>
      </c>
      <c r="W175" t="str">
        <f ca="1">IFERROR(((AVERAGEIFS(Feedback_360!$D$2:$D$1000,Feedback_360!$A$2:$A$1000,$A175,Feedback_360!$B$2:$B$1000,"&gt;="&amp;DATEVALUE($B175&amp;"-01"),Feedback_360!$B$2:$B$1000,"&lt;="&amp;EOMONTH(DATEVALUE($B175&amp;"-01"),0)))-1)/4*100,"")</f>
        <v/>
      </c>
      <c r="X175" t="str">
        <f ca="1">IFERROR(((AVERAGEIFS(Observacion_Directa!$D$2:$D$1000,Observacion_Directa!$A$2:$A$1000,$A175,Observacion_Directa!$B$2:$B$1000,"&gt;="&amp;DATEVALUE($B175&amp;"-01"),Observacion_Directa!$B$2:$B$1000,"&lt;="&amp;EOMONTH(DATEVALUE($B175&amp;"-01"),0)))-1)/4*100,"")</f>
        <v/>
      </c>
      <c r="Y175" t="e">
        <f t="shared" ca="1" si="5"/>
        <v>#DIV/0!</v>
      </c>
    </row>
    <row r="176" spans="12:25" x14ac:dyDescent="0.2">
      <c r="L176" t="str">
        <f t="shared" si="4"/>
        <v/>
      </c>
      <c r="M176" t="str">
        <f>IFERROR(AVERAGEIFS(Prod_5dias!$H$2:$H$1000,Prod_5dias!$A$2:$A$1000,$A176,Prod_5dias!$B$2:$B$1000,$B176),"")</f>
        <v/>
      </c>
      <c r="N176" t="str">
        <f>IF(M176="","",MIN(100,100*M176/Parametros!$B$7))</f>
        <v/>
      </c>
      <c r="O176" t="str">
        <f>IF(F176="","",IF(F176=0,100,MIN(100,100*Parametros!$B$3/F176)))</f>
        <v/>
      </c>
      <c r="P176" t="str">
        <f ca="1">IFERROR(((AVERAGEIFS(Observacion_Directa!$E$2:$E$1000,Observacion_Directa!$A$2:$A$1000,$A176,Observacion_Directa!$B$2:$B$1000,"&gt;="&amp;DATEVALUE($B176&amp;"-01"),Observacion_Directa!$B$2:$B$1000,"&lt;="&amp;EOMONTH(DATEVALUE($B176&amp;"-01"),0)))-1)/4*100,"")</f>
        <v/>
      </c>
      <c r="Q176" t="str">
        <f>IF(H176="","",MIN(100,100*H176/Parametros!$B$4))</f>
        <v/>
      </c>
      <c r="R176" t="str">
        <f>IF(I176="","",IF(I176=0,100,MIN(100,100*Parametros!$B$5/I176)))</f>
        <v/>
      </c>
      <c r="S176" t="str">
        <f>IF(J176="","",IF(J176=0,100,MIN(100,100*Parametros!$B$6/J176)))</f>
        <v/>
      </c>
      <c r="T176" t="str">
        <f>IF(L176="","",MIN(100,100*L176/Parametros!$B$7))</f>
        <v/>
      </c>
      <c r="U176" t="str">
        <f>IF(K176="","",MIN(100,100*K176/Parametros!$B$8))</f>
        <v/>
      </c>
      <c r="V176" t="str">
        <f ca="1">IFERROR(((AVERAGEIFS(Documentacion!$C$2:$C$1000,Documentacion!$A$2:$A$1000,$A176,Documentacion!$B$2:$B$1000,"&gt;="&amp;DATEVALUE($B176&amp;"-01"),Documentacion!$B$2:$B$1000,"&lt;="&amp;EOMONTH(DATEVALUE($B176&amp;"-01"),0)))-1)/4*100,"")</f>
        <v/>
      </c>
      <c r="W176" t="str">
        <f ca="1">IFERROR(((AVERAGEIFS(Feedback_360!$D$2:$D$1000,Feedback_360!$A$2:$A$1000,$A176,Feedback_360!$B$2:$B$1000,"&gt;="&amp;DATEVALUE($B176&amp;"-01"),Feedback_360!$B$2:$B$1000,"&lt;="&amp;EOMONTH(DATEVALUE($B176&amp;"-01"),0)))-1)/4*100,"")</f>
        <v/>
      </c>
      <c r="X176" t="str">
        <f ca="1">IFERROR(((AVERAGEIFS(Observacion_Directa!$D$2:$D$1000,Observacion_Directa!$A$2:$A$1000,$A176,Observacion_Directa!$B$2:$B$1000,"&gt;="&amp;DATEVALUE($B176&amp;"-01"),Observacion_Directa!$B$2:$B$1000,"&lt;="&amp;EOMONTH(DATEVALUE($B176&amp;"-01"),0)))-1)/4*100,"")</f>
        <v/>
      </c>
      <c r="Y176" t="e">
        <f t="shared" ca="1" si="5"/>
        <v>#DIV/0!</v>
      </c>
    </row>
    <row r="177" spans="12:25" x14ac:dyDescent="0.2">
      <c r="L177" t="str">
        <f t="shared" si="4"/>
        <v/>
      </c>
      <c r="M177" t="str">
        <f>IFERROR(AVERAGEIFS(Prod_5dias!$H$2:$H$1000,Prod_5dias!$A$2:$A$1000,$A177,Prod_5dias!$B$2:$B$1000,$B177),"")</f>
        <v/>
      </c>
      <c r="N177" t="str">
        <f>IF(M177="","",MIN(100,100*M177/Parametros!$B$7))</f>
        <v/>
      </c>
      <c r="O177" t="str">
        <f>IF(F177="","",IF(F177=0,100,MIN(100,100*Parametros!$B$3/F177)))</f>
        <v/>
      </c>
      <c r="P177" t="str">
        <f ca="1">IFERROR(((AVERAGEIFS(Observacion_Directa!$E$2:$E$1000,Observacion_Directa!$A$2:$A$1000,$A177,Observacion_Directa!$B$2:$B$1000,"&gt;="&amp;DATEVALUE($B177&amp;"-01"),Observacion_Directa!$B$2:$B$1000,"&lt;="&amp;EOMONTH(DATEVALUE($B177&amp;"-01"),0)))-1)/4*100,"")</f>
        <v/>
      </c>
      <c r="Q177" t="str">
        <f>IF(H177="","",MIN(100,100*H177/Parametros!$B$4))</f>
        <v/>
      </c>
      <c r="R177" t="str">
        <f>IF(I177="","",IF(I177=0,100,MIN(100,100*Parametros!$B$5/I177)))</f>
        <v/>
      </c>
      <c r="S177" t="str">
        <f>IF(J177="","",IF(J177=0,100,MIN(100,100*Parametros!$B$6/J177)))</f>
        <v/>
      </c>
      <c r="T177" t="str">
        <f>IF(L177="","",MIN(100,100*L177/Parametros!$B$7))</f>
        <v/>
      </c>
      <c r="U177" t="str">
        <f>IF(K177="","",MIN(100,100*K177/Parametros!$B$8))</f>
        <v/>
      </c>
      <c r="V177" t="str">
        <f ca="1">IFERROR(((AVERAGEIFS(Documentacion!$C$2:$C$1000,Documentacion!$A$2:$A$1000,$A177,Documentacion!$B$2:$B$1000,"&gt;="&amp;DATEVALUE($B177&amp;"-01"),Documentacion!$B$2:$B$1000,"&lt;="&amp;EOMONTH(DATEVALUE($B177&amp;"-01"),0)))-1)/4*100,"")</f>
        <v/>
      </c>
      <c r="W177" t="str">
        <f ca="1">IFERROR(((AVERAGEIFS(Feedback_360!$D$2:$D$1000,Feedback_360!$A$2:$A$1000,$A177,Feedback_360!$B$2:$B$1000,"&gt;="&amp;DATEVALUE($B177&amp;"-01"),Feedback_360!$B$2:$B$1000,"&lt;="&amp;EOMONTH(DATEVALUE($B177&amp;"-01"),0)))-1)/4*100,"")</f>
        <v/>
      </c>
      <c r="X177" t="str">
        <f ca="1">IFERROR(((AVERAGEIFS(Observacion_Directa!$D$2:$D$1000,Observacion_Directa!$A$2:$A$1000,$A177,Observacion_Directa!$B$2:$B$1000,"&gt;="&amp;DATEVALUE($B177&amp;"-01"),Observacion_Directa!$B$2:$B$1000,"&lt;="&amp;EOMONTH(DATEVALUE($B177&amp;"-01"),0)))-1)/4*100,"")</f>
        <v/>
      </c>
      <c r="Y177" t="e">
        <f t="shared" ca="1" si="5"/>
        <v>#DIV/0!</v>
      </c>
    </row>
    <row r="178" spans="12:25" x14ac:dyDescent="0.2">
      <c r="L178" t="str">
        <f t="shared" si="4"/>
        <v/>
      </c>
      <c r="M178" t="str">
        <f>IFERROR(AVERAGEIFS(Prod_5dias!$H$2:$H$1000,Prod_5dias!$A$2:$A$1000,$A178,Prod_5dias!$B$2:$B$1000,$B178),"")</f>
        <v/>
      </c>
      <c r="N178" t="str">
        <f>IF(M178="","",MIN(100,100*M178/Parametros!$B$7))</f>
        <v/>
      </c>
      <c r="O178" t="str">
        <f>IF(F178="","",IF(F178=0,100,MIN(100,100*Parametros!$B$3/F178)))</f>
        <v/>
      </c>
      <c r="P178" t="str">
        <f ca="1">IFERROR(((AVERAGEIFS(Observacion_Directa!$E$2:$E$1000,Observacion_Directa!$A$2:$A$1000,$A178,Observacion_Directa!$B$2:$B$1000,"&gt;="&amp;DATEVALUE($B178&amp;"-01"),Observacion_Directa!$B$2:$B$1000,"&lt;="&amp;EOMONTH(DATEVALUE($B178&amp;"-01"),0)))-1)/4*100,"")</f>
        <v/>
      </c>
      <c r="Q178" t="str">
        <f>IF(H178="","",MIN(100,100*H178/Parametros!$B$4))</f>
        <v/>
      </c>
      <c r="R178" t="str">
        <f>IF(I178="","",IF(I178=0,100,MIN(100,100*Parametros!$B$5/I178)))</f>
        <v/>
      </c>
      <c r="S178" t="str">
        <f>IF(J178="","",IF(J178=0,100,MIN(100,100*Parametros!$B$6/J178)))</f>
        <v/>
      </c>
      <c r="T178" t="str">
        <f>IF(L178="","",MIN(100,100*L178/Parametros!$B$7))</f>
        <v/>
      </c>
      <c r="U178" t="str">
        <f>IF(K178="","",MIN(100,100*K178/Parametros!$B$8))</f>
        <v/>
      </c>
      <c r="V178" t="str">
        <f ca="1">IFERROR(((AVERAGEIFS(Documentacion!$C$2:$C$1000,Documentacion!$A$2:$A$1000,$A178,Documentacion!$B$2:$B$1000,"&gt;="&amp;DATEVALUE($B178&amp;"-01"),Documentacion!$B$2:$B$1000,"&lt;="&amp;EOMONTH(DATEVALUE($B178&amp;"-01"),0)))-1)/4*100,"")</f>
        <v/>
      </c>
      <c r="W178" t="str">
        <f ca="1">IFERROR(((AVERAGEIFS(Feedback_360!$D$2:$D$1000,Feedback_360!$A$2:$A$1000,$A178,Feedback_360!$B$2:$B$1000,"&gt;="&amp;DATEVALUE($B178&amp;"-01"),Feedback_360!$B$2:$B$1000,"&lt;="&amp;EOMONTH(DATEVALUE($B178&amp;"-01"),0)))-1)/4*100,"")</f>
        <v/>
      </c>
      <c r="X178" t="str">
        <f ca="1">IFERROR(((AVERAGEIFS(Observacion_Directa!$D$2:$D$1000,Observacion_Directa!$A$2:$A$1000,$A178,Observacion_Directa!$B$2:$B$1000,"&gt;="&amp;DATEVALUE($B178&amp;"-01"),Observacion_Directa!$B$2:$B$1000,"&lt;="&amp;EOMONTH(DATEVALUE($B178&amp;"-01"),0)))-1)/4*100,"")</f>
        <v/>
      </c>
      <c r="Y178" t="e">
        <f t="shared" ca="1" si="5"/>
        <v>#DIV/0!</v>
      </c>
    </row>
    <row r="179" spans="12:25" x14ac:dyDescent="0.2">
      <c r="L179" t="str">
        <f t="shared" si="4"/>
        <v/>
      </c>
      <c r="M179" t="str">
        <f>IFERROR(AVERAGEIFS(Prod_5dias!$H$2:$H$1000,Prod_5dias!$A$2:$A$1000,$A179,Prod_5dias!$B$2:$B$1000,$B179),"")</f>
        <v/>
      </c>
      <c r="N179" t="str">
        <f>IF(M179="","",MIN(100,100*M179/Parametros!$B$7))</f>
        <v/>
      </c>
      <c r="O179" t="str">
        <f>IF(F179="","",IF(F179=0,100,MIN(100,100*Parametros!$B$3/F179)))</f>
        <v/>
      </c>
      <c r="P179" t="str">
        <f ca="1">IFERROR(((AVERAGEIFS(Observacion_Directa!$E$2:$E$1000,Observacion_Directa!$A$2:$A$1000,$A179,Observacion_Directa!$B$2:$B$1000,"&gt;="&amp;DATEVALUE($B179&amp;"-01"),Observacion_Directa!$B$2:$B$1000,"&lt;="&amp;EOMONTH(DATEVALUE($B179&amp;"-01"),0)))-1)/4*100,"")</f>
        <v/>
      </c>
      <c r="Q179" t="str">
        <f>IF(H179="","",MIN(100,100*H179/Parametros!$B$4))</f>
        <v/>
      </c>
      <c r="R179" t="str">
        <f>IF(I179="","",IF(I179=0,100,MIN(100,100*Parametros!$B$5/I179)))</f>
        <v/>
      </c>
      <c r="S179" t="str">
        <f>IF(J179="","",IF(J179=0,100,MIN(100,100*Parametros!$B$6/J179)))</f>
        <v/>
      </c>
      <c r="T179" t="str">
        <f>IF(L179="","",MIN(100,100*L179/Parametros!$B$7))</f>
        <v/>
      </c>
      <c r="U179" t="str">
        <f>IF(K179="","",MIN(100,100*K179/Parametros!$B$8))</f>
        <v/>
      </c>
      <c r="V179" t="str">
        <f ca="1">IFERROR(((AVERAGEIFS(Documentacion!$C$2:$C$1000,Documentacion!$A$2:$A$1000,$A179,Documentacion!$B$2:$B$1000,"&gt;="&amp;DATEVALUE($B179&amp;"-01"),Documentacion!$B$2:$B$1000,"&lt;="&amp;EOMONTH(DATEVALUE($B179&amp;"-01"),0)))-1)/4*100,"")</f>
        <v/>
      </c>
      <c r="W179" t="str">
        <f ca="1">IFERROR(((AVERAGEIFS(Feedback_360!$D$2:$D$1000,Feedback_360!$A$2:$A$1000,$A179,Feedback_360!$B$2:$B$1000,"&gt;="&amp;DATEVALUE($B179&amp;"-01"),Feedback_360!$B$2:$B$1000,"&lt;="&amp;EOMONTH(DATEVALUE($B179&amp;"-01"),0)))-1)/4*100,"")</f>
        <v/>
      </c>
      <c r="X179" t="str">
        <f ca="1">IFERROR(((AVERAGEIFS(Observacion_Directa!$D$2:$D$1000,Observacion_Directa!$A$2:$A$1000,$A179,Observacion_Directa!$B$2:$B$1000,"&gt;="&amp;DATEVALUE($B179&amp;"-01"),Observacion_Directa!$B$2:$B$1000,"&lt;="&amp;EOMONTH(DATEVALUE($B179&amp;"-01"),0)))-1)/4*100,"")</f>
        <v/>
      </c>
      <c r="Y179" t="e">
        <f t="shared" ca="1" si="5"/>
        <v>#DIV/0!</v>
      </c>
    </row>
    <row r="180" spans="12:25" x14ac:dyDescent="0.2">
      <c r="L180" t="str">
        <f t="shared" si="4"/>
        <v/>
      </c>
      <c r="M180" t="str">
        <f>IFERROR(AVERAGEIFS(Prod_5dias!$H$2:$H$1000,Prod_5dias!$A$2:$A$1000,$A180,Prod_5dias!$B$2:$B$1000,$B180),"")</f>
        <v/>
      </c>
      <c r="N180" t="str">
        <f>IF(M180="","",MIN(100,100*M180/Parametros!$B$7))</f>
        <v/>
      </c>
      <c r="O180" t="str">
        <f>IF(F180="","",IF(F180=0,100,MIN(100,100*Parametros!$B$3/F180)))</f>
        <v/>
      </c>
      <c r="P180" t="str">
        <f ca="1">IFERROR(((AVERAGEIFS(Observacion_Directa!$E$2:$E$1000,Observacion_Directa!$A$2:$A$1000,$A180,Observacion_Directa!$B$2:$B$1000,"&gt;="&amp;DATEVALUE($B180&amp;"-01"),Observacion_Directa!$B$2:$B$1000,"&lt;="&amp;EOMONTH(DATEVALUE($B180&amp;"-01"),0)))-1)/4*100,"")</f>
        <v/>
      </c>
      <c r="Q180" t="str">
        <f>IF(H180="","",MIN(100,100*H180/Parametros!$B$4))</f>
        <v/>
      </c>
      <c r="R180" t="str">
        <f>IF(I180="","",IF(I180=0,100,MIN(100,100*Parametros!$B$5/I180)))</f>
        <v/>
      </c>
      <c r="S180" t="str">
        <f>IF(J180="","",IF(J180=0,100,MIN(100,100*Parametros!$B$6/J180)))</f>
        <v/>
      </c>
      <c r="T180" t="str">
        <f>IF(L180="","",MIN(100,100*L180/Parametros!$B$7))</f>
        <v/>
      </c>
      <c r="U180" t="str">
        <f>IF(K180="","",MIN(100,100*K180/Parametros!$B$8))</f>
        <v/>
      </c>
      <c r="V180" t="str">
        <f ca="1">IFERROR(((AVERAGEIFS(Documentacion!$C$2:$C$1000,Documentacion!$A$2:$A$1000,$A180,Documentacion!$B$2:$B$1000,"&gt;="&amp;DATEVALUE($B180&amp;"-01"),Documentacion!$B$2:$B$1000,"&lt;="&amp;EOMONTH(DATEVALUE($B180&amp;"-01"),0)))-1)/4*100,"")</f>
        <v/>
      </c>
      <c r="W180" t="str">
        <f ca="1">IFERROR(((AVERAGEIFS(Feedback_360!$D$2:$D$1000,Feedback_360!$A$2:$A$1000,$A180,Feedback_360!$B$2:$B$1000,"&gt;="&amp;DATEVALUE($B180&amp;"-01"),Feedback_360!$B$2:$B$1000,"&lt;="&amp;EOMONTH(DATEVALUE($B180&amp;"-01"),0)))-1)/4*100,"")</f>
        <v/>
      </c>
      <c r="X180" t="str">
        <f ca="1">IFERROR(((AVERAGEIFS(Observacion_Directa!$D$2:$D$1000,Observacion_Directa!$A$2:$A$1000,$A180,Observacion_Directa!$B$2:$B$1000,"&gt;="&amp;DATEVALUE($B180&amp;"-01"),Observacion_Directa!$B$2:$B$1000,"&lt;="&amp;EOMONTH(DATEVALUE($B180&amp;"-01"),0)))-1)/4*100,"")</f>
        <v/>
      </c>
      <c r="Y180" t="e">
        <f t="shared" ca="1" si="5"/>
        <v>#DIV/0!</v>
      </c>
    </row>
    <row r="181" spans="12:25" x14ac:dyDescent="0.2">
      <c r="L181" t="str">
        <f t="shared" si="4"/>
        <v/>
      </c>
      <c r="M181" t="str">
        <f>IFERROR(AVERAGEIFS(Prod_5dias!$H$2:$H$1000,Prod_5dias!$A$2:$A$1000,$A181,Prod_5dias!$B$2:$B$1000,$B181),"")</f>
        <v/>
      </c>
      <c r="N181" t="str">
        <f>IF(M181="","",MIN(100,100*M181/Parametros!$B$7))</f>
        <v/>
      </c>
      <c r="O181" t="str">
        <f>IF(F181="","",IF(F181=0,100,MIN(100,100*Parametros!$B$3/F181)))</f>
        <v/>
      </c>
      <c r="P181" t="str">
        <f ca="1">IFERROR(((AVERAGEIFS(Observacion_Directa!$E$2:$E$1000,Observacion_Directa!$A$2:$A$1000,$A181,Observacion_Directa!$B$2:$B$1000,"&gt;="&amp;DATEVALUE($B181&amp;"-01"),Observacion_Directa!$B$2:$B$1000,"&lt;="&amp;EOMONTH(DATEVALUE($B181&amp;"-01"),0)))-1)/4*100,"")</f>
        <v/>
      </c>
      <c r="Q181" t="str">
        <f>IF(H181="","",MIN(100,100*H181/Parametros!$B$4))</f>
        <v/>
      </c>
      <c r="R181" t="str">
        <f>IF(I181="","",IF(I181=0,100,MIN(100,100*Parametros!$B$5/I181)))</f>
        <v/>
      </c>
      <c r="S181" t="str">
        <f>IF(J181="","",IF(J181=0,100,MIN(100,100*Parametros!$B$6/J181)))</f>
        <v/>
      </c>
      <c r="T181" t="str">
        <f>IF(L181="","",MIN(100,100*L181/Parametros!$B$7))</f>
        <v/>
      </c>
      <c r="U181" t="str">
        <f>IF(K181="","",MIN(100,100*K181/Parametros!$B$8))</f>
        <v/>
      </c>
      <c r="V181" t="str">
        <f ca="1">IFERROR(((AVERAGEIFS(Documentacion!$C$2:$C$1000,Documentacion!$A$2:$A$1000,$A181,Documentacion!$B$2:$B$1000,"&gt;="&amp;DATEVALUE($B181&amp;"-01"),Documentacion!$B$2:$B$1000,"&lt;="&amp;EOMONTH(DATEVALUE($B181&amp;"-01"),0)))-1)/4*100,"")</f>
        <v/>
      </c>
      <c r="W181" t="str">
        <f ca="1">IFERROR(((AVERAGEIFS(Feedback_360!$D$2:$D$1000,Feedback_360!$A$2:$A$1000,$A181,Feedback_360!$B$2:$B$1000,"&gt;="&amp;DATEVALUE($B181&amp;"-01"),Feedback_360!$B$2:$B$1000,"&lt;="&amp;EOMONTH(DATEVALUE($B181&amp;"-01"),0)))-1)/4*100,"")</f>
        <v/>
      </c>
      <c r="X181" t="str">
        <f ca="1">IFERROR(((AVERAGEIFS(Observacion_Directa!$D$2:$D$1000,Observacion_Directa!$A$2:$A$1000,$A181,Observacion_Directa!$B$2:$B$1000,"&gt;="&amp;DATEVALUE($B181&amp;"-01"),Observacion_Directa!$B$2:$B$1000,"&lt;="&amp;EOMONTH(DATEVALUE($B181&amp;"-01"),0)))-1)/4*100,"")</f>
        <v/>
      </c>
      <c r="Y181" t="e">
        <f t="shared" ca="1" si="5"/>
        <v>#DIV/0!</v>
      </c>
    </row>
    <row r="182" spans="12:25" x14ac:dyDescent="0.2">
      <c r="L182" t="str">
        <f t="shared" si="4"/>
        <v/>
      </c>
      <c r="M182" t="str">
        <f>IFERROR(AVERAGEIFS(Prod_5dias!$H$2:$H$1000,Prod_5dias!$A$2:$A$1000,$A182,Prod_5dias!$B$2:$B$1000,$B182),"")</f>
        <v/>
      </c>
      <c r="N182" t="str">
        <f>IF(M182="","",MIN(100,100*M182/Parametros!$B$7))</f>
        <v/>
      </c>
      <c r="O182" t="str">
        <f>IF(F182="","",IF(F182=0,100,MIN(100,100*Parametros!$B$3/F182)))</f>
        <v/>
      </c>
      <c r="P182" t="str">
        <f ca="1">IFERROR(((AVERAGEIFS(Observacion_Directa!$E$2:$E$1000,Observacion_Directa!$A$2:$A$1000,$A182,Observacion_Directa!$B$2:$B$1000,"&gt;="&amp;DATEVALUE($B182&amp;"-01"),Observacion_Directa!$B$2:$B$1000,"&lt;="&amp;EOMONTH(DATEVALUE($B182&amp;"-01"),0)))-1)/4*100,"")</f>
        <v/>
      </c>
      <c r="Q182" t="str">
        <f>IF(H182="","",MIN(100,100*H182/Parametros!$B$4))</f>
        <v/>
      </c>
      <c r="R182" t="str">
        <f>IF(I182="","",IF(I182=0,100,MIN(100,100*Parametros!$B$5/I182)))</f>
        <v/>
      </c>
      <c r="S182" t="str">
        <f>IF(J182="","",IF(J182=0,100,MIN(100,100*Parametros!$B$6/J182)))</f>
        <v/>
      </c>
      <c r="T182" t="str">
        <f>IF(L182="","",MIN(100,100*L182/Parametros!$B$7))</f>
        <v/>
      </c>
      <c r="U182" t="str">
        <f>IF(K182="","",MIN(100,100*K182/Parametros!$B$8))</f>
        <v/>
      </c>
      <c r="V182" t="str">
        <f ca="1">IFERROR(((AVERAGEIFS(Documentacion!$C$2:$C$1000,Documentacion!$A$2:$A$1000,$A182,Documentacion!$B$2:$B$1000,"&gt;="&amp;DATEVALUE($B182&amp;"-01"),Documentacion!$B$2:$B$1000,"&lt;="&amp;EOMONTH(DATEVALUE($B182&amp;"-01"),0)))-1)/4*100,"")</f>
        <v/>
      </c>
      <c r="W182" t="str">
        <f ca="1">IFERROR(((AVERAGEIFS(Feedback_360!$D$2:$D$1000,Feedback_360!$A$2:$A$1000,$A182,Feedback_360!$B$2:$B$1000,"&gt;="&amp;DATEVALUE($B182&amp;"-01"),Feedback_360!$B$2:$B$1000,"&lt;="&amp;EOMONTH(DATEVALUE($B182&amp;"-01"),0)))-1)/4*100,"")</f>
        <v/>
      </c>
      <c r="X182" t="str">
        <f ca="1">IFERROR(((AVERAGEIFS(Observacion_Directa!$D$2:$D$1000,Observacion_Directa!$A$2:$A$1000,$A182,Observacion_Directa!$B$2:$B$1000,"&gt;="&amp;DATEVALUE($B182&amp;"-01"),Observacion_Directa!$B$2:$B$1000,"&lt;="&amp;EOMONTH(DATEVALUE($B182&amp;"-01"),0)))-1)/4*100,"")</f>
        <v/>
      </c>
      <c r="Y182" t="e">
        <f t="shared" ca="1" si="5"/>
        <v>#DIV/0!</v>
      </c>
    </row>
    <row r="183" spans="12:25" x14ac:dyDescent="0.2">
      <c r="L183" t="str">
        <f t="shared" si="4"/>
        <v/>
      </c>
      <c r="M183" t="str">
        <f>IFERROR(AVERAGEIFS(Prod_5dias!$H$2:$H$1000,Prod_5dias!$A$2:$A$1000,$A183,Prod_5dias!$B$2:$B$1000,$B183),"")</f>
        <v/>
      </c>
      <c r="N183" t="str">
        <f>IF(M183="","",MIN(100,100*M183/Parametros!$B$7))</f>
        <v/>
      </c>
      <c r="O183" t="str">
        <f>IF(F183="","",IF(F183=0,100,MIN(100,100*Parametros!$B$3/F183)))</f>
        <v/>
      </c>
      <c r="P183" t="str">
        <f ca="1">IFERROR(((AVERAGEIFS(Observacion_Directa!$E$2:$E$1000,Observacion_Directa!$A$2:$A$1000,$A183,Observacion_Directa!$B$2:$B$1000,"&gt;="&amp;DATEVALUE($B183&amp;"-01"),Observacion_Directa!$B$2:$B$1000,"&lt;="&amp;EOMONTH(DATEVALUE($B183&amp;"-01"),0)))-1)/4*100,"")</f>
        <v/>
      </c>
      <c r="Q183" t="str">
        <f>IF(H183="","",MIN(100,100*H183/Parametros!$B$4))</f>
        <v/>
      </c>
      <c r="R183" t="str">
        <f>IF(I183="","",IF(I183=0,100,MIN(100,100*Parametros!$B$5/I183)))</f>
        <v/>
      </c>
      <c r="S183" t="str">
        <f>IF(J183="","",IF(J183=0,100,MIN(100,100*Parametros!$B$6/J183)))</f>
        <v/>
      </c>
      <c r="T183" t="str">
        <f>IF(L183="","",MIN(100,100*L183/Parametros!$B$7))</f>
        <v/>
      </c>
      <c r="U183" t="str">
        <f>IF(K183="","",MIN(100,100*K183/Parametros!$B$8))</f>
        <v/>
      </c>
      <c r="V183" t="str">
        <f ca="1">IFERROR(((AVERAGEIFS(Documentacion!$C$2:$C$1000,Documentacion!$A$2:$A$1000,$A183,Documentacion!$B$2:$B$1000,"&gt;="&amp;DATEVALUE($B183&amp;"-01"),Documentacion!$B$2:$B$1000,"&lt;="&amp;EOMONTH(DATEVALUE($B183&amp;"-01"),0)))-1)/4*100,"")</f>
        <v/>
      </c>
      <c r="W183" t="str">
        <f ca="1">IFERROR(((AVERAGEIFS(Feedback_360!$D$2:$D$1000,Feedback_360!$A$2:$A$1000,$A183,Feedback_360!$B$2:$B$1000,"&gt;="&amp;DATEVALUE($B183&amp;"-01"),Feedback_360!$B$2:$B$1000,"&lt;="&amp;EOMONTH(DATEVALUE($B183&amp;"-01"),0)))-1)/4*100,"")</f>
        <v/>
      </c>
      <c r="X183" t="str">
        <f ca="1">IFERROR(((AVERAGEIFS(Observacion_Directa!$D$2:$D$1000,Observacion_Directa!$A$2:$A$1000,$A183,Observacion_Directa!$B$2:$B$1000,"&gt;="&amp;DATEVALUE($B183&amp;"-01"),Observacion_Directa!$B$2:$B$1000,"&lt;="&amp;EOMONTH(DATEVALUE($B183&amp;"-01"),0)))-1)/4*100,"")</f>
        <v/>
      </c>
      <c r="Y183" t="e">
        <f t="shared" ca="1" si="5"/>
        <v>#DIV/0!</v>
      </c>
    </row>
    <row r="184" spans="12:25" x14ac:dyDescent="0.2">
      <c r="L184" t="str">
        <f t="shared" si="4"/>
        <v/>
      </c>
      <c r="M184" t="str">
        <f>IFERROR(AVERAGEIFS(Prod_5dias!$H$2:$H$1000,Prod_5dias!$A$2:$A$1000,$A184,Prod_5dias!$B$2:$B$1000,$B184),"")</f>
        <v/>
      </c>
      <c r="N184" t="str">
        <f>IF(M184="","",MIN(100,100*M184/Parametros!$B$7))</f>
        <v/>
      </c>
      <c r="O184" t="str">
        <f>IF(F184="","",IF(F184=0,100,MIN(100,100*Parametros!$B$3/F184)))</f>
        <v/>
      </c>
      <c r="P184" t="str">
        <f ca="1">IFERROR(((AVERAGEIFS(Observacion_Directa!$E$2:$E$1000,Observacion_Directa!$A$2:$A$1000,$A184,Observacion_Directa!$B$2:$B$1000,"&gt;="&amp;DATEVALUE($B184&amp;"-01"),Observacion_Directa!$B$2:$B$1000,"&lt;="&amp;EOMONTH(DATEVALUE($B184&amp;"-01"),0)))-1)/4*100,"")</f>
        <v/>
      </c>
      <c r="Q184" t="str">
        <f>IF(H184="","",MIN(100,100*H184/Parametros!$B$4))</f>
        <v/>
      </c>
      <c r="R184" t="str">
        <f>IF(I184="","",IF(I184=0,100,MIN(100,100*Parametros!$B$5/I184)))</f>
        <v/>
      </c>
      <c r="S184" t="str">
        <f>IF(J184="","",IF(J184=0,100,MIN(100,100*Parametros!$B$6/J184)))</f>
        <v/>
      </c>
      <c r="T184" t="str">
        <f>IF(L184="","",MIN(100,100*L184/Parametros!$B$7))</f>
        <v/>
      </c>
      <c r="U184" t="str">
        <f>IF(K184="","",MIN(100,100*K184/Parametros!$B$8))</f>
        <v/>
      </c>
      <c r="V184" t="str">
        <f ca="1">IFERROR(((AVERAGEIFS(Documentacion!$C$2:$C$1000,Documentacion!$A$2:$A$1000,$A184,Documentacion!$B$2:$B$1000,"&gt;="&amp;DATEVALUE($B184&amp;"-01"),Documentacion!$B$2:$B$1000,"&lt;="&amp;EOMONTH(DATEVALUE($B184&amp;"-01"),0)))-1)/4*100,"")</f>
        <v/>
      </c>
      <c r="W184" t="str">
        <f ca="1">IFERROR(((AVERAGEIFS(Feedback_360!$D$2:$D$1000,Feedback_360!$A$2:$A$1000,$A184,Feedback_360!$B$2:$B$1000,"&gt;="&amp;DATEVALUE($B184&amp;"-01"),Feedback_360!$B$2:$B$1000,"&lt;="&amp;EOMONTH(DATEVALUE($B184&amp;"-01"),0)))-1)/4*100,"")</f>
        <v/>
      </c>
      <c r="X184" t="str">
        <f ca="1">IFERROR(((AVERAGEIFS(Observacion_Directa!$D$2:$D$1000,Observacion_Directa!$A$2:$A$1000,$A184,Observacion_Directa!$B$2:$B$1000,"&gt;="&amp;DATEVALUE($B184&amp;"-01"),Observacion_Directa!$B$2:$B$1000,"&lt;="&amp;EOMONTH(DATEVALUE($B184&amp;"-01"),0)))-1)/4*100,"")</f>
        <v/>
      </c>
      <c r="Y184" t="e">
        <f t="shared" ca="1" si="5"/>
        <v>#DIV/0!</v>
      </c>
    </row>
    <row r="185" spans="12:25" x14ac:dyDescent="0.2">
      <c r="L185" t="str">
        <f t="shared" si="4"/>
        <v/>
      </c>
      <c r="M185" t="str">
        <f>IFERROR(AVERAGEIFS(Prod_5dias!$H$2:$H$1000,Prod_5dias!$A$2:$A$1000,$A185,Prod_5dias!$B$2:$B$1000,$B185),"")</f>
        <v/>
      </c>
      <c r="N185" t="str">
        <f>IF(M185="","",MIN(100,100*M185/Parametros!$B$7))</f>
        <v/>
      </c>
      <c r="O185" t="str">
        <f>IF(F185="","",IF(F185=0,100,MIN(100,100*Parametros!$B$3/F185)))</f>
        <v/>
      </c>
      <c r="P185" t="str">
        <f ca="1">IFERROR(((AVERAGEIFS(Observacion_Directa!$E$2:$E$1000,Observacion_Directa!$A$2:$A$1000,$A185,Observacion_Directa!$B$2:$B$1000,"&gt;="&amp;DATEVALUE($B185&amp;"-01"),Observacion_Directa!$B$2:$B$1000,"&lt;="&amp;EOMONTH(DATEVALUE($B185&amp;"-01"),0)))-1)/4*100,"")</f>
        <v/>
      </c>
      <c r="Q185" t="str">
        <f>IF(H185="","",MIN(100,100*H185/Parametros!$B$4))</f>
        <v/>
      </c>
      <c r="R185" t="str">
        <f>IF(I185="","",IF(I185=0,100,MIN(100,100*Parametros!$B$5/I185)))</f>
        <v/>
      </c>
      <c r="S185" t="str">
        <f>IF(J185="","",IF(J185=0,100,MIN(100,100*Parametros!$B$6/J185)))</f>
        <v/>
      </c>
      <c r="T185" t="str">
        <f>IF(L185="","",MIN(100,100*L185/Parametros!$B$7))</f>
        <v/>
      </c>
      <c r="U185" t="str">
        <f>IF(K185="","",MIN(100,100*K185/Parametros!$B$8))</f>
        <v/>
      </c>
      <c r="V185" t="str">
        <f ca="1">IFERROR(((AVERAGEIFS(Documentacion!$C$2:$C$1000,Documentacion!$A$2:$A$1000,$A185,Documentacion!$B$2:$B$1000,"&gt;="&amp;DATEVALUE($B185&amp;"-01"),Documentacion!$B$2:$B$1000,"&lt;="&amp;EOMONTH(DATEVALUE($B185&amp;"-01"),0)))-1)/4*100,"")</f>
        <v/>
      </c>
      <c r="W185" t="str">
        <f ca="1">IFERROR(((AVERAGEIFS(Feedback_360!$D$2:$D$1000,Feedback_360!$A$2:$A$1000,$A185,Feedback_360!$B$2:$B$1000,"&gt;="&amp;DATEVALUE($B185&amp;"-01"),Feedback_360!$B$2:$B$1000,"&lt;="&amp;EOMONTH(DATEVALUE($B185&amp;"-01"),0)))-1)/4*100,"")</f>
        <v/>
      </c>
      <c r="X185" t="str">
        <f ca="1">IFERROR(((AVERAGEIFS(Observacion_Directa!$D$2:$D$1000,Observacion_Directa!$A$2:$A$1000,$A185,Observacion_Directa!$B$2:$B$1000,"&gt;="&amp;DATEVALUE($B185&amp;"-01"),Observacion_Directa!$B$2:$B$1000,"&lt;="&amp;EOMONTH(DATEVALUE($B185&amp;"-01"),0)))-1)/4*100,"")</f>
        <v/>
      </c>
      <c r="Y185" t="e">
        <f t="shared" ca="1" si="5"/>
        <v>#DIV/0!</v>
      </c>
    </row>
    <row r="186" spans="12:25" x14ac:dyDescent="0.2">
      <c r="L186" t="str">
        <f t="shared" si="4"/>
        <v/>
      </c>
      <c r="M186" t="str">
        <f>IFERROR(AVERAGEIFS(Prod_5dias!$H$2:$H$1000,Prod_5dias!$A$2:$A$1000,$A186,Prod_5dias!$B$2:$B$1000,$B186),"")</f>
        <v/>
      </c>
      <c r="N186" t="str">
        <f>IF(M186="","",MIN(100,100*M186/Parametros!$B$7))</f>
        <v/>
      </c>
      <c r="O186" t="str">
        <f>IF(F186="","",IF(F186=0,100,MIN(100,100*Parametros!$B$3/F186)))</f>
        <v/>
      </c>
      <c r="P186" t="str">
        <f ca="1">IFERROR(((AVERAGEIFS(Observacion_Directa!$E$2:$E$1000,Observacion_Directa!$A$2:$A$1000,$A186,Observacion_Directa!$B$2:$B$1000,"&gt;="&amp;DATEVALUE($B186&amp;"-01"),Observacion_Directa!$B$2:$B$1000,"&lt;="&amp;EOMONTH(DATEVALUE($B186&amp;"-01"),0)))-1)/4*100,"")</f>
        <v/>
      </c>
      <c r="Q186" t="str">
        <f>IF(H186="","",MIN(100,100*H186/Parametros!$B$4))</f>
        <v/>
      </c>
      <c r="R186" t="str">
        <f>IF(I186="","",IF(I186=0,100,MIN(100,100*Parametros!$B$5/I186)))</f>
        <v/>
      </c>
      <c r="S186" t="str">
        <f>IF(J186="","",IF(J186=0,100,MIN(100,100*Parametros!$B$6/J186)))</f>
        <v/>
      </c>
      <c r="T186" t="str">
        <f>IF(L186="","",MIN(100,100*L186/Parametros!$B$7))</f>
        <v/>
      </c>
      <c r="U186" t="str">
        <f>IF(K186="","",MIN(100,100*K186/Parametros!$B$8))</f>
        <v/>
      </c>
      <c r="V186" t="str">
        <f ca="1">IFERROR(((AVERAGEIFS(Documentacion!$C$2:$C$1000,Documentacion!$A$2:$A$1000,$A186,Documentacion!$B$2:$B$1000,"&gt;="&amp;DATEVALUE($B186&amp;"-01"),Documentacion!$B$2:$B$1000,"&lt;="&amp;EOMONTH(DATEVALUE($B186&amp;"-01"),0)))-1)/4*100,"")</f>
        <v/>
      </c>
      <c r="W186" t="str">
        <f ca="1">IFERROR(((AVERAGEIFS(Feedback_360!$D$2:$D$1000,Feedback_360!$A$2:$A$1000,$A186,Feedback_360!$B$2:$B$1000,"&gt;="&amp;DATEVALUE($B186&amp;"-01"),Feedback_360!$B$2:$B$1000,"&lt;="&amp;EOMONTH(DATEVALUE($B186&amp;"-01"),0)))-1)/4*100,"")</f>
        <v/>
      </c>
      <c r="X186" t="str">
        <f ca="1">IFERROR(((AVERAGEIFS(Observacion_Directa!$D$2:$D$1000,Observacion_Directa!$A$2:$A$1000,$A186,Observacion_Directa!$B$2:$B$1000,"&gt;="&amp;DATEVALUE($B186&amp;"-01"),Observacion_Directa!$B$2:$B$1000,"&lt;="&amp;EOMONTH(DATEVALUE($B186&amp;"-01"),0)))-1)/4*100,"")</f>
        <v/>
      </c>
      <c r="Y186" t="e">
        <f t="shared" ca="1" si="5"/>
        <v>#DIV/0!</v>
      </c>
    </row>
    <row r="187" spans="12:25" x14ac:dyDescent="0.2">
      <c r="L187" t="str">
        <f t="shared" si="4"/>
        <v/>
      </c>
      <c r="M187" t="str">
        <f>IFERROR(AVERAGEIFS(Prod_5dias!$H$2:$H$1000,Prod_5dias!$A$2:$A$1000,$A187,Prod_5dias!$B$2:$B$1000,$B187),"")</f>
        <v/>
      </c>
      <c r="N187" t="str">
        <f>IF(M187="","",MIN(100,100*M187/Parametros!$B$7))</f>
        <v/>
      </c>
      <c r="O187" t="str">
        <f>IF(F187="","",IF(F187=0,100,MIN(100,100*Parametros!$B$3/F187)))</f>
        <v/>
      </c>
      <c r="P187" t="str">
        <f ca="1">IFERROR(((AVERAGEIFS(Observacion_Directa!$E$2:$E$1000,Observacion_Directa!$A$2:$A$1000,$A187,Observacion_Directa!$B$2:$B$1000,"&gt;="&amp;DATEVALUE($B187&amp;"-01"),Observacion_Directa!$B$2:$B$1000,"&lt;="&amp;EOMONTH(DATEVALUE($B187&amp;"-01"),0)))-1)/4*100,"")</f>
        <v/>
      </c>
      <c r="Q187" t="str">
        <f>IF(H187="","",MIN(100,100*H187/Parametros!$B$4))</f>
        <v/>
      </c>
      <c r="R187" t="str">
        <f>IF(I187="","",IF(I187=0,100,MIN(100,100*Parametros!$B$5/I187)))</f>
        <v/>
      </c>
      <c r="S187" t="str">
        <f>IF(J187="","",IF(J187=0,100,MIN(100,100*Parametros!$B$6/J187)))</f>
        <v/>
      </c>
      <c r="T187" t="str">
        <f>IF(L187="","",MIN(100,100*L187/Parametros!$B$7))</f>
        <v/>
      </c>
      <c r="U187" t="str">
        <f>IF(K187="","",MIN(100,100*K187/Parametros!$B$8))</f>
        <v/>
      </c>
      <c r="V187" t="str">
        <f ca="1">IFERROR(((AVERAGEIFS(Documentacion!$C$2:$C$1000,Documentacion!$A$2:$A$1000,$A187,Documentacion!$B$2:$B$1000,"&gt;="&amp;DATEVALUE($B187&amp;"-01"),Documentacion!$B$2:$B$1000,"&lt;="&amp;EOMONTH(DATEVALUE($B187&amp;"-01"),0)))-1)/4*100,"")</f>
        <v/>
      </c>
      <c r="W187" t="str">
        <f ca="1">IFERROR(((AVERAGEIFS(Feedback_360!$D$2:$D$1000,Feedback_360!$A$2:$A$1000,$A187,Feedback_360!$B$2:$B$1000,"&gt;="&amp;DATEVALUE($B187&amp;"-01"),Feedback_360!$B$2:$B$1000,"&lt;="&amp;EOMONTH(DATEVALUE($B187&amp;"-01"),0)))-1)/4*100,"")</f>
        <v/>
      </c>
      <c r="X187" t="str">
        <f ca="1">IFERROR(((AVERAGEIFS(Observacion_Directa!$D$2:$D$1000,Observacion_Directa!$A$2:$A$1000,$A187,Observacion_Directa!$B$2:$B$1000,"&gt;="&amp;DATEVALUE($B187&amp;"-01"),Observacion_Directa!$B$2:$B$1000,"&lt;="&amp;EOMONTH(DATEVALUE($B187&amp;"-01"),0)))-1)/4*100,"")</f>
        <v/>
      </c>
      <c r="Y187" t="e">
        <f t="shared" ca="1" si="5"/>
        <v>#DIV/0!</v>
      </c>
    </row>
    <row r="188" spans="12:25" x14ac:dyDescent="0.2">
      <c r="L188" t="str">
        <f t="shared" si="4"/>
        <v/>
      </c>
      <c r="M188" t="str">
        <f>IFERROR(AVERAGEIFS(Prod_5dias!$H$2:$H$1000,Prod_5dias!$A$2:$A$1000,$A188,Prod_5dias!$B$2:$B$1000,$B188),"")</f>
        <v/>
      </c>
      <c r="N188" t="str">
        <f>IF(M188="","",MIN(100,100*M188/Parametros!$B$7))</f>
        <v/>
      </c>
      <c r="O188" t="str">
        <f>IF(F188="","",IF(F188=0,100,MIN(100,100*Parametros!$B$3/F188)))</f>
        <v/>
      </c>
      <c r="P188" t="str">
        <f ca="1">IFERROR(((AVERAGEIFS(Observacion_Directa!$E$2:$E$1000,Observacion_Directa!$A$2:$A$1000,$A188,Observacion_Directa!$B$2:$B$1000,"&gt;="&amp;DATEVALUE($B188&amp;"-01"),Observacion_Directa!$B$2:$B$1000,"&lt;="&amp;EOMONTH(DATEVALUE($B188&amp;"-01"),0)))-1)/4*100,"")</f>
        <v/>
      </c>
      <c r="Q188" t="str">
        <f>IF(H188="","",MIN(100,100*H188/Parametros!$B$4))</f>
        <v/>
      </c>
      <c r="R188" t="str">
        <f>IF(I188="","",IF(I188=0,100,MIN(100,100*Parametros!$B$5/I188)))</f>
        <v/>
      </c>
      <c r="S188" t="str">
        <f>IF(J188="","",IF(J188=0,100,MIN(100,100*Parametros!$B$6/J188)))</f>
        <v/>
      </c>
      <c r="T188" t="str">
        <f>IF(L188="","",MIN(100,100*L188/Parametros!$B$7))</f>
        <v/>
      </c>
      <c r="U188" t="str">
        <f>IF(K188="","",MIN(100,100*K188/Parametros!$B$8))</f>
        <v/>
      </c>
      <c r="V188" t="str">
        <f ca="1">IFERROR(((AVERAGEIFS(Documentacion!$C$2:$C$1000,Documentacion!$A$2:$A$1000,$A188,Documentacion!$B$2:$B$1000,"&gt;="&amp;DATEVALUE($B188&amp;"-01"),Documentacion!$B$2:$B$1000,"&lt;="&amp;EOMONTH(DATEVALUE($B188&amp;"-01"),0)))-1)/4*100,"")</f>
        <v/>
      </c>
      <c r="W188" t="str">
        <f ca="1">IFERROR(((AVERAGEIFS(Feedback_360!$D$2:$D$1000,Feedback_360!$A$2:$A$1000,$A188,Feedback_360!$B$2:$B$1000,"&gt;="&amp;DATEVALUE($B188&amp;"-01"),Feedback_360!$B$2:$B$1000,"&lt;="&amp;EOMONTH(DATEVALUE($B188&amp;"-01"),0)))-1)/4*100,"")</f>
        <v/>
      </c>
      <c r="X188" t="str">
        <f ca="1">IFERROR(((AVERAGEIFS(Observacion_Directa!$D$2:$D$1000,Observacion_Directa!$A$2:$A$1000,$A188,Observacion_Directa!$B$2:$B$1000,"&gt;="&amp;DATEVALUE($B188&amp;"-01"),Observacion_Directa!$B$2:$B$1000,"&lt;="&amp;EOMONTH(DATEVALUE($B188&amp;"-01"),0)))-1)/4*100,"")</f>
        <v/>
      </c>
      <c r="Y188" t="e">
        <f t="shared" ca="1" si="5"/>
        <v>#DIV/0!</v>
      </c>
    </row>
    <row r="189" spans="12:25" x14ac:dyDescent="0.2">
      <c r="L189" t="str">
        <f t="shared" si="4"/>
        <v/>
      </c>
      <c r="M189" t="str">
        <f>IFERROR(AVERAGEIFS(Prod_5dias!$H$2:$H$1000,Prod_5dias!$A$2:$A$1000,$A189,Prod_5dias!$B$2:$B$1000,$B189),"")</f>
        <v/>
      </c>
      <c r="N189" t="str">
        <f>IF(M189="","",MIN(100,100*M189/Parametros!$B$7))</f>
        <v/>
      </c>
      <c r="O189" t="str">
        <f>IF(F189="","",IF(F189=0,100,MIN(100,100*Parametros!$B$3/F189)))</f>
        <v/>
      </c>
      <c r="P189" t="str">
        <f ca="1">IFERROR(((AVERAGEIFS(Observacion_Directa!$E$2:$E$1000,Observacion_Directa!$A$2:$A$1000,$A189,Observacion_Directa!$B$2:$B$1000,"&gt;="&amp;DATEVALUE($B189&amp;"-01"),Observacion_Directa!$B$2:$B$1000,"&lt;="&amp;EOMONTH(DATEVALUE($B189&amp;"-01"),0)))-1)/4*100,"")</f>
        <v/>
      </c>
      <c r="Q189" t="str">
        <f>IF(H189="","",MIN(100,100*H189/Parametros!$B$4))</f>
        <v/>
      </c>
      <c r="R189" t="str">
        <f>IF(I189="","",IF(I189=0,100,MIN(100,100*Parametros!$B$5/I189)))</f>
        <v/>
      </c>
      <c r="S189" t="str">
        <f>IF(J189="","",IF(J189=0,100,MIN(100,100*Parametros!$B$6/J189)))</f>
        <v/>
      </c>
      <c r="T189" t="str">
        <f>IF(L189="","",MIN(100,100*L189/Parametros!$B$7))</f>
        <v/>
      </c>
      <c r="U189" t="str">
        <f>IF(K189="","",MIN(100,100*K189/Parametros!$B$8))</f>
        <v/>
      </c>
      <c r="V189" t="str">
        <f ca="1">IFERROR(((AVERAGEIFS(Documentacion!$C$2:$C$1000,Documentacion!$A$2:$A$1000,$A189,Documentacion!$B$2:$B$1000,"&gt;="&amp;DATEVALUE($B189&amp;"-01"),Documentacion!$B$2:$B$1000,"&lt;="&amp;EOMONTH(DATEVALUE($B189&amp;"-01"),0)))-1)/4*100,"")</f>
        <v/>
      </c>
      <c r="W189" t="str">
        <f ca="1">IFERROR(((AVERAGEIFS(Feedback_360!$D$2:$D$1000,Feedback_360!$A$2:$A$1000,$A189,Feedback_360!$B$2:$B$1000,"&gt;="&amp;DATEVALUE($B189&amp;"-01"),Feedback_360!$B$2:$B$1000,"&lt;="&amp;EOMONTH(DATEVALUE($B189&amp;"-01"),0)))-1)/4*100,"")</f>
        <v/>
      </c>
      <c r="X189" t="str">
        <f ca="1">IFERROR(((AVERAGEIFS(Observacion_Directa!$D$2:$D$1000,Observacion_Directa!$A$2:$A$1000,$A189,Observacion_Directa!$B$2:$B$1000,"&gt;="&amp;DATEVALUE($B189&amp;"-01"),Observacion_Directa!$B$2:$B$1000,"&lt;="&amp;EOMONTH(DATEVALUE($B189&amp;"-01"),0)))-1)/4*100,"")</f>
        <v/>
      </c>
      <c r="Y189" t="e">
        <f t="shared" ca="1" si="5"/>
        <v>#DIV/0!</v>
      </c>
    </row>
    <row r="190" spans="12:25" x14ac:dyDescent="0.2">
      <c r="L190" t="str">
        <f t="shared" si="4"/>
        <v/>
      </c>
      <c r="M190" t="str">
        <f>IFERROR(AVERAGEIFS(Prod_5dias!$H$2:$H$1000,Prod_5dias!$A$2:$A$1000,$A190,Prod_5dias!$B$2:$B$1000,$B190),"")</f>
        <v/>
      </c>
      <c r="N190" t="str">
        <f>IF(M190="","",MIN(100,100*M190/Parametros!$B$7))</f>
        <v/>
      </c>
      <c r="O190" t="str">
        <f>IF(F190="","",IF(F190=0,100,MIN(100,100*Parametros!$B$3/F190)))</f>
        <v/>
      </c>
      <c r="P190" t="str">
        <f ca="1">IFERROR(((AVERAGEIFS(Observacion_Directa!$E$2:$E$1000,Observacion_Directa!$A$2:$A$1000,$A190,Observacion_Directa!$B$2:$B$1000,"&gt;="&amp;DATEVALUE($B190&amp;"-01"),Observacion_Directa!$B$2:$B$1000,"&lt;="&amp;EOMONTH(DATEVALUE($B190&amp;"-01"),0)))-1)/4*100,"")</f>
        <v/>
      </c>
      <c r="Q190" t="str">
        <f>IF(H190="","",MIN(100,100*H190/Parametros!$B$4))</f>
        <v/>
      </c>
      <c r="R190" t="str">
        <f>IF(I190="","",IF(I190=0,100,MIN(100,100*Parametros!$B$5/I190)))</f>
        <v/>
      </c>
      <c r="S190" t="str">
        <f>IF(J190="","",IF(J190=0,100,MIN(100,100*Parametros!$B$6/J190)))</f>
        <v/>
      </c>
      <c r="T190" t="str">
        <f>IF(L190="","",MIN(100,100*L190/Parametros!$B$7))</f>
        <v/>
      </c>
      <c r="U190" t="str">
        <f>IF(K190="","",MIN(100,100*K190/Parametros!$B$8))</f>
        <v/>
      </c>
      <c r="V190" t="str">
        <f ca="1">IFERROR(((AVERAGEIFS(Documentacion!$C$2:$C$1000,Documentacion!$A$2:$A$1000,$A190,Documentacion!$B$2:$B$1000,"&gt;="&amp;DATEVALUE($B190&amp;"-01"),Documentacion!$B$2:$B$1000,"&lt;="&amp;EOMONTH(DATEVALUE($B190&amp;"-01"),0)))-1)/4*100,"")</f>
        <v/>
      </c>
      <c r="W190" t="str">
        <f ca="1">IFERROR(((AVERAGEIFS(Feedback_360!$D$2:$D$1000,Feedback_360!$A$2:$A$1000,$A190,Feedback_360!$B$2:$B$1000,"&gt;="&amp;DATEVALUE($B190&amp;"-01"),Feedback_360!$B$2:$B$1000,"&lt;="&amp;EOMONTH(DATEVALUE($B190&amp;"-01"),0)))-1)/4*100,"")</f>
        <v/>
      </c>
      <c r="X190" t="str">
        <f ca="1">IFERROR(((AVERAGEIFS(Observacion_Directa!$D$2:$D$1000,Observacion_Directa!$A$2:$A$1000,$A190,Observacion_Directa!$B$2:$B$1000,"&gt;="&amp;DATEVALUE($B190&amp;"-01"),Observacion_Directa!$B$2:$B$1000,"&lt;="&amp;EOMONTH(DATEVALUE($B190&amp;"-01"),0)))-1)/4*100,"")</f>
        <v/>
      </c>
      <c r="Y190" t="e">
        <f t="shared" ca="1" si="5"/>
        <v>#DIV/0!</v>
      </c>
    </row>
    <row r="191" spans="12:25" x14ac:dyDescent="0.2">
      <c r="L191" t="str">
        <f t="shared" si="4"/>
        <v/>
      </c>
      <c r="M191" t="str">
        <f>IFERROR(AVERAGEIFS(Prod_5dias!$H$2:$H$1000,Prod_5dias!$A$2:$A$1000,$A191,Prod_5dias!$B$2:$B$1000,$B191),"")</f>
        <v/>
      </c>
      <c r="N191" t="str">
        <f>IF(M191="","",MIN(100,100*M191/Parametros!$B$7))</f>
        <v/>
      </c>
      <c r="O191" t="str">
        <f>IF(F191="","",IF(F191=0,100,MIN(100,100*Parametros!$B$3/F191)))</f>
        <v/>
      </c>
      <c r="P191" t="str">
        <f ca="1">IFERROR(((AVERAGEIFS(Observacion_Directa!$E$2:$E$1000,Observacion_Directa!$A$2:$A$1000,$A191,Observacion_Directa!$B$2:$B$1000,"&gt;="&amp;DATEVALUE($B191&amp;"-01"),Observacion_Directa!$B$2:$B$1000,"&lt;="&amp;EOMONTH(DATEVALUE($B191&amp;"-01"),0)))-1)/4*100,"")</f>
        <v/>
      </c>
      <c r="Q191" t="str">
        <f>IF(H191="","",MIN(100,100*H191/Parametros!$B$4))</f>
        <v/>
      </c>
      <c r="R191" t="str">
        <f>IF(I191="","",IF(I191=0,100,MIN(100,100*Parametros!$B$5/I191)))</f>
        <v/>
      </c>
      <c r="S191" t="str">
        <f>IF(J191="","",IF(J191=0,100,MIN(100,100*Parametros!$B$6/J191)))</f>
        <v/>
      </c>
      <c r="T191" t="str">
        <f>IF(L191="","",MIN(100,100*L191/Parametros!$B$7))</f>
        <v/>
      </c>
      <c r="U191" t="str">
        <f>IF(K191="","",MIN(100,100*K191/Parametros!$B$8))</f>
        <v/>
      </c>
      <c r="V191" t="str">
        <f ca="1">IFERROR(((AVERAGEIFS(Documentacion!$C$2:$C$1000,Documentacion!$A$2:$A$1000,$A191,Documentacion!$B$2:$B$1000,"&gt;="&amp;DATEVALUE($B191&amp;"-01"),Documentacion!$B$2:$B$1000,"&lt;="&amp;EOMONTH(DATEVALUE($B191&amp;"-01"),0)))-1)/4*100,"")</f>
        <v/>
      </c>
      <c r="W191" t="str">
        <f ca="1">IFERROR(((AVERAGEIFS(Feedback_360!$D$2:$D$1000,Feedback_360!$A$2:$A$1000,$A191,Feedback_360!$B$2:$B$1000,"&gt;="&amp;DATEVALUE($B191&amp;"-01"),Feedback_360!$B$2:$B$1000,"&lt;="&amp;EOMONTH(DATEVALUE($B191&amp;"-01"),0)))-1)/4*100,"")</f>
        <v/>
      </c>
      <c r="X191" t="str">
        <f ca="1">IFERROR(((AVERAGEIFS(Observacion_Directa!$D$2:$D$1000,Observacion_Directa!$A$2:$A$1000,$A191,Observacion_Directa!$B$2:$B$1000,"&gt;="&amp;DATEVALUE($B191&amp;"-01"),Observacion_Directa!$B$2:$B$1000,"&lt;="&amp;EOMONTH(DATEVALUE($B191&amp;"-01"),0)))-1)/4*100,"")</f>
        <v/>
      </c>
      <c r="Y191" t="e">
        <f t="shared" ca="1" si="5"/>
        <v>#DIV/0!</v>
      </c>
    </row>
    <row r="192" spans="12:25" x14ac:dyDescent="0.2">
      <c r="L192" t="str">
        <f t="shared" si="4"/>
        <v/>
      </c>
      <c r="M192" t="str">
        <f>IFERROR(AVERAGEIFS(Prod_5dias!$H$2:$H$1000,Prod_5dias!$A$2:$A$1000,$A192,Prod_5dias!$B$2:$B$1000,$B192),"")</f>
        <v/>
      </c>
      <c r="N192" t="str">
        <f>IF(M192="","",MIN(100,100*M192/Parametros!$B$7))</f>
        <v/>
      </c>
      <c r="O192" t="str">
        <f>IF(F192="","",IF(F192=0,100,MIN(100,100*Parametros!$B$3/F192)))</f>
        <v/>
      </c>
      <c r="P192" t="str">
        <f ca="1">IFERROR(((AVERAGEIFS(Observacion_Directa!$E$2:$E$1000,Observacion_Directa!$A$2:$A$1000,$A192,Observacion_Directa!$B$2:$B$1000,"&gt;="&amp;DATEVALUE($B192&amp;"-01"),Observacion_Directa!$B$2:$B$1000,"&lt;="&amp;EOMONTH(DATEVALUE($B192&amp;"-01"),0)))-1)/4*100,"")</f>
        <v/>
      </c>
      <c r="Q192" t="str">
        <f>IF(H192="","",MIN(100,100*H192/Parametros!$B$4))</f>
        <v/>
      </c>
      <c r="R192" t="str">
        <f>IF(I192="","",IF(I192=0,100,MIN(100,100*Parametros!$B$5/I192)))</f>
        <v/>
      </c>
      <c r="S192" t="str">
        <f>IF(J192="","",IF(J192=0,100,MIN(100,100*Parametros!$B$6/J192)))</f>
        <v/>
      </c>
      <c r="T192" t="str">
        <f>IF(L192="","",MIN(100,100*L192/Parametros!$B$7))</f>
        <v/>
      </c>
      <c r="U192" t="str">
        <f>IF(K192="","",MIN(100,100*K192/Parametros!$B$8))</f>
        <v/>
      </c>
      <c r="V192" t="str">
        <f ca="1">IFERROR(((AVERAGEIFS(Documentacion!$C$2:$C$1000,Documentacion!$A$2:$A$1000,$A192,Documentacion!$B$2:$B$1000,"&gt;="&amp;DATEVALUE($B192&amp;"-01"),Documentacion!$B$2:$B$1000,"&lt;="&amp;EOMONTH(DATEVALUE($B192&amp;"-01"),0)))-1)/4*100,"")</f>
        <v/>
      </c>
      <c r="W192" t="str">
        <f ca="1">IFERROR(((AVERAGEIFS(Feedback_360!$D$2:$D$1000,Feedback_360!$A$2:$A$1000,$A192,Feedback_360!$B$2:$B$1000,"&gt;="&amp;DATEVALUE($B192&amp;"-01"),Feedback_360!$B$2:$B$1000,"&lt;="&amp;EOMONTH(DATEVALUE($B192&amp;"-01"),0)))-1)/4*100,"")</f>
        <v/>
      </c>
      <c r="X192" t="str">
        <f ca="1">IFERROR(((AVERAGEIFS(Observacion_Directa!$D$2:$D$1000,Observacion_Directa!$A$2:$A$1000,$A192,Observacion_Directa!$B$2:$B$1000,"&gt;="&amp;DATEVALUE($B192&amp;"-01"),Observacion_Directa!$B$2:$B$1000,"&lt;="&amp;EOMONTH(DATEVALUE($B192&amp;"-01"),0)))-1)/4*100,"")</f>
        <v/>
      </c>
      <c r="Y192" t="e">
        <f t="shared" ca="1" si="5"/>
        <v>#DIV/0!</v>
      </c>
    </row>
    <row r="193" spans="12:25" x14ac:dyDescent="0.2">
      <c r="L193" t="str">
        <f t="shared" si="4"/>
        <v/>
      </c>
      <c r="M193" t="str">
        <f>IFERROR(AVERAGEIFS(Prod_5dias!$H$2:$H$1000,Prod_5dias!$A$2:$A$1000,$A193,Prod_5dias!$B$2:$B$1000,$B193),"")</f>
        <v/>
      </c>
      <c r="N193" t="str">
        <f>IF(M193="","",MIN(100,100*M193/Parametros!$B$7))</f>
        <v/>
      </c>
      <c r="O193" t="str">
        <f>IF(F193="","",IF(F193=0,100,MIN(100,100*Parametros!$B$3/F193)))</f>
        <v/>
      </c>
      <c r="P193" t="str">
        <f ca="1">IFERROR(((AVERAGEIFS(Observacion_Directa!$E$2:$E$1000,Observacion_Directa!$A$2:$A$1000,$A193,Observacion_Directa!$B$2:$B$1000,"&gt;="&amp;DATEVALUE($B193&amp;"-01"),Observacion_Directa!$B$2:$B$1000,"&lt;="&amp;EOMONTH(DATEVALUE($B193&amp;"-01"),0)))-1)/4*100,"")</f>
        <v/>
      </c>
      <c r="Q193" t="str">
        <f>IF(H193="","",MIN(100,100*H193/Parametros!$B$4))</f>
        <v/>
      </c>
      <c r="R193" t="str">
        <f>IF(I193="","",IF(I193=0,100,MIN(100,100*Parametros!$B$5/I193)))</f>
        <v/>
      </c>
      <c r="S193" t="str">
        <f>IF(J193="","",IF(J193=0,100,MIN(100,100*Parametros!$B$6/J193)))</f>
        <v/>
      </c>
      <c r="T193" t="str">
        <f>IF(L193="","",MIN(100,100*L193/Parametros!$B$7))</f>
        <v/>
      </c>
      <c r="U193" t="str">
        <f>IF(K193="","",MIN(100,100*K193/Parametros!$B$8))</f>
        <v/>
      </c>
      <c r="V193" t="str">
        <f ca="1">IFERROR(((AVERAGEIFS(Documentacion!$C$2:$C$1000,Documentacion!$A$2:$A$1000,$A193,Documentacion!$B$2:$B$1000,"&gt;="&amp;DATEVALUE($B193&amp;"-01"),Documentacion!$B$2:$B$1000,"&lt;="&amp;EOMONTH(DATEVALUE($B193&amp;"-01"),0)))-1)/4*100,"")</f>
        <v/>
      </c>
      <c r="W193" t="str">
        <f ca="1">IFERROR(((AVERAGEIFS(Feedback_360!$D$2:$D$1000,Feedback_360!$A$2:$A$1000,$A193,Feedback_360!$B$2:$B$1000,"&gt;="&amp;DATEVALUE($B193&amp;"-01"),Feedback_360!$B$2:$B$1000,"&lt;="&amp;EOMONTH(DATEVALUE($B193&amp;"-01"),0)))-1)/4*100,"")</f>
        <v/>
      </c>
      <c r="X193" t="str">
        <f ca="1">IFERROR(((AVERAGEIFS(Observacion_Directa!$D$2:$D$1000,Observacion_Directa!$A$2:$A$1000,$A193,Observacion_Directa!$B$2:$B$1000,"&gt;="&amp;DATEVALUE($B193&amp;"-01"),Observacion_Directa!$B$2:$B$1000,"&lt;="&amp;EOMONTH(DATEVALUE($B193&amp;"-01"),0)))-1)/4*100,"")</f>
        <v/>
      </c>
      <c r="Y193" t="e">
        <f t="shared" ca="1" si="5"/>
        <v>#DIV/0!</v>
      </c>
    </row>
    <row r="194" spans="12:25" x14ac:dyDescent="0.2">
      <c r="L194" t="str">
        <f t="shared" ref="L194:L257" si="6">IF(OR(C194="",D194=""),"",C194/D194)</f>
        <v/>
      </c>
      <c r="M194" t="str">
        <f>IFERROR(AVERAGEIFS(Prod_5dias!$H$2:$H$1000,Prod_5dias!$A$2:$A$1000,$A194,Prod_5dias!$B$2:$B$1000,$B194),"")</f>
        <v/>
      </c>
      <c r="N194" t="str">
        <f>IF(M194="","",MIN(100,100*M194/Parametros!$B$7))</f>
        <v/>
      </c>
      <c r="O194" t="str">
        <f>IF(F194="","",IF(F194=0,100,MIN(100,100*Parametros!$B$3/F194)))</f>
        <v/>
      </c>
      <c r="P194" t="str">
        <f ca="1">IFERROR(((AVERAGEIFS(Observacion_Directa!$E$2:$E$1000,Observacion_Directa!$A$2:$A$1000,$A194,Observacion_Directa!$B$2:$B$1000,"&gt;="&amp;DATEVALUE($B194&amp;"-01"),Observacion_Directa!$B$2:$B$1000,"&lt;="&amp;EOMONTH(DATEVALUE($B194&amp;"-01"),0)))-1)/4*100,"")</f>
        <v/>
      </c>
      <c r="Q194" t="str">
        <f>IF(H194="","",MIN(100,100*H194/Parametros!$B$4))</f>
        <v/>
      </c>
      <c r="R194" t="str">
        <f>IF(I194="","",IF(I194=0,100,MIN(100,100*Parametros!$B$5/I194)))</f>
        <v/>
      </c>
      <c r="S194" t="str">
        <f>IF(J194="","",IF(J194=0,100,MIN(100,100*Parametros!$B$6/J194)))</f>
        <v/>
      </c>
      <c r="T194" t="str">
        <f>IF(L194="","",MIN(100,100*L194/Parametros!$B$7))</f>
        <v/>
      </c>
      <c r="U194" t="str">
        <f>IF(K194="","",MIN(100,100*K194/Parametros!$B$8))</f>
        <v/>
      </c>
      <c r="V194" t="str">
        <f ca="1">IFERROR(((AVERAGEIFS(Documentacion!$C$2:$C$1000,Documentacion!$A$2:$A$1000,$A194,Documentacion!$B$2:$B$1000,"&gt;="&amp;DATEVALUE($B194&amp;"-01"),Documentacion!$B$2:$B$1000,"&lt;="&amp;EOMONTH(DATEVALUE($B194&amp;"-01"),0)))-1)/4*100,"")</f>
        <v/>
      </c>
      <c r="W194" t="str">
        <f ca="1">IFERROR(((AVERAGEIFS(Feedback_360!$D$2:$D$1000,Feedback_360!$A$2:$A$1000,$A194,Feedback_360!$B$2:$B$1000,"&gt;="&amp;DATEVALUE($B194&amp;"-01"),Feedback_360!$B$2:$B$1000,"&lt;="&amp;EOMONTH(DATEVALUE($B194&amp;"-01"),0)))-1)/4*100,"")</f>
        <v/>
      </c>
      <c r="X194" t="str">
        <f ca="1">IFERROR(((AVERAGEIFS(Observacion_Directa!$D$2:$D$1000,Observacion_Directa!$A$2:$A$1000,$A194,Observacion_Directa!$B$2:$B$1000,"&gt;="&amp;DATEVALUE($B194&amp;"-01"),Observacion_Directa!$B$2:$B$1000,"&lt;="&amp;EOMONTH(DATEVALUE($B194&amp;"-01"),0)))-1)/4*100,"")</f>
        <v/>
      </c>
      <c r="Y194" t="e">
        <f t="shared" ref="Y194:Y257" ca="1" si="7">IF(COUNTA(N194:X194)=0,"",AVERAGE(N194:X194))</f>
        <v>#DIV/0!</v>
      </c>
    </row>
    <row r="195" spans="12:25" x14ac:dyDescent="0.2">
      <c r="L195" t="str">
        <f t="shared" si="6"/>
        <v/>
      </c>
      <c r="M195" t="str">
        <f>IFERROR(AVERAGEIFS(Prod_5dias!$H$2:$H$1000,Prod_5dias!$A$2:$A$1000,$A195,Prod_5dias!$B$2:$B$1000,$B195),"")</f>
        <v/>
      </c>
      <c r="N195" t="str">
        <f>IF(M195="","",MIN(100,100*M195/Parametros!$B$7))</f>
        <v/>
      </c>
      <c r="O195" t="str">
        <f>IF(F195="","",IF(F195=0,100,MIN(100,100*Parametros!$B$3/F195)))</f>
        <v/>
      </c>
      <c r="P195" t="str">
        <f ca="1">IFERROR(((AVERAGEIFS(Observacion_Directa!$E$2:$E$1000,Observacion_Directa!$A$2:$A$1000,$A195,Observacion_Directa!$B$2:$B$1000,"&gt;="&amp;DATEVALUE($B195&amp;"-01"),Observacion_Directa!$B$2:$B$1000,"&lt;="&amp;EOMONTH(DATEVALUE($B195&amp;"-01"),0)))-1)/4*100,"")</f>
        <v/>
      </c>
      <c r="Q195" t="str">
        <f>IF(H195="","",MIN(100,100*H195/Parametros!$B$4))</f>
        <v/>
      </c>
      <c r="R195" t="str">
        <f>IF(I195="","",IF(I195=0,100,MIN(100,100*Parametros!$B$5/I195)))</f>
        <v/>
      </c>
      <c r="S195" t="str">
        <f>IF(J195="","",IF(J195=0,100,MIN(100,100*Parametros!$B$6/J195)))</f>
        <v/>
      </c>
      <c r="T195" t="str">
        <f>IF(L195="","",MIN(100,100*L195/Parametros!$B$7))</f>
        <v/>
      </c>
      <c r="U195" t="str">
        <f>IF(K195="","",MIN(100,100*K195/Parametros!$B$8))</f>
        <v/>
      </c>
      <c r="V195" t="str">
        <f ca="1">IFERROR(((AVERAGEIFS(Documentacion!$C$2:$C$1000,Documentacion!$A$2:$A$1000,$A195,Documentacion!$B$2:$B$1000,"&gt;="&amp;DATEVALUE($B195&amp;"-01"),Documentacion!$B$2:$B$1000,"&lt;="&amp;EOMONTH(DATEVALUE($B195&amp;"-01"),0)))-1)/4*100,"")</f>
        <v/>
      </c>
      <c r="W195" t="str">
        <f ca="1">IFERROR(((AVERAGEIFS(Feedback_360!$D$2:$D$1000,Feedback_360!$A$2:$A$1000,$A195,Feedback_360!$B$2:$B$1000,"&gt;="&amp;DATEVALUE($B195&amp;"-01"),Feedback_360!$B$2:$B$1000,"&lt;="&amp;EOMONTH(DATEVALUE($B195&amp;"-01"),0)))-1)/4*100,"")</f>
        <v/>
      </c>
      <c r="X195" t="str">
        <f ca="1">IFERROR(((AVERAGEIFS(Observacion_Directa!$D$2:$D$1000,Observacion_Directa!$A$2:$A$1000,$A195,Observacion_Directa!$B$2:$B$1000,"&gt;="&amp;DATEVALUE($B195&amp;"-01"),Observacion_Directa!$B$2:$B$1000,"&lt;="&amp;EOMONTH(DATEVALUE($B195&amp;"-01"),0)))-1)/4*100,"")</f>
        <v/>
      </c>
      <c r="Y195" t="e">
        <f t="shared" ca="1" si="7"/>
        <v>#DIV/0!</v>
      </c>
    </row>
    <row r="196" spans="12:25" x14ac:dyDescent="0.2">
      <c r="L196" t="str">
        <f t="shared" si="6"/>
        <v/>
      </c>
      <c r="M196" t="str">
        <f>IFERROR(AVERAGEIFS(Prod_5dias!$H$2:$H$1000,Prod_5dias!$A$2:$A$1000,$A196,Prod_5dias!$B$2:$B$1000,$B196),"")</f>
        <v/>
      </c>
      <c r="N196" t="str">
        <f>IF(M196="","",MIN(100,100*M196/Parametros!$B$7))</f>
        <v/>
      </c>
      <c r="O196" t="str">
        <f>IF(F196="","",IF(F196=0,100,MIN(100,100*Parametros!$B$3/F196)))</f>
        <v/>
      </c>
      <c r="P196" t="str">
        <f ca="1">IFERROR(((AVERAGEIFS(Observacion_Directa!$E$2:$E$1000,Observacion_Directa!$A$2:$A$1000,$A196,Observacion_Directa!$B$2:$B$1000,"&gt;="&amp;DATEVALUE($B196&amp;"-01"),Observacion_Directa!$B$2:$B$1000,"&lt;="&amp;EOMONTH(DATEVALUE($B196&amp;"-01"),0)))-1)/4*100,"")</f>
        <v/>
      </c>
      <c r="Q196" t="str">
        <f>IF(H196="","",MIN(100,100*H196/Parametros!$B$4))</f>
        <v/>
      </c>
      <c r="R196" t="str">
        <f>IF(I196="","",IF(I196=0,100,MIN(100,100*Parametros!$B$5/I196)))</f>
        <v/>
      </c>
      <c r="S196" t="str">
        <f>IF(J196="","",IF(J196=0,100,MIN(100,100*Parametros!$B$6/J196)))</f>
        <v/>
      </c>
      <c r="T196" t="str">
        <f>IF(L196="","",MIN(100,100*L196/Parametros!$B$7))</f>
        <v/>
      </c>
      <c r="U196" t="str">
        <f>IF(K196="","",MIN(100,100*K196/Parametros!$B$8))</f>
        <v/>
      </c>
      <c r="V196" t="str">
        <f ca="1">IFERROR(((AVERAGEIFS(Documentacion!$C$2:$C$1000,Documentacion!$A$2:$A$1000,$A196,Documentacion!$B$2:$B$1000,"&gt;="&amp;DATEVALUE($B196&amp;"-01"),Documentacion!$B$2:$B$1000,"&lt;="&amp;EOMONTH(DATEVALUE($B196&amp;"-01"),0)))-1)/4*100,"")</f>
        <v/>
      </c>
      <c r="W196" t="str">
        <f ca="1">IFERROR(((AVERAGEIFS(Feedback_360!$D$2:$D$1000,Feedback_360!$A$2:$A$1000,$A196,Feedback_360!$B$2:$B$1000,"&gt;="&amp;DATEVALUE($B196&amp;"-01"),Feedback_360!$B$2:$B$1000,"&lt;="&amp;EOMONTH(DATEVALUE($B196&amp;"-01"),0)))-1)/4*100,"")</f>
        <v/>
      </c>
      <c r="X196" t="str">
        <f ca="1">IFERROR(((AVERAGEIFS(Observacion_Directa!$D$2:$D$1000,Observacion_Directa!$A$2:$A$1000,$A196,Observacion_Directa!$B$2:$B$1000,"&gt;="&amp;DATEVALUE($B196&amp;"-01"),Observacion_Directa!$B$2:$B$1000,"&lt;="&amp;EOMONTH(DATEVALUE($B196&amp;"-01"),0)))-1)/4*100,"")</f>
        <v/>
      </c>
      <c r="Y196" t="e">
        <f t="shared" ca="1" si="7"/>
        <v>#DIV/0!</v>
      </c>
    </row>
    <row r="197" spans="12:25" x14ac:dyDescent="0.2">
      <c r="L197" t="str">
        <f t="shared" si="6"/>
        <v/>
      </c>
      <c r="M197" t="str">
        <f>IFERROR(AVERAGEIFS(Prod_5dias!$H$2:$H$1000,Prod_5dias!$A$2:$A$1000,$A197,Prod_5dias!$B$2:$B$1000,$B197),"")</f>
        <v/>
      </c>
      <c r="N197" t="str">
        <f>IF(M197="","",MIN(100,100*M197/Parametros!$B$7))</f>
        <v/>
      </c>
      <c r="O197" t="str">
        <f>IF(F197="","",IF(F197=0,100,MIN(100,100*Parametros!$B$3/F197)))</f>
        <v/>
      </c>
      <c r="P197" t="str">
        <f ca="1">IFERROR(((AVERAGEIFS(Observacion_Directa!$E$2:$E$1000,Observacion_Directa!$A$2:$A$1000,$A197,Observacion_Directa!$B$2:$B$1000,"&gt;="&amp;DATEVALUE($B197&amp;"-01"),Observacion_Directa!$B$2:$B$1000,"&lt;="&amp;EOMONTH(DATEVALUE($B197&amp;"-01"),0)))-1)/4*100,"")</f>
        <v/>
      </c>
      <c r="Q197" t="str">
        <f>IF(H197="","",MIN(100,100*H197/Parametros!$B$4))</f>
        <v/>
      </c>
      <c r="R197" t="str">
        <f>IF(I197="","",IF(I197=0,100,MIN(100,100*Parametros!$B$5/I197)))</f>
        <v/>
      </c>
      <c r="S197" t="str">
        <f>IF(J197="","",IF(J197=0,100,MIN(100,100*Parametros!$B$6/J197)))</f>
        <v/>
      </c>
      <c r="T197" t="str">
        <f>IF(L197="","",MIN(100,100*L197/Parametros!$B$7))</f>
        <v/>
      </c>
      <c r="U197" t="str">
        <f>IF(K197="","",MIN(100,100*K197/Parametros!$B$8))</f>
        <v/>
      </c>
      <c r="V197" t="str">
        <f ca="1">IFERROR(((AVERAGEIFS(Documentacion!$C$2:$C$1000,Documentacion!$A$2:$A$1000,$A197,Documentacion!$B$2:$B$1000,"&gt;="&amp;DATEVALUE($B197&amp;"-01"),Documentacion!$B$2:$B$1000,"&lt;="&amp;EOMONTH(DATEVALUE($B197&amp;"-01"),0)))-1)/4*100,"")</f>
        <v/>
      </c>
      <c r="W197" t="str">
        <f ca="1">IFERROR(((AVERAGEIFS(Feedback_360!$D$2:$D$1000,Feedback_360!$A$2:$A$1000,$A197,Feedback_360!$B$2:$B$1000,"&gt;="&amp;DATEVALUE($B197&amp;"-01"),Feedback_360!$B$2:$B$1000,"&lt;="&amp;EOMONTH(DATEVALUE($B197&amp;"-01"),0)))-1)/4*100,"")</f>
        <v/>
      </c>
      <c r="X197" t="str">
        <f ca="1">IFERROR(((AVERAGEIFS(Observacion_Directa!$D$2:$D$1000,Observacion_Directa!$A$2:$A$1000,$A197,Observacion_Directa!$B$2:$B$1000,"&gt;="&amp;DATEVALUE($B197&amp;"-01"),Observacion_Directa!$B$2:$B$1000,"&lt;="&amp;EOMONTH(DATEVALUE($B197&amp;"-01"),0)))-1)/4*100,"")</f>
        <v/>
      </c>
      <c r="Y197" t="e">
        <f t="shared" ca="1" si="7"/>
        <v>#DIV/0!</v>
      </c>
    </row>
    <row r="198" spans="12:25" x14ac:dyDescent="0.2">
      <c r="L198" t="str">
        <f t="shared" si="6"/>
        <v/>
      </c>
      <c r="M198" t="str">
        <f>IFERROR(AVERAGEIFS(Prod_5dias!$H$2:$H$1000,Prod_5dias!$A$2:$A$1000,$A198,Prod_5dias!$B$2:$B$1000,$B198),"")</f>
        <v/>
      </c>
      <c r="N198" t="str">
        <f>IF(M198="","",MIN(100,100*M198/Parametros!$B$7))</f>
        <v/>
      </c>
      <c r="O198" t="str">
        <f>IF(F198="","",IF(F198=0,100,MIN(100,100*Parametros!$B$3/F198)))</f>
        <v/>
      </c>
      <c r="P198" t="str">
        <f ca="1">IFERROR(((AVERAGEIFS(Observacion_Directa!$E$2:$E$1000,Observacion_Directa!$A$2:$A$1000,$A198,Observacion_Directa!$B$2:$B$1000,"&gt;="&amp;DATEVALUE($B198&amp;"-01"),Observacion_Directa!$B$2:$B$1000,"&lt;="&amp;EOMONTH(DATEVALUE($B198&amp;"-01"),0)))-1)/4*100,"")</f>
        <v/>
      </c>
      <c r="Q198" t="str">
        <f>IF(H198="","",MIN(100,100*H198/Parametros!$B$4))</f>
        <v/>
      </c>
      <c r="R198" t="str">
        <f>IF(I198="","",IF(I198=0,100,MIN(100,100*Parametros!$B$5/I198)))</f>
        <v/>
      </c>
      <c r="S198" t="str">
        <f>IF(J198="","",IF(J198=0,100,MIN(100,100*Parametros!$B$6/J198)))</f>
        <v/>
      </c>
      <c r="T198" t="str">
        <f>IF(L198="","",MIN(100,100*L198/Parametros!$B$7))</f>
        <v/>
      </c>
      <c r="U198" t="str">
        <f>IF(K198="","",MIN(100,100*K198/Parametros!$B$8))</f>
        <v/>
      </c>
      <c r="V198" t="str">
        <f ca="1">IFERROR(((AVERAGEIFS(Documentacion!$C$2:$C$1000,Documentacion!$A$2:$A$1000,$A198,Documentacion!$B$2:$B$1000,"&gt;="&amp;DATEVALUE($B198&amp;"-01"),Documentacion!$B$2:$B$1000,"&lt;="&amp;EOMONTH(DATEVALUE($B198&amp;"-01"),0)))-1)/4*100,"")</f>
        <v/>
      </c>
      <c r="W198" t="str">
        <f ca="1">IFERROR(((AVERAGEIFS(Feedback_360!$D$2:$D$1000,Feedback_360!$A$2:$A$1000,$A198,Feedback_360!$B$2:$B$1000,"&gt;="&amp;DATEVALUE($B198&amp;"-01"),Feedback_360!$B$2:$B$1000,"&lt;="&amp;EOMONTH(DATEVALUE($B198&amp;"-01"),0)))-1)/4*100,"")</f>
        <v/>
      </c>
      <c r="X198" t="str">
        <f ca="1">IFERROR(((AVERAGEIFS(Observacion_Directa!$D$2:$D$1000,Observacion_Directa!$A$2:$A$1000,$A198,Observacion_Directa!$B$2:$B$1000,"&gt;="&amp;DATEVALUE($B198&amp;"-01"),Observacion_Directa!$B$2:$B$1000,"&lt;="&amp;EOMONTH(DATEVALUE($B198&amp;"-01"),0)))-1)/4*100,"")</f>
        <v/>
      </c>
      <c r="Y198" t="e">
        <f t="shared" ca="1" si="7"/>
        <v>#DIV/0!</v>
      </c>
    </row>
    <row r="199" spans="12:25" x14ac:dyDescent="0.2">
      <c r="L199" t="str">
        <f t="shared" si="6"/>
        <v/>
      </c>
      <c r="M199" t="str">
        <f>IFERROR(AVERAGEIFS(Prod_5dias!$H$2:$H$1000,Prod_5dias!$A$2:$A$1000,$A199,Prod_5dias!$B$2:$B$1000,$B199),"")</f>
        <v/>
      </c>
      <c r="N199" t="str">
        <f>IF(M199="","",MIN(100,100*M199/Parametros!$B$7))</f>
        <v/>
      </c>
      <c r="O199" t="str">
        <f>IF(F199="","",IF(F199=0,100,MIN(100,100*Parametros!$B$3/F199)))</f>
        <v/>
      </c>
      <c r="P199" t="str">
        <f ca="1">IFERROR(((AVERAGEIFS(Observacion_Directa!$E$2:$E$1000,Observacion_Directa!$A$2:$A$1000,$A199,Observacion_Directa!$B$2:$B$1000,"&gt;="&amp;DATEVALUE($B199&amp;"-01"),Observacion_Directa!$B$2:$B$1000,"&lt;="&amp;EOMONTH(DATEVALUE($B199&amp;"-01"),0)))-1)/4*100,"")</f>
        <v/>
      </c>
      <c r="Q199" t="str">
        <f>IF(H199="","",MIN(100,100*H199/Parametros!$B$4))</f>
        <v/>
      </c>
      <c r="R199" t="str">
        <f>IF(I199="","",IF(I199=0,100,MIN(100,100*Parametros!$B$5/I199)))</f>
        <v/>
      </c>
      <c r="S199" t="str">
        <f>IF(J199="","",IF(J199=0,100,MIN(100,100*Parametros!$B$6/J199)))</f>
        <v/>
      </c>
      <c r="T199" t="str">
        <f>IF(L199="","",MIN(100,100*L199/Parametros!$B$7))</f>
        <v/>
      </c>
      <c r="U199" t="str">
        <f>IF(K199="","",MIN(100,100*K199/Parametros!$B$8))</f>
        <v/>
      </c>
      <c r="V199" t="str">
        <f ca="1">IFERROR(((AVERAGEIFS(Documentacion!$C$2:$C$1000,Documentacion!$A$2:$A$1000,$A199,Documentacion!$B$2:$B$1000,"&gt;="&amp;DATEVALUE($B199&amp;"-01"),Documentacion!$B$2:$B$1000,"&lt;="&amp;EOMONTH(DATEVALUE($B199&amp;"-01"),0)))-1)/4*100,"")</f>
        <v/>
      </c>
      <c r="W199" t="str">
        <f ca="1">IFERROR(((AVERAGEIFS(Feedback_360!$D$2:$D$1000,Feedback_360!$A$2:$A$1000,$A199,Feedback_360!$B$2:$B$1000,"&gt;="&amp;DATEVALUE($B199&amp;"-01"),Feedback_360!$B$2:$B$1000,"&lt;="&amp;EOMONTH(DATEVALUE($B199&amp;"-01"),0)))-1)/4*100,"")</f>
        <v/>
      </c>
      <c r="X199" t="str">
        <f ca="1">IFERROR(((AVERAGEIFS(Observacion_Directa!$D$2:$D$1000,Observacion_Directa!$A$2:$A$1000,$A199,Observacion_Directa!$B$2:$B$1000,"&gt;="&amp;DATEVALUE($B199&amp;"-01"),Observacion_Directa!$B$2:$B$1000,"&lt;="&amp;EOMONTH(DATEVALUE($B199&amp;"-01"),0)))-1)/4*100,"")</f>
        <v/>
      </c>
      <c r="Y199" t="e">
        <f t="shared" ca="1" si="7"/>
        <v>#DIV/0!</v>
      </c>
    </row>
    <row r="200" spans="12:25" x14ac:dyDescent="0.2">
      <c r="L200" t="str">
        <f t="shared" si="6"/>
        <v/>
      </c>
      <c r="M200" t="str">
        <f>IFERROR(AVERAGEIFS(Prod_5dias!$H$2:$H$1000,Prod_5dias!$A$2:$A$1000,$A200,Prod_5dias!$B$2:$B$1000,$B200),"")</f>
        <v/>
      </c>
      <c r="N200" t="str">
        <f>IF(M200="","",MIN(100,100*M200/Parametros!$B$7))</f>
        <v/>
      </c>
      <c r="O200" t="str">
        <f>IF(F200="","",IF(F200=0,100,MIN(100,100*Parametros!$B$3/F200)))</f>
        <v/>
      </c>
      <c r="P200" t="str">
        <f ca="1">IFERROR(((AVERAGEIFS(Observacion_Directa!$E$2:$E$1000,Observacion_Directa!$A$2:$A$1000,$A200,Observacion_Directa!$B$2:$B$1000,"&gt;="&amp;DATEVALUE($B200&amp;"-01"),Observacion_Directa!$B$2:$B$1000,"&lt;="&amp;EOMONTH(DATEVALUE($B200&amp;"-01"),0)))-1)/4*100,"")</f>
        <v/>
      </c>
      <c r="Q200" t="str">
        <f>IF(H200="","",MIN(100,100*H200/Parametros!$B$4))</f>
        <v/>
      </c>
      <c r="R200" t="str">
        <f>IF(I200="","",IF(I200=0,100,MIN(100,100*Parametros!$B$5/I200)))</f>
        <v/>
      </c>
      <c r="S200" t="str">
        <f>IF(J200="","",IF(J200=0,100,MIN(100,100*Parametros!$B$6/J200)))</f>
        <v/>
      </c>
      <c r="T200" t="str">
        <f>IF(L200="","",MIN(100,100*L200/Parametros!$B$7))</f>
        <v/>
      </c>
      <c r="U200" t="str">
        <f>IF(K200="","",MIN(100,100*K200/Parametros!$B$8))</f>
        <v/>
      </c>
      <c r="V200" t="str">
        <f ca="1">IFERROR(((AVERAGEIFS(Documentacion!$C$2:$C$1000,Documentacion!$A$2:$A$1000,$A200,Documentacion!$B$2:$B$1000,"&gt;="&amp;DATEVALUE($B200&amp;"-01"),Documentacion!$B$2:$B$1000,"&lt;="&amp;EOMONTH(DATEVALUE($B200&amp;"-01"),0)))-1)/4*100,"")</f>
        <v/>
      </c>
      <c r="W200" t="str">
        <f ca="1">IFERROR(((AVERAGEIFS(Feedback_360!$D$2:$D$1000,Feedback_360!$A$2:$A$1000,$A200,Feedback_360!$B$2:$B$1000,"&gt;="&amp;DATEVALUE($B200&amp;"-01"),Feedback_360!$B$2:$B$1000,"&lt;="&amp;EOMONTH(DATEVALUE($B200&amp;"-01"),0)))-1)/4*100,"")</f>
        <v/>
      </c>
      <c r="X200" t="str">
        <f ca="1">IFERROR(((AVERAGEIFS(Observacion_Directa!$D$2:$D$1000,Observacion_Directa!$A$2:$A$1000,$A200,Observacion_Directa!$B$2:$B$1000,"&gt;="&amp;DATEVALUE($B200&amp;"-01"),Observacion_Directa!$B$2:$B$1000,"&lt;="&amp;EOMONTH(DATEVALUE($B200&amp;"-01"),0)))-1)/4*100,"")</f>
        <v/>
      </c>
      <c r="Y200" t="e">
        <f t="shared" ca="1" si="7"/>
        <v>#DIV/0!</v>
      </c>
    </row>
    <row r="201" spans="12:25" x14ac:dyDescent="0.2">
      <c r="L201" t="str">
        <f t="shared" si="6"/>
        <v/>
      </c>
      <c r="M201" t="str">
        <f>IFERROR(AVERAGEIFS(Prod_5dias!$H$2:$H$1000,Prod_5dias!$A$2:$A$1000,$A201,Prod_5dias!$B$2:$B$1000,$B201),"")</f>
        <v/>
      </c>
      <c r="N201" t="str">
        <f>IF(M201="","",MIN(100,100*M201/Parametros!$B$7))</f>
        <v/>
      </c>
      <c r="O201" t="str">
        <f>IF(F201="","",IF(F201=0,100,MIN(100,100*Parametros!$B$3/F201)))</f>
        <v/>
      </c>
      <c r="P201" t="str">
        <f ca="1">IFERROR(((AVERAGEIFS(Observacion_Directa!$E$2:$E$1000,Observacion_Directa!$A$2:$A$1000,$A201,Observacion_Directa!$B$2:$B$1000,"&gt;="&amp;DATEVALUE($B201&amp;"-01"),Observacion_Directa!$B$2:$B$1000,"&lt;="&amp;EOMONTH(DATEVALUE($B201&amp;"-01"),0)))-1)/4*100,"")</f>
        <v/>
      </c>
      <c r="Q201" t="str">
        <f>IF(H201="","",MIN(100,100*H201/Parametros!$B$4))</f>
        <v/>
      </c>
      <c r="R201" t="str">
        <f>IF(I201="","",IF(I201=0,100,MIN(100,100*Parametros!$B$5/I201)))</f>
        <v/>
      </c>
      <c r="S201" t="str">
        <f>IF(J201="","",IF(J201=0,100,MIN(100,100*Parametros!$B$6/J201)))</f>
        <v/>
      </c>
      <c r="T201" t="str">
        <f>IF(L201="","",MIN(100,100*L201/Parametros!$B$7))</f>
        <v/>
      </c>
      <c r="U201" t="str">
        <f>IF(K201="","",MIN(100,100*K201/Parametros!$B$8))</f>
        <v/>
      </c>
      <c r="V201" t="str">
        <f ca="1">IFERROR(((AVERAGEIFS(Documentacion!$C$2:$C$1000,Documentacion!$A$2:$A$1000,$A201,Documentacion!$B$2:$B$1000,"&gt;="&amp;DATEVALUE($B201&amp;"-01"),Documentacion!$B$2:$B$1000,"&lt;="&amp;EOMONTH(DATEVALUE($B201&amp;"-01"),0)))-1)/4*100,"")</f>
        <v/>
      </c>
      <c r="W201" t="str">
        <f ca="1">IFERROR(((AVERAGEIFS(Feedback_360!$D$2:$D$1000,Feedback_360!$A$2:$A$1000,$A201,Feedback_360!$B$2:$B$1000,"&gt;="&amp;DATEVALUE($B201&amp;"-01"),Feedback_360!$B$2:$B$1000,"&lt;="&amp;EOMONTH(DATEVALUE($B201&amp;"-01"),0)))-1)/4*100,"")</f>
        <v/>
      </c>
      <c r="X201" t="str">
        <f ca="1">IFERROR(((AVERAGEIFS(Observacion_Directa!$D$2:$D$1000,Observacion_Directa!$A$2:$A$1000,$A201,Observacion_Directa!$B$2:$B$1000,"&gt;="&amp;DATEVALUE($B201&amp;"-01"),Observacion_Directa!$B$2:$B$1000,"&lt;="&amp;EOMONTH(DATEVALUE($B201&amp;"-01"),0)))-1)/4*100,"")</f>
        <v/>
      </c>
      <c r="Y201" t="e">
        <f t="shared" ca="1" si="7"/>
        <v>#DIV/0!</v>
      </c>
    </row>
    <row r="202" spans="12:25" x14ac:dyDescent="0.2">
      <c r="L202" t="str">
        <f t="shared" si="6"/>
        <v/>
      </c>
      <c r="M202" t="str">
        <f>IFERROR(AVERAGEIFS(Prod_5dias!$H$2:$H$1000,Prod_5dias!$A$2:$A$1000,$A202,Prod_5dias!$B$2:$B$1000,$B202),"")</f>
        <v/>
      </c>
      <c r="N202" t="str">
        <f>IF(M202="","",MIN(100,100*M202/Parametros!$B$7))</f>
        <v/>
      </c>
      <c r="O202" t="str">
        <f>IF(F202="","",IF(F202=0,100,MIN(100,100*Parametros!$B$3/F202)))</f>
        <v/>
      </c>
      <c r="P202" t="str">
        <f ca="1">IFERROR(((AVERAGEIFS(Observacion_Directa!$E$2:$E$1000,Observacion_Directa!$A$2:$A$1000,$A202,Observacion_Directa!$B$2:$B$1000,"&gt;="&amp;DATEVALUE($B202&amp;"-01"),Observacion_Directa!$B$2:$B$1000,"&lt;="&amp;EOMONTH(DATEVALUE($B202&amp;"-01"),0)))-1)/4*100,"")</f>
        <v/>
      </c>
      <c r="Q202" t="str">
        <f>IF(H202="","",MIN(100,100*H202/Parametros!$B$4))</f>
        <v/>
      </c>
      <c r="R202" t="str">
        <f>IF(I202="","",IF(I202=0,100,MIN(100,100*Parametros!$B$5/I202)))</f>
        <v/>
      </c>
      <c r="S202" t="str">
        <f>IF(J202="","",IF(J202=0,100,MIN(100,100*Parametros!$B$6/J202)))</f>
        <v/>
      </c>
      <c r="T202" t="str">
        <f>IF(L202="","",MIN(100,100*L202/Parametros!$B$7))</f>
        <v/>
      </c>
      <c r="U202" t="str">
        <f>IF(K202="","",MIN(100,100*K202/Parametros!$B$8))</f>
        <v/>
      </c>
      <c r="V202" t="str">
        <f ca="1">IFERROR(((AVERAGEIFS(Documentacion!$C$2:$C$1000,Documentacion!$A$2:$A$1000,$A202,Documentacion!$B$2:$B$1000,"&gt;="&amp;DATEVALUE($B202&amp;"-01"),Documentacion!$B$2:$B$1000,"&lt;="&amp;EOMONTH(DATEVALUE($B202&amp;"-01"),0)))-1)/4*100,"")</f>
        <v/>
      </c>
      <c r="W202" t="str">
        <f ca="1">IFERROR(((AVERAGEIFS(Feedback_360!$D$2:$D$1000,Feedback_360!$A$2:$A$1000,$A202,Feedback_360!$B$2:$B$1000,"&gt;="&amp;DATEVALUE($B202&amp;"-01"),Feedback_360!$B$2:$B$1000,"&lt;="&amp;EOMONTH(DATEVALUE($B202&amp;"-01"),0)))-1)/4*100,"")</f>
        <v/>
      </c>
      <c r="X202" t="str">
        <f ca="1">IFERROR(((AVERAGEIFS(Observacion_Directa!$D$2:$D$1000,Observacion_Directa!$A$2:$A$1000,$A202,Observacion_Directa!$B$2:$B$1000,"&gt;="&amp;DATEVALUE($B202&amp;"-01"),Observacion_Directa!$B$2:$B$1000,"&lt;="&amp;EOMONTH(DATEVALUE($B202&amp;"-01"),0)))-1)/4*100,"")</f>
        <v/>
      </c>
      <c r="Y202" t="e">
        <f t="shared" ca="1" si="7"/>
        <v>#DIV/0!</v>
      </c>
    </row>
    <row r="203" spans="12:25" x14ac:dyDescent="0.2">
      <c r="L203" t="str">
        <f t="shared" si="6"/>
        <v/>
      </c>
      <c r="M203" t="str">
        <f>IFERROR(AVERAGEIFS(Prod_5dias!$H$2:$H$1000,Prod_5dias!$A$2:$A$1000,$A203,Prod_5dias!$B$2:$B$1000,$B203),"")</f>
        <v/>
      </c>
      <c r="N203" t="str">
        <f>IF(M203="","",MIN(100,100*M203/Parametros!$B$7))</f>
        <v/>
      </c>
      <c r="O203" t="str">
        <f>IF(F203="","",IF(F203=0,100,MIN(100,100*Parametros!$B$3/F203)))</f>
        <v/>
      </c>
      <c r="P203" t="str">
        <f ca="1">IFERROR(((AVERAGEIFS(Observacion_Directa!$E$2:$E$1000,Observacion_Directa!$A$2:$A$1000,$A203,Observacion_Directa!$B$2:$B$1000,"&gt;="&amp;DATEVALUE($B203&amp;"-01"),Observacion_Directa!$B$2:$B$1000,"&lt;="&amp;EOMONTH(DATEVALUE($B203&amp;"-01"),0)))-1)/4*100,"")</f>
        <v/>
      </c>
      <c r="Q203" t="str">
        <f>IF(H203="","",MIN(100,100*H203/Parametros!$B$4))</f>
        <v/>
      </c>
      <c r="R203" t="str">
        <f>IF(I203="","",IF(I203=0,100,MIN(100,100*Parametros!$B$5/I203)))</f>
        <v/>
      </c>
      <c r="S203" t="str">
        <f>IF(J203="","",IF(J203=0,100,MIN(100,100*Parametros!$B$6/J203)))</f>
        <v/>
      </c>
      <c r="T203" t="str">
        <f>IF(L203="","",MIN(100,100*L203/Parametros!$B$7))</f>
        <v/>
      </c>
      <c r="U203" t="str">
        <f>IF(K203="","",MIN(100,100*K203/Parametros!$B$8))</f>
        <v/>
      </c>
      <c r="V203" t="str">
        <f ca="1">IFERROR(((AVERAGEIFS(Documentacion!$C$2:$C$1000,Documentacion!$A$2:$A$1000,$A203,Documentacion!$B$2:$B$1000,"&gt;="&amp;DATEVALUE($B203&amp;"-01"),Documentacion!$B$2:$B$1000,"&lt;="&amp;EOMONTH(DATEVALUE($B203&amp;"-01"),0)))-1)/4*100,"")</f>
        <v/>
      </c>
      <c r="W203" t="str">
        <f ca="1">IFERROR(((AVERAGEIFS(Feedback_360!$D$2:$D$1000,Feedback_360!$A$2:$A$1000,$A203,Feedback_360!$B$2:$B$1000,"&gt;="&amp;DATEVALUE($B203&amp;"-01"),Feedback_360!$B$2:$B$1000,"&lt;="&amp;EOMONTH(DATEVALUE($B203&amp;"-01"),0)))-1)/4*100,"")</f>
        <v/>
      </c>
      <c r="X203" t="str">
        <f ca="1">IFERROR(((AVERAGEIFS(Observacion_Directa!$D$2:$D$1000,Observacion_Directa!$A$2:$A$1000,$A203,Observacion_Directa!$B$2:$B$1000,"&gt;="&amp;DATEVALUE($B203&amp;"-01"),Observacion_Directa!$B$2:$B$1000,"&lt;="&amp;EOMONTH(DATEVALUE($B203&amp;"-01"),0)))-1)/4*100,"")</f>
        <v/>
      </c>
      <c r="Y203" t="e">
        <f t="shared" ca="1" si="7"/>
        <v>#DIV/0!</v>
      </c>
    </row>
    <row r="204" spans="12:25" x14ac:dyDescent="0.2">
      <c r="L204" t="str">
        <f t="shared" si="6"/>
        <v/>
      </c>
      <c r="M204" t="str">
        <f>IFERROR(AVERAGEIFS(Prod_5dias!$H$2:$H$1000,Prod_5dias!$A$2:$A$1000,$A204,Prod_5dias!$B$2:$B$1000,$B204),"")</f>
        <v/>
      </c>
      <c r="N204" t="str">
        <f>IF(M204="","",MIN(100,100*M204/Parametros!$B$7))</f>
        <v/>
      </c>
      <c r="O204" t="str">
        <f>IF(F204="","",IF(F204=0,100,MIN(100,100*Parametros!$B$3/F204)))</f>
        <v/>
      </c>
      <c r="P204" t="str">
        <f ca="1">IFERROR(((AVERAGEIFS(Observacion_Directa!$E$2:$E$1000,Observacion_Directa!$A$2:$A$1000,$A204,Observacion_Directa!$B$2:$B$1000,"&gt;="&amp;DATEVALUE($B204&amp;"-01"),Observacion_Directa!$B$2:$B$1000,"&lt;="&amp;EOMONTH(DATEVALUE($B204&amp;"-01"),0)))-1)/4*100,"")</f>
        <v/>
      </c>
      <c r="Q204" t="str">
        <f>IF(H204="","",MIN(100,100*H204/Parametros!$B$4))</f>
        <v/>
      </c>
      <c r="R204" t="str">
        <f>IF(I204="","",IF(I204=0,100,MIN(100,100*Parametros!$B$5/I204)))</f>
        <v/>
      </c>
      <c r="S204" t="str">
        <f>IF(J204="","",IF(J204=0,100,MIN(100,100*Parametros!$B$6/J204)))</f>
        <v/>
      </c>
      <c r="T204" t="str">
        <f>IF(L204="","",MIN(100,100*L204/Parametros!$B$7))</f>
        <v/>
      </c>
      <c r="U204" t="str">
        <f>IF(K204="","",MIN(100,100*K204/Parametros!$B$8))</f>
        <v/>
      </c>
      <c r="V204" t="str">
        <f ca="1">IFERROR(((AVERAGEIFS(Documentacion!$C$2:$C$1000,Documentacion!$A$2:$A$1000,$A204,Documentacion!$B$2:$B$1000,"&gt;="&amp;DATEVALUE($B204&amp;"-01"),Documentacion!$B$2:$B$1000,"&lt;="&amp;EOMONTH(DATEVALUE($B204&amp;"-01"),0)))-1)/4*100,"")</f>
        <v/>
      </c>
      <c r="W204" t="str">
        <f ca="1">IFERROR(((AVERAGEIFS(Feedback_360!$D$2:$D$1000,Feedback_360!$A$2:$A$1000,$A204,Feedback_360!$B$2:$B$1000,"&gt;="&amp;DATEVALUE($B204&amp;"-01"),Feedback_360!$B$2:$B$1000,"&lt;="&amp;EOMONTH(DATEVALUE($B204&amp;"-01"),0)))-1)/4*100,"")</f>
        <v/>
      </c>
      <c r="X204" t="str">
        <f ca="1">IFERROR(((AVERAGEIFS(Observacion_Directa!$D$2:$D$1000,Observacion_Directa!$A$2:$A$1000,$A204,Observacion_Directa!$B$2:$B$1000,"&gt;="&amp;DATEVALUE($B204&amp;"-01"),Observacion_Directa!$B$2:$B$1000,"&lt;="&amp;EOMONTH(DATEVALUE($B204&amp;"-01"),0)))-1)/4*100,"")</f>
        <v/>
      </c>
      <c r="Y204" t="e">
        <f t="shared" ca="1" si="7"/>
        <v>#DIV/0!</v>
      </c>
    </row>
    <row r="205" spans="12:25" x14ac:dyDescent="0.2">
      <c r="L205" t="str">
        <f t="shared" si="6"/>
        <v/>
      </c>
      <c r="M205" t="str">
        <f>IFERROR(AVERAGEIFS(Prod_5dias!$H$2:$H$1000,Prod_5dias!$A$2:$A$1000,$A205,Prod_5dias!$B$2:$B$1000,$B205),"")</f>
        <v/>
      </c>
      <c r="N205" t="str">
        <f>IF(M205="","",MIN(100,100*M205/Parametros!$B$7))</f>
        <v/>
      </c>
      <c r="O205" t="str">
        <f>IF(F205="","",IF(F205=0,100,MIN(100,100*Parametros!$B$3/F205)))</f>
        <v/>
      </c>
      <c r="P205" t="str">
        <f ca="1">IFERROR(((AVERAGEIFS(Observacion_Directa!$E$2:$E$1000,Observacion_Directa!$A$2:$A$1000,$A205,Observacion_Directa!$B$2:$B$1000,"&gt;="&amp;DATEVALUE($B205&amp;"-01"),Observacion_Directa!$B$2:$B$1000,"&lt;="&amp;EOMONTH(DATEVALUE($B205&amp;"-01"),0)))-1)/4*100,"")</f>
        <v/>
      </c>
      <c r="Q205" t="str">
        <f>IF(H205="","",MIN(100,100*H205/Parametros!$B$4))</f>
        <v/>
      </c>
      <c r="R205" t="str">
        <f>IF(I205="","",IF(I205=0,100,MIN(100,100*Parametros!$B$5/I205)))</f>
        <v/>
      </c>
      <c r="S205" t="str">
        <f>IF(J205="","",IF(J205=0,100,MIN(100,100*Parametros!$B$6/J205)))</f>
        <v/>
      </c>
      <c r="T205" t="str">
        <f>IF(L205="","",MIN(100,100*L205/Parametros!$B$7))</f>
        <v/>
      </c>
      <c r="U205" t="str">
        <f>IF(K205="","",MIN(100,100*K205/Parametros!$B$8))</f>
        <v/>
      </c>
      <c r="V205" t="str">
        <f ca="1">IFERROR(((AVERAGEIFS(Documentacion!$C$2:$C$1000,Documentacion!$A$2:$A$1000,$A205,Documentacion!$B$2:$B$1000,"&gt;="&amp;DATEVALUE($B205&amp;"-01"),Documentacion!$B$2:$B$1000,"&lt;="&amp;EOMONTH(DATEVALUE($B205&amp;"-01"),0)))-1)/4*100,"")</f>
        <v/>
      </c>
      <c r="W205" t="str">
        <f ca="1">IFERROR(((AVERAGEIFS(Feedback_360!$D$2:$D$1000,Feedback_360!$A$2:$A$1000,$A205,Feedback_360!$B$2:$B$1000,"&gt;="&amp;DATEVALUE($B205&amp;"-01"),Feedback_360!$B$2:$B$1000,"&lt;="&amp;EOMONTH(DATEVALUE($B205&amp;"-01"),0)))-1)/4*100,"")</f>
        <v/>
      </c>
      <c r="X205" t="str">
        <f ca="1">IFERROR(((AVERAGEIFS(Observacion_Directa!$D$2:$D$1000,Observacion_Directa!$A$2:$A$1000,$A205,Observacion_Directa!$B$2:$B$1000,"&gt;="&amp;DATEVALUE($B205&amp;"-01"),Observacion_Directa!$B$2:$B$1000,"&lt;="&amp;EOMONTH(DATEVALUE($B205&amp;"-01"),0)))-1)/4*100,"")</f>
        <v/>
      </c>
      <c r="Y205" t="e">
        <f t="shared" ca="1" si="7"/>
        <v>#DIV/0!</v>
      </c>
    </row>
    <row r="206" spans="12:25" x14ac:dyDescent="0.2">
      <c r="L206" t="str">
        <f t="shared" si="6"/>
        <v/>
      </c>
      <c r="M206" t="str">
        <f>IFERROR(AVERAGEIFS(Prod_5dias!$H$2:$H$1000,Prod_5dias!$A$2:$A$1000,$A206,Prod_5dias!$B$2:$B$1000,$B206),"")</f>
        <v/>
      </c>
      <c r="N206" t="str">
        <f>IF(M206="","",MIN(100,100*M206/Parametros!$B$7))</f>
        <v/>
      </c>
      <c r="O206" t="str">
        <f>IF(F206="","",IF(F206=0,100,MIN(100,100*Parametros!$B$3/F206)))</f>
        <v/>
      </c>
      <c r="P206" t="str">
        <f ca="1">IFERROR(((AVERAGEIFS(Observacion_Directa!$E$2:$E$1000,Observacion_Directa!$A$2:$A$1000,$A206,Observacion_Directa!$B$2:$B$1000,"&gt;="&amp;DATEVALUE($B206&amp;"-01"),Observacion_Directa!$B$2:$B$1000,"&lt;="&amp;EOMONTH(DATEVALUE($B206&amp;"-01"),0)))-1)/4*100,"")</f>
        <v/>
      </c>
      <c r="Q206" t="str">
        <f>IF(H206="","",MIN(100,100*H206/Parametros!$B$4))</f>
        <v/>
      </c>
      <c r="R206" t="str">
        <f>IF(I206="","",IF(I206=0,100,MIN(100,100*Parametros!$B$5/I206)))</f>
        <v/>
      </c>
      <c r="S206" t="str">
        <f>IF(J206="","",IF(J206=0,100,MIN(100,100*Parametros!$B$6/J206)))</f>
        <v/>
      </c>
      <c r="T206" t="str">
        <f>IF(L206="","",MIN(100,100*L206/Parametros!$B$7))</f>
        <v/>
      </c>
      <c r="U206" t="str">
        <f>IF(K206="","",MIN(100,100*K206/Parametros!$B$8))</f>
        <v/>
      </c>
      <c r="V206" t="str">
        <f ca="1">IFERROR(((AVERAGEIFS(Documentacion!$C$2:$C$1000,Documentacion!$A$2:$A$1000,$A206,Documentacion!$B$2:$B$1000,"&gt;="&amp;DATEVALUE($B206&amp;"-01"),Documentacion!$B$2:$B$1000,"&lt;="&amp;EOMONTH(DATEVALUE($B206&amp;"-01"),0)))-1)/4*100,"")</f>
        <v/>
      </c>
      <c r="W206" t="str">
        <f ca="1">IFERROR(((AVERAGEIFS(Feedback_360!$D$2:$D$1000,Feedback_360!$A$2:$A$1000,$A206,Feedback_360!$B$2:$B$1000,"&gt;="&amp;DATEVALUE($B206&amp;"-01"),Feedback_360!$B$2:$B$1000,"&lt;="&amp;EOMONTH(DATEVALUE($B206&amp;"-01"),0)))-1)/4*100,"")</f>
        <v/>
      </c>
      <c r="X206" t="str">
        <f ca="1">IFERROR(((AVERAGEIFS(Observacion_Directa!$D$2:$D$1000,Observacion_Directa!$A$2:$A$1000,$A206,Observacion_Directa!$B$2:$B$1000,"&gt;="&amp;DATEVALUE($B206&amp;"-01"),Observacion_Directa!$B$2:$B$1000,"&lt;="&amp;EOMONTH(DATEVALUE($B206&amp;"-01"),0)))-1)/4*100,"")</f>
        <v/>
      </c>
      <c r="Y206" t="e">
        <f t="shared" ca="1" si="7"/>
        <v>#DIV/0!</v>
      </c>
    </row>
    <row r="207" spans="12:25" x14ac:dyDescent="0.2">
      <c r="L207" t="str">
        <f t="shared" si="6"/>
        <v/>
      </c>
      <c r="M207" t="str">
        <f>IFERROR(AVERAGEIFS(Prod_5dias!$H$2:$H$1000,Prod_5dias!$A$2:$A$1000,$A207,Prod_5dias!$B$2:$B$1000,$B207),"")</f>
        <v/>
      </c>
      <c r="N207" t="str">
        <f>IF(M207="","",MIN(100,100*M207/Parametros!$B$7))</f>
        <v/>
      </c>
      <c r="O207" t="str">
        <f>IF(F207="","",IF(F207=0,100,MIN(100,100*Parametros!$B$3/F207)))</f>
        <v/>
      </c>
      <c r="P207" t="str">
        <f ca="1">IFERROR(((AVERAGEIFS(Observacion_Directa!$E$2:$E$1000,Observacion_Directa!$A$2:$A$1000,$A207,Observacion_Directa!$B$2:$B$1000,"&gt;="&amp;DATEVALUE($B207&amp;"-01"),Observacion_Directa!$B$2:$B$1000,"&lt;="&amp;EOMONTH(DATEVALUE($B207&amp;"-01"),0)))-1)/4*100,"")</f>
        <v/>
      </c>
      <c r="Q207" t="str">
        <f>IF(H207="","",MIN(100,100*H207/Parametros!$B$4))</f>
        <v/>
      </c>
      <c r="R207" t="str">
        <f>IF(I207="","",IF(I207=0,100,MIN(100,100*Parametros!$B$5/I207)))</f>
        <v/>
      </c>
      <c r="S207" t="str">
        <f>IF(J207="","",IF(J207=0,100,MIN(100,100*Parametros!$B$6/J207)))</f>
        <v/>
      </c>
      <c r="T207" t="str">
        <f>IF(L207="","",MIN(100,100*L207/Parametros!$B$7))</f>
        <v/>
      </c>
      <c r="U207" t="str">
        <f>IF(K207="","",MIN(100,100*K207/Parametros!$B$8))</f>
        <v/>
      </c>
      <c r="V207" t="str">
        <f ca="1">IFERROR(((AVERAGEIFS(Documentacion!$C$2:$C$1000,Documentacion!$A$2:$A$1000,$A207,Documentacion!$B$2:$B$1000,"&gt;="&amp;DATEVALUE($B207&amp;"-01"),Documentacion!$B$2:$B$1000,"&lt;="&amp;EOMONTH(DATEVALUE($B207&amp;"-01"),0)))-1)/4*100,"")</f>
        <v/>
      </c>
      <c r="W207" t="str">
        <f ca="1">IFERROR(((AVERAGEIFS(Feedback_360!$D$2:$D$1000,Feedback_360!$A$2:$A$1000,$A207,Feedback_360!$B$2:$B$1000,"&gt;="&amp;DATEVALUE($B207&amp;"-01"),Feedback_360!$B$2:$B$1000,"&lt;="&amp;EOMONTH(DATEVALUE($B207&amp;"-01"),0)))-1)/4*100,"")</f>
        <v/>
      </c>
      <c r="X207" t="str">
        <f ca="1">IFERROR(((AVERAGEIFS(Observacion_Directa!$D$2:$D$1000,Observacion_Directa!$A$2:$A$1000,$A207,Observacion_Directa!$B$2:$B$1000,"&gt;="&amp;DATEVALUE($B207&amp;"-01"),Observacion_Directa!$B$2:$B$1000,"&lt;="&amp;EOMONTH(DATEVALUE($B207&amp;"-01"),0)))-1)/4*100,"")</f>
        <v/>
      </c>
      <c r="Y207" t="e">
        <f t="shared" ca="1" si="7"/>
        <v>#DIV/0!</v>
      </c>
    </row>
    <row r="208" spans="12:25" x14ac:dyDescent="0.2">
      <c r="L208" t="str">
        <f t="shared" si="6"/>
        <v/>
      </c>
      <c r="M208" t="str">
        <f>IFERROR(AVERAGEIFS(Prod_5dias!$H$2:$H$1000,Prod_5dias!$A$2:$A$1000,$A208,Prod_5dias!$B$2:$B$1000,$B208),"")</f>
        <v/>
      </c>
      <c r="N208" t="str">
        <f>IF(M208="","",MIN(100,100*M208/Parametros!$B$7))</f>
        <v/>
      </c>
      <c r="O208" t="str">
        <f>IF(F208="","",IF(F208=0,100,MIN(100,100*Parametros!$B$3/F208)))</f>
        <v/>
      </c>
      <c r="P208" t="str">
        <f ca="1">IFERROR(((AVERAGEIFS(Observacion_Directa!$E$2:$E$1000,Observacion_Directa!$A$2:$A$1000,$A208,Observacion_Directa!$B$2:$B$1000,"&gt;="&amp;DATEVALUE($B208&amp;"-01"),Observacion_Directa!$B$2:$B$1000,"&lt;="&amp;EOMONTH(DATEVALUE($B208&amp;"-01"),0)))-1)/4*100,"")</f>
        <v/>
      </c>
      <c r="Q208" t="str">
        <f>IF(H208="","",MIN(100,100*H208/Parametros!$B$4))</f>
        <v/>
      </c>
      <c r="R208" t="str">
        <f>IF(I208="","",IF(I208=0,100,MIN(100,100*Parametros!$B$5/I208)))</f>
        <v/>
      </c>
      <c r="S208" t="str">
        <f>IF(J208="","",IF(J208=0,100,MIN(100,100*Parametros!$B$6/J208)))</f>
        <v/>
      </c>
      <c r="T208" t="str">
        <f>IF(L208="","",MIN(100,100*L208/Parametros!$B$7))</f>
        <v/>
      </c>
      <c r="U208" t="str">
        <f>IF(K208="","",MIN(100,100*K208/Parametros!$B$8))</f>
        <v/>
      </c>
      <c r="V208" t="str">
        <f ca="1">IFERROR(((AVERAGEIFS(Documentacion!$C$2:$C$1000,Documentacion!$A$2:$A$1000,$A208,Documentacion!$B$2:$B$1000,"&gt;="&amp;DATEVALUE($B208&amp;"-01"),Documentacion!$B$2:$B$1000,"&lt;="&amp;EOMONTH(DATEVALUE($B208&amp;"-01"),0)))-1)/4*100,"")</f>
        <v/>
      </c>
      <c r="W208" t="str">
        <f ca="1">IFERROR(((AVERAGEIFS(Feedback_360!$D$2:$D$1000,Feedback_360!$A$2:$A$1000,$A208,Feedback_360!$B$2:$B$1000,"&gt;="&amp;DATEVALUE($B208&amp;"-01"),Feedback_360!$B$2:$B$1000,"&lt;="&amp;EOMONTH(DATEVALUE($B208&amp;"-01"),0)))-1)/4*100,"")</f>
        <v/>
      </c>
      <c r="X208" t="str">
        <f ca="1">IFERROR(((AVERAGEIFS(Observacion_Directa!$D$2:$D$1000,Observacion_Directa!$A$2:$A$1000,$A208,Observacion_Directa!$B$2:$B$1000,"&gt;="&amp;DATEVALUE($B208&amp;"-01"),Observacion_Directa!$B$2:$B$1000,"&lt;="&amp;EOMONTH(DATEVALUE($B208&amp;"-01"),0)))-1)/4*100,"")</f>
        <v/>
      </c>
      <c r="Y208" t="e">
        <f t="shared" ca="1" si="7"/>
        <v>#DIV/0!</v>
      </c>
    </row>
    <row r="209" spans="12:25" x14ac:dyDescent="0.2">
      <c r="L209" t="str">
        <f t="shared" si="6"/>
        <v/>
      </c>
      <c r="M209" t="str">
        <f>IFERROR(AVERAGEIFS(Prod_5dias!$H$2:$H$1000,Prod_5dias!$A$2:$A$1000,$A209,Prod_5dias!$B$2:$B$1000,$B209),"")</f>
        <v/>
      </c>
      <c r="N209" t="str">
        <f>IF(M209="","",MIN(100,100*M209/Parametros!$B$7))</f>
        <v/>
      </c>
      <c r="O209" t="str">
        <f>IF(F209="","",IF(F209=0,100,MIN(100,100*Parametros!$B$3/F209)))</f>
        <v/>
      </c>
      <c r="P209" t="str">
        <f ca="1">IFERROR(((AVERAGEIFS(Observacion_Directa!$E$2:$E$1000,Observacion_Directa!$A$2:$A$1000,$A209,Observacion_Directa!$B$2:$B$1000,"&gt;="&amp;DATEVALUE($B209&amp;"-01"),Observacion_Directa!$B$2:$B$1000,"&lt;="&amp;EOMONTH(DATEVALUE($B209&amp;"-01"),0)))-1)/4*100,"")</f>
        <v/>
      </c>
      <c r="Q209" t="str">
        <f>IF(H209="","",MIN(100,100*H209/Parametros!$B$4))</f>
        <v/>
      </c>
      <c r="R209" t="str">
        <f>IF(I209="","",IF(I209=0,100,MIN(100,100*Parametros!$B$5/I209)))</f>
        <v/>
      </c>
      <c r="S209" t="str">
        <f>IF(J209="","",IF(J209=0,100,MIN(100,100*Parametros!$B$6/J209)))</f>
        <v/>
      </c>
      <c r="T209" t="str">
        <f>IF(L209="","",MIN(100,100*L209/Parametros!$B$7))</f>
        <v/>
      </c>
      <c r="U209" t="str">
        <f>IF(K209="","",MIN(100,100*K209/Parametros!$B$8))</f>
        <v/>
      </c>
      <c r="V209" t="str">
        <f ca="1">IFERROR(((AVERAGEIFS(Documentacion!$C$2:$C$1000,Documentacion!$A$2:$A$1000,$A209,Documentacion!$B$2:$B$1000,"&gt;="&amp;DATEVALUE($B209&amp;"-01"),Documentacion!$B$2:$B$1000,"&lt;="&amp;EOMONTH(DATEVALUE($B209&amp;"-01"),0)))-1)/4*100,"")</f>
        <v/>
      </c>
      <c r="W209" t="str">
        <f ca="1">IFERROR(((AVERAGEIFS(Feedback_360!$D$2:$D$1000,Feedback_360!$A$2:$A$1000,$A209,Feedback_360!$B$2:$B$1000,"&gt;="&amp;DATEVALUE($B209&amp;"-01"),Feedback_360!$B$2:$B$1000,"&lt;="&amp;EOMONTH(DATEVALUE($B209&amp;"-01"),0)))-1)/4*100,"")</f>
        <v/>
      </c>
      <c r="X209" t="str">
        <f ca="1">IFERROR(((AVERAGEIFS(Observacion_Directa!$D$2:$D$1000,Observacion_Directa!$A$2:$A$1000,$A209,Observacion_Directa!$B$2:$B$1000,"&gt;="&amp;DATEVALUE($B209&amp;"-01"),Observacion_Directa!$B$2:$B$1000,"&lt;="&amp;EOMONTH(DATEVALUE($B209&amp;"-01"),0)))-1)/4*100,"")</f>
        <v/>
      </c>
      <c r="Y209" t="e">
        <f t="shared" ca="1" si="7"/>
        <v>#DIV/0!</v>
      </c>
    </row>
    <row r="210" spans="12:25" x14ac:dyDescent="0.2">
      <c r="L210" t="str">
        <f t="shared" si="6"/>
        <v/>
      </c>
      <c r="M210" t="str">
        <f>IFERROR(AVERAGEIFS(Prod_5dias!$H$2:$H$1000,Prod_5dias!$A$2:$A$1000,$A210,Prod_5dias!$B$2:$B$1000,$B210),"")</f>
        <v/>
      </c>
      <c r="N210" t="str">
        <f>IF(M210="","",MIN(100,100*M210/Parametros!$B$7))</f>
        <v/>
      </c>
      <c r="O210" t="str">
        <f>IF(F210="","",IF(F210=0,100,MIN(100,100*Parametros!$B$3/F210)))</f>
        <v/>
      </c>
      <c r="P210" t="str">
        <f ca="1">IFERROR(((AVERAGEIFS(Observacion_Directa!$E$2:$E$1000,Observacion_Directa!$A$2:$A$1000,$A210,Observacion_Directa!$B$2:$B$1000,"&gt;="&amp;DATEVALUE($B210&amp;"-01"),Observacion_Directa!$B$2:$B$1000,"&lt;="&amp;EOMONTH(DATEVALUE($B210&amp;"-01"),0)))-1)/4*100,"")</f>
        <v/>
      </c>
      <c r="Q210" t="str">
        <f>IF(H210="","",MIN(100,100*H210/Parametros!$B$4))</f>
        <v/>
      </c>
      <c r="R210" t="str">
        <f>IF(I210="","",IF(I210=0,100,MIN(100,100*Parametros!$B$5/I210)))</f>
        <v/>
      </c>
      <c r="S210" t="str">
        <f>IF(J210="","",IF(J210=0,100,MIN(100,100*Parametros!$B$6/J210)))</f>
        <v/>
      </c>
      <c r="T210" t="str">
        <f>IF(L210="","",MIN(100,100*L210/Parametros!$B$7))</f>
        <v/>
      </c>
      <c r="U210" t="str">
        <f>IF(K210="","",MIN(100,100*K210/Parametros!$B$8))</f>
        <v/>
      </c>
      <c r="V210" t="str">
        <f ca="1">IFERROR(((AVERAGEIFS(Documentacion!$C$2:$C$1000,Documentacion!$A$2:$A$1000,$A210,Documentacion!$B$2:$B$1000,"&gt;="&amp;DATEVALUE($B210&amp;"-01"),Documentacion!$B$2:$B$1000,"&lt;="&amp;EOMONTH(DATEVALUE($B210&amp;"-01"),0)))-1)/4*100,"")</f>
        <v/>
      </c>
      <c r="W210" t="str">
        <f ca="1">IFERROR(((AVERAGEIFS(Feedback_360!$D$2:$D$1000,Feedback_360!$A$2:$A$1000,$A210,Feedback_360!$B$2:$B$1000,"&gt;="&amp;DATEVALUE($B210&amp;"-01"),Feedback_360!$B$2:$B$1000,"&lt;="&amp;EOMONTH(DATEVALUE($B210&amp;"-01"),0)))-1)/4*100,"")</f>
        <v/>
      </c>
      <c r="X210" t="str">
        <f ca="1">IFERROR(((AVERAGEIFS(Observacion_Directa!$D$2:$D$1000,Observacion_Directa!$A$2:$A$1000,$A210,Observacion_Directa!$B$2:$B$1000,"&gt;="&amp;DATEVALUE($B210&amp;"-01"),Observacion_Directa!$B$2:$B$1000,"&lt;="&amp;EOMONTH(DATEVALUE($B210&amp;"-01"),0)))-1)/4*100,"")</f>
        <v/>
      </c>
      <c r="Y210" t="e">
        <f t="shared" ca="1" si="7"/>
        <v>#DIV/0!</v>
      </c>
    </row>
    <row r="211" spans="12:25" x14ac:dyDescent="0.2">
      <c r="L211" t="str">
        <f t="shared" si="6"/>
        <v/>
      </c>
      <c r="M211" t="str">
        <f>IFERROR(AVERAGEIFS(Prod_5dias!$H$2:$H$1000,Prod_5dias!$A$2:$A$1000,$A211,Prod_5dias!$B$2:$B$1000,$B211),"")</f>
        <v/>
      </c>
      <c r="N211" t="str">
        <f>IF(M211="","",MIN(100,100*M211/Parametros!$B$7))</f>
        <v/>
      </c>
      <c r="O211" t="str">
        <f>IF(F211="","",IF(F211=0,100,MIN(100,100*Parametros!$B$3/F211)))</f>
        <v/>
      </c>
      <c r="P211" t="str">
        <f ca="1">IFERROR(((AVERAGEIFS(Observacion_Directa!$E$2:$E$1000,Observacion_Directa!$A$2:$A$1000,$A211,Observacion_Directa!$B$2:$B$1000,"&gt;="&amp;DATEVALUE($B211&amp;"-01"),Observacion_Directa!$B$2:$B$1000,"&lt;="&amp;EOMONTH(DATEVALUE($B211&amp;"-01"),0)))-1)/4*100,"")</f>
        <v/>
      </c>
      <c r="Q211" t="str">
        <f>IF(H211="","",MIN(100,100*H211/Parametros!$B$4))</f>
        <v/>
      </c>
      <c r="R211" t="str">
        <f>IF(I211="","",IF(I211=0,100,MIN(100,100*Parametros!$B$5/I211)))</f>
        <v/>
      </c>
      <c r="S211" t="str">
        <f>IF(J211="","",IF(J211=0,100,MIN(100,100*Parametros!$B$6/J211)))</f>
        <v/>
      </c>
      <c r="T211" t="str">
        <f>IF(L211="","",MIN(100,100*L211/Parametros!$B$7))</f>
        <v/>
      </c>
      <c r="U211" t="str">
        <f>IF(K211="","",MIN(100,100*K211/Parametros!$B$8))</f>
        <v/>
      </c>
      <c r="V211" t="str">
        <f ca="1">IFERROR(((AVERAGEIFS(Documentacion!$C$2:$C$1000,Documentacion!$A$2:$A$1000,$A211,Documentacion!$B$2:$B$1000,"&gt;="&amp;DATEVALUE($B211&amp;"-01"),Documentacion!$B$2:$B$1000,"&lt;="&amp;EOMONTH(DATEVALUE($B211&amp;"-01"),0)))-1)/4*100,"")</f>
        <v/>
      </c>
      <c r="W211" t="str">
        <f ca="1">IFERROR(((AVERAGEIFS(Feedback_360!$D$2:$D$1000,Feedback_360!$A$2:$A$1000,$A211,Feedback_360!$B$2:$B$1000,"&gt;="&amp;DATEVALUE($B211&amp;"-01"),Feedback_360!$B$2:$B$1000,"&lt;="&amp;EOMONTH(DATEVALUE($B211&amp;"-01"),0)))-1)/4*100,"")</f>
        <v/>
      </c>
      <c r="X211" t="str">
        <f ca="1">IFERROR(((AVERAGEIFS(Observacion_Directa!$D$2:$D$1000,Observacion_Directa!$A$2:$A$1000,$A211,Observacion_Directa!$B$2:$B$1000,"&gt;="&amp;DATEVALUE($B211&amp;"-01"),Observacion_Directa!$B$2:$B$1000,"&lt;="&amp;EOMONTH(DATEVALUE($B211&amp;"-01"),0)))-1)/4*100,"")</f>
        <v/>
      </c>
      <c r="Y211" t="e">
        <f t="shared" ca="1" si="7"/>
        <v>#DIV/0!</v>
      </c>
    </row>
    <row r="212" spans="12:25" x14ac:dyDescent="0.2">
      <c r="L212" t="str">
        <f t="shared" si="6"/>
        <v/>
      </c>
      <c r="M212" t="str">
        <f>IFERROR(AVERAGEIFS(Prod_5dias!$H$2:$H$1000,Prod_5dias!$A$2:$A$1000,$A212,Prod_5dias!$B$2:$B$1000,$B212),"")</f>
        <v/>
      </c>
      <c r="N212" t="str">
        <f>IF(M212="","",MIN(100,100*M212/Parametros!$B$7))</f>
        <v/>
      </c>
      <c r="O212" t="str">
        <f>IF(F212="","",IF(F212=0,100,MIN(100,100*Parametros!$B$3/F212)))</f>
        <v/>
      </c>
      <c r="P212" t="str">
        <f ca="1">IFERROR(((AVERAGEIFS(Observacion_Directa!$E$2:$E$1000,Observacion_Directa!$A$2:$A$1000,$A212,Observacion_Directa!$B$2:$B$1000,"&gt;="&amp;DATEVALUE($B212&amp;"-01"),Observacion_Directa!$B$2:$B$1000,"&lt;="&amp;EOMONTH(DATEVALUE($B212&amp;"-01"),0)))-1)/4*100,"")</f>
        <v/>
      </c>
      <c r="Q212" t="str">
        <f>IF(H212="","",MIN(100,100*H212/Parametros!$B$4))</f>
        <v/>
      </c>
      <c r="R212" t="str">
        <f>IF(I212="","",IF(I212=0,100,MIN(100,100*Parametros!$B$5/I212)))</f>
        <v/>
      </c>
      <c r="S212" t="str">
        <f>IF(J212="","",IF(J212=0,100,MIN(100,100*Parametros!$B$6/J212)))</f>
        <v/>
      </c>
      <c r="T212" t="str">
        <f>IF(L212="","",MIN(100,100*L212/Parametros!$B$7))</f>
        <v/>
      </c>
      <c r="U212" t="str">
        <f>IF(K212="","",MIN(100,100*K212/Parametros!$B$8))</f>
        <v/>
      </c>
      <c r="V212" t="str">
        <f ca="1">IFERROR(((AVERAGEIFS(Documentacion!$C$2:$C$1000,Documentacion!$A$2:$A$1000,$A212,Documentacion!$B$2:$B$1000,"&gt;="&amp;DATEVALUE($B212&amp;"-01"),Documentacion!$B$2:$B$1000,"&lt;="&amp;EOMONTH(DATEVALUE($B212&amp;"-01"),0)))-1)/4*100,"")</f>
        <v/>
      </c>
      <c r="W212" t="str">
        <f ca="1">IFERROR(((AVERAGEIFS(Feedback_360!$D$2:$D$1000,Feedback_360!$A$2:$A$1000,$A212,Feedback_360!$B$2:$B$1000,"&gt;="&amp;DATEVALUE($B212&amp;"-01"),Feedback_360!$B$2:$B$1000,"&lt;="&amp;EOMONTH(DATEVALUE($B212&amp;"-01"),0)))-1)/4*100,"")</f>
        <v/>
      </c>
      <c r="X212" t="str">
        <f ca="1">IFERROR(((AVERAGEIFS(Observacion_Directa!$D$2:$D$1000,Observacion_Directa!$A$2:$A$1000,$A212,Observacion_Directa!$B$2:$B$1000,"&gt;="&amp;DATEVALUE($B212&amp;"-01"),Observacion_Directa!$B$2:$B$1000,"&lt;="&amp;EOMONTH(DATEVALUE($B212&amp;"-01"),0)))-1)/4*100,"")</f>
        <v/>
      </c>
      <c r="Y212" t="e">
        <f t="shared" ca="1" si="7"/>
        <v>#DIV/0!</v>
      </c>
    </row>
    <row r="213" spans="12:25" x14ac:dyDescent="0.2">
      <c r="L213" t="str">
        <f t="shared" si="6"/>
        <v/>
      </c>
      <c r="M213" t="str">
        <f>IFERROR(AVERAGEIFS(Prod_5dias!$H$2:$H$1000,Prod_5dias!$A$2:$A$1000,$A213,Prod_5dias!$B$2:$B$1000,$B213),"")</f>
        <v/>
      </c>
      <c r="N213" t="str">
        <f>IF(M213="","",MIN(100,100*M213/Parametros!$B$7))</f>
        <v/>
      </c>
      <c r="O213" t="str">
        <f>IF(F213="","",IF(F213=0,100,MIN(100,100*Parametros!$B$3/F213)))</f>
        <v/>
      </c>
      <c r="P213" t="str">
        <f ca="1">IFERROR(((AVERAGEIFS(Observacion_Directa!$E$2:$E$1000,Observacion_Directa!$A$2:$A$1000,$A213,Observacion_Directa!$B$2:$B$1000,"&gt;="&amp;DATEVALUE($B213&amp;"-01"),Observacion_Directa!$B$2:$B$1000,"&lt;="&amp;EOMONTH(DATEVALUE($B213&amp;"-01"),0)))-1)/4*100,"")</f>
        <v/>
      </c>
      <c r="Q213" t="str">
        <f>IF(H213="","",MIN(100,100*H213/Parametros!$B$4))</f>
        <v/>
      </c>
      <c r="R213" t="str">
        <f>IF(I213="","",IF(I213=0,100,MIN(100,100*Parametros!$B$5/I213)))</f>
        <v/>
      </c>
      <c r="S213" t="str">
        <f>IF(J213="","",IF(J213=0,100,MIN(100,100*Parametros!$B$6/J213)))</f>
        <v/>
      </c>
      <c r="T213" t="str">
        <f>IF(L213="","",MIN(100,100*L213/Parametros!$B$7))</f>
        <v/>
      </c>
      <c r="U213" t="str">
        <f>IF(K213="","",MIN(100,100*K213/Parametros!$B$8))</f>
        <v/>
      </c>
      <c r="V213" t="str">
        <f ca="1">IFERROR(((AVERAGEIFS(Documentacion!$C$2:$C$1000,Documentacion!$A$2:$A$1000,$A213,Documentacion!$B$2:$B$1000,"&gt;="&amp;DATEVALUE($B213&amp;"-01"),Documentacion!$B$2:$B$1000,"&lt;="&amp;EOMONTH(DATEVALUE($B213&amp;"-01"),0)))-1)/4*100,"")</f>
        <v/>
      </c>
      <c r="W213" t="str">
        <f ca="1">IFERROR(((AVERAGEIFS(Feedback_360!$D$2:$D$1000,Feedback_360!$A$2:$A$1000,$A213,Feedback_360!$B$2:$B$1000,"&gt;="&amp;DATEVALUE($B213&amp;"-01"),Feedback_360!$B$2:$B$1000,"&lt;="&amp;EOMONTH(DATEVALUE($B213&amp;"-01"),0)))-1)/4*100,"")</f>
        <v/>
      </c>
      <c r="X213" t="str">
        <f ca="1">IFERROR(((AVERAGEIFS(Observacion_Directa!$D$2:$D$1000,Observacion_Directa!$A$2:$A$1000,$A213,Observacion_Directa!$B$2:$B$1000,"&gt;="&amp;DATEVALUE($B213&amp;"-01"),Observacion_Directa!$B$2:$B$1000,"&lt;="&amp;EOMONTH(DATEVALUE($B213&amp;"-01"),0)))-1)/4*100,"")</f>
        <v/>
      </c>
      <c r="Y213" t="e">
        <f t="shared" ca="1" si="7"/>
        <v>#DIV/0!</v>
      </c>
    </row>
    <row r="214" spans="12:25" x14ac:dyDescent="0.2">
      <c r="L214" t="str">
        <f t="shared" si="6"/>
        <v/>
      </c>
      <c r="M214" t="str">
        <f>IFERROR(AVERAGEIFS(Prod_5dias!$H$2:$H$1000,Prod_5dias!$A$2:$A$1000,$A214,Prod_5dias!$B$2:$B$1000,$B214),"")</f>
        <v/>
      </c>
      <c r="N214" t="str">
        <f>IF(M214="","",MIN(100,100*M214/Parametros!$B$7))</f>
        <v/>
      </c>
      <c r="O214" t="str">
        <f>IF(F214="","",IF(F214=0,100,MIN(100,100*Parametros!$B$3/F214)))</f>
        <v/>
      </c>
      <c r="P214" t="str">
        <f ca="1">IFERROR(((AVERAGEIFS(Observacion_Directa!$E$2:$E$1000,Observacion_Directa!$A$2:$A$1000,$A214,Observacion_Directa!$B$2:$B$1000,"&gt;="&amp;DATEVALUE($B214&amp;"-01"),Observacion_Directa!$B$2:$B$1000,"&lt;="&amp;EOMONTH(DATEVALUE($B214&amp;"-01"),0)))-1)/4*100,"")</f>
        <v/>
      </c>
      <c r="Q214" t="str">
        <f>IF(H214="","",MIN(100,100*H214/Parametros!$B$4))</f>
        <v/>
      </c>
      <c r="R214" t="str">
        <f>IF(I214="","",IF(I214=0,100,MIN(100,100*Parametros!$B$5/I214)))</f>
        <v/>
      </c>
      <c r="S214" t="str">
        <f>IF(J214="","",IF(J214=0,100,MIN(100,100*Parametros!$B$6/J214)))</f>
        <v/>
      </c>
      <c r="T214" t="str">
        <f>IF(L214="","",MIN(100,100*L214/Parametros!$B$7))</f>
        <v/>
      </c>
      <c r="U214" t="str">
        <f>IF(K214="","",MIN(100,100*K214/Parametros!$B$8))</f>
        <v/>
      </c>
      <c r="V214" t="str">
        <f ca="1">IFERROR(((AVERAGEIFS(Documentacion!$C$2:$C$1000,Documentacion!$A$2:$A$1000,$A214,Documentacion!$B$2:$B$1000,"&gt;="&amp;DATEVALUE($B214&amp;"-01"),Documentacion!$B$2:$B$1000,"&lt;="&amp;EOMONTH(DATEVALUE($B214&amp;"-01"),0)))-1)/4*100,"")</f>
        <v/>
      </c>
      <c r="W214" t="str">
        <f ca="1">IFERROR(((AVERAGEIFS(Feedback_360!$D$2:$D$1000,Feedback_360!$A$2:$A$1000,$A214,Feedback_360!$B$2:$B$1000,"&gt;="&amp;DATEVALUE($B214&amp;"-01"),Feedback_360!$B$2:$B$1000,"&lt;="&amp;EOMONTH(DATEVALUE($B214&amp;"-01"),0)))-1)/4*100,"")</f>
        <v/>
      </c>
      <c r="X214" t="str">
        <f ca="1">IFERROR(((AVERAGEIFS(Observacion_Directa!$D$2:$D$1000,Observacion_Directa!$A$2:$A$1000,$A214,Observacion_Directa!$B$2:$B$1000,"&gt;="&amp;DATEVALUE($B214&amp;"-01"),Observacion_Directa!$B$2:$B$1000,"&lt;="&amp;EOMONTH(DATEVALUE($B214&amp;"-01"),0)))-1)/4*100,"")</f>
        <v/>
      </c>
      <c r="Y214" t="e">
        <f t="shared" ca="1" si="7"/>
        <v>#DIV/0!</v>
      </c>
    </row>
    <row r="215" spans="12:25" x14ac:dyDescent="0.2">
      <c r="L215" t="str">
        <f t="shared" si="6"/>
        <v/>
      </c>
      <c r="M215" t="str">
        <f>IFERROR(AVERAGEIFS(Prod_5dias!$H$2:$H$1000,Prod_5dias!$A$2:$A$1000,$A215,Prod_5dias!$B$2:$B$1000,$B215),"")</f>
        <v/>
      </c>
      <c r="N215" t="str">
        <f>IF(M215="","",MIN(100,100*M215/Parametros!$B$7))</f>
        <v/>
      </c>
      <c r="O215" t="str">
        <f>IF(F215="","",IF(F215=0,100,MIN(100,100*Parametros!$B$3/F215)))</f>
        <v/>
      </c>
      <c r="P215" t="str">
        <f ca="1">IFERROR(((AVERAGEIFS(Observacion_Directa!$E$2:$E$1000,Observacion_Directa!$A$2:$A$1000,$A215,Observacion_Directa!$B$2:$B$1000,"&gt;="&amp;DATEVALUE($B215&amp;"-01"),Observacion_Directa!$B$2:$B$1000,"&lt;="&amp;EOMONTH(DATEVALUE($B215&amp;"-01"),0)))-1)/4*100,"")</f>
        <v/>
      </c>
      <c r="Q215" t="str">
        <f>IF(H215="","",MIN(100,100*H215/Parametros!$B$4))</f>
        <v/>
      </c>
      <c r="R215" t="str">
        <f>IF(I215="","",IF(I215=0,100,MIN(100,100*Parametros!$B$5/I215)))</f>
        <v/>
      </c>
      <c r="S215" t="str">
        <f>IF(J215="","",IF(J215=0,100,MIN(100,100*Parametros!$B$6/J215)))</f>
        <v/>
      </c>
      <c r="T215" t="str">
        <f>IF(L215="","",MIN(100,100*L215/Parametros!$B$7))</f>
        <v/>
      </c>
      <c r="U215" t="str">
        <f>IF(K215="","",MIN(100,100*K215/Parametros!$B$8))</f>
        <v/>
      </c>
      <c r="V215" t="str">
        <f ca="1">IFERROR(((AVERAGEIFS(Documentacion!$C$2:$C$1000,Documentacion!$A$2:$A$1000,$A215,Documentacion!$B$2:$B$1000,"&gt;="&amp;DATEVALUE($B215&amp;"-01"),Documentacion!$B$2:$B$1000,"&lt;="&amp;EOMONTH(DATEVALUE($B215&amp;"-01"),0)))-1)/4*100,"")</f>
        <v/>
      </c>
      <c r="W215" t="str">
        <f ca="1">IFERROR(((AVERAGEIFS(Feedback_360!$D$2:$D$1000,Feedback_360!$A$2:$A$1000,$A215,Feedback_360!$B$2:$B$1000,"&gt;="&amp;DATEVALUE($B215&amp;"-01"),Feedback_360!$B$2:$B$1000,"&lt;="&amp;EOMONTH(DATEVALUE($B215&amp;"-01"),0)))-1)/4*100,"")</f>
        <v/>
      </c>
      <c r="X215" t="str">
        <f ca="1">IFERROR(((AVERAGEIFS(Observacion_Directa!$D$2:$D$1000,Observacion_Directa!$A$2:$A$1000,$A215,Observacion_Directa!$B$2:$B$1000,"&gt;="&amp;DATEVALUE($B215&amp;"-01"),Observacion_Directa!$B$2:$B$1000,"&lt;="&amp;EOMONTH(DATEVALUE($B215&amp;"-01"),0)))-1)/4*100,"")</f>
        <v/>
      </c>
      <c r="Y215" t="e">
        <f t="shared" ca="1" si="7"/>
        <v>#DIV/0!</v>
      </c>
    </row>
    <row r="216" spans="12:25" x14ac:dyDescent="0.2">
      <c r="L216" t="str">
        <f t="shared" si="6"/>
        <v/>
      </c>
      <c r="M216" t="str">
        <f>IFERROR(AVERAGEIFS(Prod_5dias!$H$2:$H$1000,Prod_5dias!$A$2:$A$1000,$A216,Prod_5dias!$B$2:$B$1000,$B216),"")</f>
        <v/>
      </c>
      <c r="N216" t="str">
        <f>IF(M216="","",MIN(100,100*M216/Parametros!$B$7))</f>
        <v/>
      </c>
      <c r="O216" t="str">
        <f>IF(F216="","",IF(F216=0,100,MIN(100,100*Parametros!$B$3/F216)))</f>
        <v/>
      </c>
      <c r="P216" t="str">
        <f ca="1">IFERROR(((AVERAGEIFS(Observacion_Directa!$E$2:$E$1000,Observacion_Directa!$A$2:$A$1000,$A216,Observacion_Directa!$B$2:$B$1000,"&gt;="&amp;DATEVALUE($B216&amp;"-01"),Observacion_Directa!$B$2:$B$1000,"&lt;="&amp;EOMONTH(DATEVALUE($B216&amp;"-01"),0)))-1)/4*100,"")</f>
        <v/>
      </c>
      <c r="Q216" t="str">
        <f>IF(H216="","",MIN(100,100*H216/Parametros!$B$4))</f>
        <v/>
      </c>
      <c r="R216" t="str">
        <f>IF(I216="","",IF(I216=0,100,MIN(100,100*Parametros!$B$5/I216)))</f>
        <v/>
      </c>
      <c r="S216" t="str">
        <f>IF(J216="","",IF(J216=0,100,MIN(100,100*Parametros!$B$6/J216)))</f>
        <v/>
      </c>
      <c r="T216" t="str">
        <f>IF(L216="","",MIN(100,100*L216/Parametros!$B$7))</f>
        <v/>
      </c>
      <c r="U216" t="str">
        <f>IF(K216="","",MIN(100,100*K216/Parametros!$B$8))</f>
        <v/>
      </c>
      <c r="V216" t="str">
        <f ca="1">IFERROR(((AVERAGEIFS(Documentacion!$C$2:$C$1000,Documentacion!$A$2:$A$1000,$A216,Documentacion!$B$2:$B$1000,"&gt;="&amp;DATEVALUE($B216&amp;"-01"),Documentacion!$B$2:$B$1000,"&lt;="&amp;EOMONTH(DATEVALUE($B216&amp;"-01"),0)))-1)/4*100,"")</f>
        <v/>
      </c>
      <c r="W216" t="str">
        <f ca="1">IFERROR(((AVERAGEIFS(Feedback_360!$D$2:$D$1000,Feedback_360!$A$2:$A$1000,$A216,Feedback_360!$B$2:$B$1000,"&gt;="&amp;DATEVALUE($B216&amp;"-01"),Feedback_360!$B$2:$B$1000,"&lt;="&amp;EOMONTH(DATEVALUE($B216&amp;"-01"),0)))-1)/4*100,"")</f>
        <v/>
      </c>
      <c r="X216" t="str">
        <f ca="1">IFERROR(((AVERAGEIFS(Observacion_Directa!$D$2:$D$1000,Observacion_Directa!$A$2:$A$1000,$A216,Observacion_Directa!$B$2:$B$1000,"&gt;="&amp;DATEVALUE($B216&amp;"-01"),Observacion_Directa!$B$2:$B$1000,"&lt;="&amp;EOMONTH(DATEVALUE($B216&amp;"-01"),0)))-1)/4*100,"")</f>
        <v/>
      </c>
      <c r="Y216" t="e">
        <f t="shared" ca="1" si="7"/>
        <v>#DIV/0!</v>
      </c>
    </row>
    <row r="217" spans="12:25" x14ac:dyDescent="0.2">
      <c r="L217" t="str">
        <f t="shared" si="6"/>
        <v/>
      </c>
      <c r="M217" t="str">
        <f>IFERROR(AVERAGEIFS(Prod_5dias!$H$2:$H$1000,Prod_5dias!$A$2:$A$1000,$A217,Prod_5dias!$B$2:$B$1000,$B217),"")</f>
        <v/>
      </c>
      <c r="N217" t="str">
        <f>IF(M217="","",MIN(100,100*M217/Parametros!$B$7))</f>
        <v/>
      </c>
      <c r="O217" t="str">
        <f>IF(F217="","",IF(F217=0,100,MIN(100,100*Parametros!$B$3/F217)))</f>
        <v/>
      </c>
      <c r="P217" t="str">
        <f ca="1">IFERROR(((AVERAGEIFS(Observacion_Directa!$E$2:$E$1000,Observacion_Directa!$A$2:$A$1000,$A217,Observacion_Directa!$B$2:$B$1000,"&gt;="&amp;DATEVALUE($B217&amp;"-01"),Observacion_Directa!$B$2:$B$1000,"&lt;="&amp;EOMONTH(DATEVALUE($B217&amp;"-01"),0)))-1)/4*100,"")</f>
        <v/>
      </c>
      <c r="Q217" t="str">
        <f>IF(H217="","",MIN(100,100*H217/Parametros!$B$4))</f>
        <v/>
      </c>
      <c r="R217" t="str">
        <f>IF(I217="","",IF(I217=0,100,MIN(100,100*Parametros!$B$5/I217)))</f>
        <v/>
      </c>
      <c r="S217" t="str">
        <f>IF(J217="","",IF(J217=0,100,MIN(100,100*Parametros!$B$6/J217)))</f>
        <v/>
      </c>
      <c r="T217" t="str">
        <f>IF(L217="","",MIN(100,100*L217/Parametros!$B$7))</f>
        <v/>
      </c>
      <c r="U217" t="str">
        <f>IF(K217="","",MIN(100,100*K217/Parametros!$B$8))</f>
        <v/>
      </c>
      <c r="V217" t="str">
        <f ca="1">IFERROR(((AVERAGEIFS(Documentacion!$C$2:$C$1000,Documentacion!$A$2:$A$1000,$A217,Documentacion!$B$2:$B$1000,"&gt;="&amp;DATEVALUE($B217&amp;"-01"),Documentacion!$B$2:$B$1000,"&lt;="&amp;EOMONTH(DATEVALUE($B217&amp;"-01"),0)))-1)/4*100,"")</f>
        <v/>
      </c>
      <c r="W217" t="str">
        <f ca="1">IFERROR(((AVERAGEIFS(Feedback_360!$D$2:$D$1000,Feedback_360!$A$2:$A$1000,$A217,Feedback_360!$B$2:$B$1000,"&gt;="&amp;DATEVALUE($B217&amp;"-01"),Feedback_360!$B$2:$B$1000,"&lt;="&amp;EOMONTH(DATEVALUE($B217&amp;"-01"),0)))-1)/4*100,"")</f>
        <v/>
      </c>
      <c r="X217" t="str">
        <f ca="1">IFERROR(((AVERAGEIFS(Observacion_Directa!$D$2:$D$1000,Observacion_Directa!$A$2:$A$1000,$A217,Observacion_Directa!$B$2:$B$1000,"&gt;="&amp;DATEVALUE($B217&amp;"-01"),Observacion_Directa!$B$2:$B$1000,"&lt;="&amp;EOMONTH(DATEVALUE($B217&amp;"-01"),0)))-1)/4*100,"")</f>
        <v/>
      </c>
      <c r="Y217" t="e">
        <f t="shared" ca="1" si="7"/>
        <v>#DIV/0!</v>
      </c>
    </row>
    <row r="218" spans="12:25" x14ac:dyDescent="0.2">
      <c r="L218" t="str">
        <f t="shared" si="6"/>
        <v/>
      </c>
      <c r="M218" t="str">
        <f>IFERROR(AVERAGEIFS(Prod_5dias!$H$2:$H$1000,Prod_5dias!$A$2:$A$1000,$A218,Prod_5dias!$B$2:$B$1000,$B218),"")</f>
        <v/>
      </c>
      <c r="N218" t="str">
        <f>IF(M218="","",MIN(100,100*M218/Parametros!$B$7))</f>
        <v/>
      </c>
      <c r="O218" t="str">
        <f>IF(F218="","",IF(F218=0,100,MIN(100,100*Parametros!$B$3/F218)))</f>
        <v/>
      </c>
      <c r="P218" t="str">
        <f ca="1">IFERROR(((AVERAGEIFS(Observacion_Directa!$E$2:$E$1000,Observacion_Directa!$A$2:$A$1000,$A218,Observacion_Directa!$B$2:$B$1000,"&gt;="&amp;DATEVALUE($B218&amp;"-01"),Observacion_Directa!$B$2:$B$1000,"&lt;="&amp;EOMONTH(DATEVALUE($B218&amp;"-01"),0)))-1)/4*100,"")</f>
        <v/>
      </c>
      <c r="Q218" t="str">
        <f>IF(H218="","",MIN(100,100*H218/Parametros!$B$4))</f>
        <v/>
      </c>
      <c r="R218" t="str">
        <f>IF(I218="","",IF(I218=0,100,MIN(100,100*Parametros!$B$5/I218)))</f>
        <v/>
      </c>
      <c r="S218" t="str">
        <f>IF(J218="","",IF(J218=0,100,MIN(100,100*Parametros!$B$6/J218)))</f>
        <v/>
      </c>
      <c r="T218" t="str">
        <f>IF(L218="","",MIN(100,100*L218/Parametros!$B$7))</f>
        <v/>
      </c>
      <c r="U218" t="str">
        <f>IF(K218="","",MIN(100,100*K218/Parametros!$B$8))</f>
        <v/>
      </c>
      <c r="V218" t="str">
        <f ca="1">IFERROR(((AVERAGEIFS(Documentacion!$C$2:$C$1000,Documentacion!$A$2:$A$1000,$A218,Documentacion!$B$2:$B$1000,"&gt;="&amp;DATEVALUE($B218&amp;"-01"),Documentacion!$B$2:$B$1000,"&lt;="&amp;EOMONTH(DATEVALUE($B218&amp;"-01"),0)))-1)/4*100,"")</f>
        <v/>
      </c>
      <c r="W218" t="str">
        <f ca="1">IFERROR(((AVERAGEIFS(Feedback_360!$D$2:$D$1000,Feedback_360!$A$2:$A$1000,$A218,Feedback_360!$B$2:$B$1000,"&gt;="&amp;DATEVALUE($B218&amp;"-01"),Feedback_360!$B$2:$B$1000,"&lt;="&amp;EOMONTH(DATEVALUE($B218&amp;"-01"),0)))-1)/4*100,"")</f>
        <v/>
      </c>
      <c r="X218" t="str">
        <f ca="1">IFERROR(((AVERAGEIFS(Observacion_Directa!$D$2:$D$1000,Observacion_Directa!$A$2:$A$1000,$A218,Observacion_Directa!$B$2:$B$1000,"&gt;="&amp;DATEVALUE($B218&amp;"-01"),Observacion_Directa!$B$2:$B$1000,"&lt;="&amp;EOMONTH(DATEVALUE($B218&amp;"-01"),0)))-1)/4*100,"")</f>
        <v/>
      </c>
      <c r="Y218" t="e">
        <f t="shared" ca="1" si="7"/>
        <v>#DIV/0!</v>
      </c>
    </row>
    <row r="219" spans="12:25" x14ac:dyDescent="0.2">
      <c r="L219" t="str">
        <f t="shared" si="6"/>
        <v/>
      </c>
      <c r="M219" t="str">
        <f>IFERROR(AVERAGEIFS(Prod_5dias!$H$2:$H$1000,Prod_5dias!$A$2:$A$1000,$A219,Prod_5dias!$B$2:$B$1000,$B219),"")</f>
        <v/>
      </c>
      <c r="N219" t="str">
        <f>IF(M219="","",MIN(100,100*M219/Parametros!$B$7))</f>
        <v/>
      </c>
      <c r="O219" t="str">
        <f>IF(F219="","",IF(F219=0,100,MIN(100,100*Parametros!$B$3/F219)))</f>
        <v/>
      </c>
      <c r="P219" t="str">
        <f ca="1">IFERROR(((AVERAGEIFS(Observacion_Directa!$E$2:$E$1000,Observacion_Directa!$A$2:$A$1000,$A219,Observacion_Directa!$B$2:$B$1000,"&gt;="&amp;DATEVALUE($B219&amp;"-01"),Observacion_Directa!$B$2:$B$1000,"&lt;="&amp;EOMONTH(DATEVALUE($B219&amp;"-01"),0)))-1)/4*100,"")</f>
        <v/>
      </c>
      <c r="Q219" t="str">
        <f>IF(H219="","",MIN(100,100*H219/Parametros!$B$4))</f>
        <v/>
      </c>
      <c r="R219" t="str">
        <f>IF(I219="","",IF(I219=0,100,MIN(100,100*Parametros!$B$5/I219)))</f>
        <v/>
      </c>
      <c r="S219" t="str">
        <f>IF(J219="","",IF(J219=0,100,MIN(100,100*Parametros!$B$6/J219)))</f>
        <v/>
      </c>
      <c r="T219" t="str">
        <f>IF(L219="","",MIN(100,100*L219/Parametros!$B$7))</f>
        <v/>
      </c>
      <c r="U219" t="str">
        <f>IF(K219="","",MIN(100,100*K219/Parametros!$B$8))</f>
        <v/>
      </c>
      <c r="V219" t="str">
        <f ca="1">IFERROR(((AVERAGEIFS(Documentacion!$C$2:$C$1000,Documentacion!$A$2:$A$1000,$A219,Documentacion!$B$2:$B$1000,"&gt;="&amp;DATEVALUE($B219&amp;"-01"),Documentacion!$B$2:$B$1000,"&lt;="&amp;EOMONTH(DATEVALUE($B219&amp;"-01"),0)))-1)/4*100,"")</f>
        <v/>
      </c>
      <c r="W219" t="str">
        <f ca="1">IFERROR(((AVERAGEIFS(Feedback_360!$D$2:$D$1000,Feedback_360!$A$2:$A$1000,$A219,Feedback_360!$B$2:$B$1000,"&gt;="&amp;DATEVALUE($B219&amp;"-01"),Feedback_360!$B$2:$B$1000,"&lt;="&amp;EOMONTH(DATEVALUE($B219&amp;"-01"),0)))-1)/4*100,"")</f>
        <v/>
      </c>
      <c r="X219" t="str">
        <f ca="1">IFERROR(((AVERAGEIFS(Observacion_Directa!$D$2:$D$1000,Observacion_Directa!$A$2:$A$1000,$A219,Observacion_Directa!$B$2:$B$1000,"&gt;="&amp;DATEVALUE($B219&amp;"-01"),Observacion_Directa!$B$2:$B$1000,"&lt;="&amp;EOMONTH(DATEVALUE($B219&amp;"-01"),0)))-1)/4*100,"")</f>
        <v/>
      </c>
      <c r="Y219" t="e">
        <f t="shared" ca="1" si="7"/>
        <v>#DIV/0!</v>
      </c>
    </row>
    <row r="220" spans="12:25" x14ac:dyDescent="0.2">
      <c r="L220" t="str">
        <f t="shared" si="6"/>
        <v/>
      </c>
      <c r="M220" t="str">
        <f>IFERROR(AVERAGEIFS(Prod_5dias!$H$2:$H$1000,Prod_5dias!$A$2:$A$1000,$A220,Prod_5dias!$B$2:$B$1000,$B220),"")</f>
        <v/>
      </c>
      <c r="N220" t="str">
        <f>IF(M220="","",MIN(100,100*M220/Parametros!$B$7))</f>
        <v/>
      </c>
      <c r="O220" t="str">
        <f>IF(F220="","",IF(F220=0,100,MIN(100,100*Parametros!$B$3/F220)))</f>
        <v/>
      </c>
      <c r="P220" t="str">
        <f ca="1">IFERROR(((AVERAGEIFS(Observacion_Directa!$E$2:$E$1000,Observacion_Directa!$A$2:$A$1000,$A220,Observacion_Directa!$B$2:$B$1000,"&gt;="&amp;DATEVALUE($B220&amp;"-01"),Observacion_Directa!$B$2:$B$1000,"&lt;="&amp;EOMONTH(DATEVALUE($B220&amp;"-01"),0)))-1)/4*100,"")</f>
        <v/>
      </c>
      <c r="Q220" t="str">
        <f>IF(H220="","",MIN(100,100*H220/Parametros!$B$4))</f>
        <v/>
      </c>
      <c r="R220" t="str">
        <f>IF(I220="","",IF(I220=0,100,MIN(100,100*Parametros!$B$5/I220)))</f>
        <v/>
      </c>
      <c r="S220" t="str">
        <f>IF(J220="","",IF(J220=0,100,MIN(100,100*Parametros!$B$6/J220)))</f>
        <v/>
      </c>
      <c r="T220" t="str">
        <f>IF(L220="","",MIN(100,100*L220/Parametros!$B$7))</f>
        <v/>
      </c>
      <c r="U220" t="str">
        <f>IF(K220="","",MIN(100,100*K220/Parametros!$B$8))</f>
        <v/>
      </c>
      <c r="V220" t="str">
        <f ca="1">IFERROR(((AVERAGEIFS(Documentacion!$C$2:$C$1000,Documentacion!$A$2:$A$1000,$A220,Documentacion!$B$2:$B$1000,"&gt;="&amp;DATEVALUE($B220&amp;"-01"),Documentacion!$B$2:$B$1000,"&lt;="&amp;EOMONTH(DATEVALUE($B220&amp;"-01"),0)))-1)/4*100,"")</f>
        <v/>
      </c>
      <c r="W220" t="str">
        <f ca="1">IFERROR(((AVERAGEIFS(Feedback_360!$D$2:$D$1000,Feedback_360!$A$2:$A$1000,$A220,Feedback_360!$B$2:$B$1000,"&gt;="&amp;DATEVALUE($B220&amp;"-01"),Feedback_360!$B$2:$B$1000,"&lt;="&amp;EOMONTH(DATEVALUE($B220&amp;"-01"),0)))-1)/4*100,"")</f>
        <v/>
      </c>
      <c r="X220" t="str">
        <f ca="1">IFERROR(((AVERAGEIFS(Observacion_Directa!$D$2:$D$1000,Observacion_Directa!$A$2:$A$1000,$A220,Observacion_Directa!$B$2:$B$1000,"&gt;="&amp;DATEVALUE($B220&amp;"-01"),Observacion_Directa!$B$2:$B$1000,"&lt;="&amp;EOMONTH(DATEVALUE($B220&amp;"-01"),0)))-1)/4*100,"")</f>
        <v/>
      </c>
      <c r="Y220" t="e">
        <f t="shared" ca="1" si="7"/>
        <v>#DIV/0!</v>
      </c>
    </row>
    <row r="221" spans="12:25" x14ac:dyDescent="0.2">
      <c r="L221" t="str">
        <f t="shared" si="6"/>
        <v/>
      </c>
      <c r="M221" t="str">
        <f>IFERROR(AVERAGEIFS(Prod_5dias!$H$2:$H$1000,Prod_5dias!$A$2:$A$1000,$A221,Prod_5dias!$B$2:$B$1000,$B221),"")</f>
        <v/>
      </c>
      <c r="N221" t="str">
        <f>IF(M221="","",MIN(100,100*M221/Parametros!$B$7))</f>
        <v/>
      </c>
      <c r="O221" t="str">
        <f>IF(F221="","",IF(F221=0,100,MIN(100,100*Parametros!$B$3/F221)))</f>
        <v/>
      </c>
      <c r="P221" t="str">
        <f ca="1">IFERROR(((AVERAGEIFS(Observacion_Directa!$E$2:$E$1000,Observacion_Directa!$A$2:$A$1000,$A221,Observacion_Directa!$B$2:$B$1000,"&gt;="&amp;DATEVALUE($B221&amp;"-01"),Observacion_Directa!$B$2:$B$1000,"&lt;="&amp;EOMONTH(DATEVALUE($B221&amp;"-01"),0)))-1)/4*100,"")</f>
        <v/>
      </c>
      <c r="Q221" t="str">
        <f>IF(H221="","",MIN(100,100*H221/Parametros!$B$4))</f>
        <v/>
      </c>
      <c r="R221" t="str">
        <f>IF(I221="","",IF(I221=0,100,MIN(100,100*Parametros!$B$5/I221)))</f>
        <v/>
      </c>
      <c r="S221" t="str">
        <f>IF(J221="","",IF(J221=0,100,MIN(100,100*Parametros!$B$6/J221)))</f>
        <v/>
      </c>
      <c r="T221" t="str">
        <f>IF(L221="","",MIN(100,100*L221/Parametros!$B$7))</f>
        <v/>
      </c>
      <c r="U221" t="str">
        <f>IF(K221="","",MIN(100,100*K221/Parametros!$B$8))</f>
        <v/>
      </c>
      <c r="V221" t="str">
        <f ca="1">IFERROR(((AVERAGEIFS(Documentacion!$C$2:$C$1000,Documentacion!$A$2:$A$1000,$A221,Documentacion!$B$2:$B$1000,"&gt;="&amp;DATEVALUE($B221&amp;"-01"),Documentacion!$B$2:$B$1000,"&lt;="&amp;EOMONTH(DATEVALUE($B221&amp;"-01"),0)))-1)/4*100,"")</f>
        <v/>
      </c>
      <c r="W221" t="str">
        <f ca="1">IFERROR(((AVERAGEIFS(Feedback_360!$D$2:$D$1000,Feedback_360!$A$2:$A$1000,$A221,Feedback_360!$B$2:$B$1000,"&gt;="&amp;DATEVALUE($B221&amp;"-01"),Feedback_360!$B$2:$B$1000,"&lt;="&amp;EOMONTH(DATEVALUE($B221&amp;"-01"),0)))-1)/4*100,"")</f>
        <v/>
      </c>
      <c r="X221" t="str">
        <f ca="1">IFERROR(((AVERAGEIFS(Observacion_Directa!$D$2:$D$1000,Observacion_Directa!$A$2:$A$1000,$A221,Observacion_Directa!$B$2:$B$1000,"&gt;="&amp;DATEVALUE($B221&amp;"-01"),Observacion_Directa!$B$2:$B$1000,"&lt;="&amp;EOMONTH(DATEVALUE($B221&amp;"-01"),0)))-1)/4*100,"")</f>
        <v/>
      </c>
      <c r="Y221" t="e">
        <f t="shared" ca="1" si="7"/>
        <v>#DIV/0!</v>
      </c>
    </row>
    <row r="222" spans="12:25" x14ac:dyDescent="0.2">
      <c r="L222" t="str">
        <f t="shared" si="6"/>
        <v/>
      </c>
      <c r="M222" t="str">
        <f>IFERROR(AVERAGEIFS(Prod_5dias!$H$2:$H$1000,Prod_5dias!$A$2:$A$1000,$A222,Prod_5dias!$B$2:$B$1000,$B222),"")</f>
        <v/>
      </c>
      <c r="N222" t="str">
        <f>IF(M222="","",MIN(100,100*M222/Parametros!$B$7))</f>
        <v/>
      </c>
      <c r="O222" t="str">
        <f>IF(F222="","",IF(F222=0,100,MIN(100,100*Parametros!$B$3/F222)))</f>
        <v/>
      </c>
      <c r="P222" t="str">
        <f ca="1">IFERROR(((AVERAGEIFS(Observacion_Directa!$E$2:$E$1000,Observacion_Directa!$A$2:$A$1000,$A222,Observacion_Directa!$B$2:$B$1000,"&gt;="&amp;DATEVALUE($B222&amp;"-01"),Observacion_Directa!$B$2:$B$1000,"&lt;="&amp;EOMONTH(DATEVALUE($B222&amp;"-01"),0)))-1)/4*100,"")</f>
        <v/>
      </c>
      <c r="Q222" t="str">
        <f>IF(H222="","",MIN(100,100*H222/Parametros!$B$4))</f>
        <v/>
      </c>
      <c r="R222" t="str">
        <f>IF(I222="","",IF(I222=0,100,MIN(100,100*Parametros!$B$5/I222)))</f>
        <v/>
      </c>
      <c r="S222" t="str">
        <f>IF(J222="","",IF(J222=0,100,MIN(100,100*Parametros!$B$6/J222)))</f>
        <v/>
      </c>
      <c r="T222" t="str">
        <f>IF(L222="","",MIN(100,100*L222/Parametros!$B$7))</f>
        <v/>
      </c>
      <c r="U222" t="str">
        <f>IF(K222="","",MIN(100,100*K222/Parametros!$B$8))</f>
        <v/>
      </c>
      <c r="V222" t="str">
        <f ca="1">IFERROR(((AVERAGEIFS(Documentacion!$C$2:$C$1000,Documentacion!$A$2:$A$1000,$A222,Documentacion!$B$2:$B$1000,"&gt;="&amp;DATEVALUE($B222&amp;"-01"),Documentacion!$B$2:$B$1000,"&lt;="&amp;EOMONTH(DATEVALUE($B222&amp;"-01"),0)))-1)/4*100,"")</f>
        <v/>
      </c>
      <c r="W222" t="str">
        <f ca="1">IFERROR(((AVERAGEIFS(Feedback_360!$D$2:$D$1000,Feedback_360!$A$2:$A$1000,$A222,Feedback_360!$B$2:$B$1000,"&gt;="&amp;DATEVALUE($B222&amp;"-01"),Feedback_360!$B$2:$B$1000,"&lt;="&amp;EOMONTH(DATEVALUE($B222&amp;"-01"),0)))-1)/4*100,"")</f>
        <v/>
      </c>
      <c r="X222" t="str">
        <f ca="1">IFERROR(((AVERAGEIFS(Observacion_Directa!$D$2:$D$1000,Observacion_Directa!$A$2:$A$1000,$A222,Observacion_Directa!$B$2:$B$1000,"&gt;="&amp;DATEVALUE($B222&amp;"-01"),Observacion_Directa!$B$2:$B$1000,"&lt;="&amp;EOMONTH(DATEVALUE($B222&amp;"-01"),0)))-1)/4*100,"")</f>
        <v/>
      </c>
      <c r="Y222" t="e">
        <f t="shared" ca="1" si="7"/>
        <v>#DIV/0!</v>
      </c>
    </row>
    <row r="223" spans="12:25" x14ac:dyDescent="0.2">
      <c r="L223" t="str">
        <f t="shared" si="6"/>
        <v/>
      </c>
      <c r="M223" t="str">
        <f>IFERROR(AVERAGEIFS(Prod_5dias!$H$2:$H$1000,Prod_5dias!$A$2:$A$1000,$A223,Prod_5dias!$B$2:$B$1000,$B223),"")</f>
        <v/>
      </c>
      <c r="N223" t="str">
        <f>IF(M223="","",MIN(100,100*M223/Parametros!$B$7))</f>
        <v/>
      </c>
      <c r="O223" t="str">
        <f>IF(F223="","",IF(F223=0,100,MIN(100,100*Parametros!$B$3/F223)))</f>
        <v/>
      </c>
      <c r="P223" t="str">
        <f ca="1">IFERROR(((AVERAGEIFS(Observacion_Directa!$E$2:$E$1000,Observacion_Directa!$A$2:$A$1000,$A223,Observacion_Directa!$B$2:$B$1000,"&gt;="&amp;DATEVALUE($B223&amp;"-01"),Observacion_Directa!$B$2:$B$1000,"&lt;="&amp;EOMONTH(DATEVALUE($B223&amp;"-01"),0)))-1)/4*100,"")</f>
        <v/>
      </c>
      <c r="Q223" t="str">
        <f>IF(H223="","",MIN(100,100*H223/Parametros!$B$4))</f>
        <v/>
      </c>
      <c r="R223" t="str">
        <f>IF(I223="","",IF(I223=0,100,MIN(100,100*Parametros!$B$5/I223)))</f>
        <v/>
      </c>
      <c r="S223" t="str">
        <f>IF(J223="","",IF(J223=0,100,MIN(100,100*Parametros!$B$6/J223)))</f>
        <v/>
      </c>
      <c r="T223" t="str">
        <f>IF(L223="","",MIN(100,100*L223/Parametros!$B$7))</f>
        <v/>
      </c>
      <c r="U223" t="str">
        <f>IF(K223="","",MIN(100,100*K223/Parametros!$B$8))</f>
        <v/>
      </c>
      <c r="V223" t="str">
        <f ca="1">IFERROR(((AVERAGEIFS(Documentacion!$C$2:$C$1000,Documentacion!$A$2:$A$1000,$A223,Documentacion!$B$2:$B$1000,"&gt;="&amp;DATEVALUE($B223&amp;"-01"),Documentacion!$B$2:$B$1000,"&lt;="&amp;EOMONTH(DATEVALUE($B223&amp;"-01"),0)))-1)/4*100,"")</f>
        <v/>
      </c>
      <c r="W223" t="str">
        <f ca="1">IFERROR(((AVERAGEIFS(Feedback_360!$D$2:$D$1000,Feedback_360!$A$2:$A$1000,$A223,Feedback_360!$B$2:$B$1000,"&gt;="&amp;DATEVALUE($B223&amp;"-01"),Feedback_360!$B$2:$B$1000,"&lt;="&amp;EOMONTH(DATEVALUE($B223&amp;"-01"),0)))-1)/4*100,"")</f>
        <v/>
      </c>
      <c r="X223" t="str">
        <f ca="1">IFERROR(((AVERAGEIFS(Observacion_Directa!$D$2:$D$1000,Observacion_Directa!$A$2:$A$1000,$A223,Observacion_Directa!$B$2:$B$1000,"&gt;="&amp;DATEVALUE($B223&amp;"-01"),Observacion_Directa!$B$2:$B$1000,"&lt;="&amp;EOMONTH(DATEVALUE($B223&amp;"-01"),0)))-1)/4*100,"")</f>
        <v/>
      </c>
      <c r="Y223" t="e">
        <f t="shared" ca="1" si="7"/>
        <v>#DIV/0!</v>
      </c>
    </row>
    <row r="224" spans="12:25" x14ac:dyDescent="0.2">
      <c r="L224" t="str">
        <f t="shared" si="6"/>
        <v/>
      </c>
      <c r="M224" t="str">
        <f>IFERROR(AVERAGEIFS(Prod_5dias!$H$2:$H$1000,Prod_5dias!$A$2:$A$1000,$A224,Prod_5dias!$B$2:$B$1000,$B224),"")</f>
        <v/>
      </c>
      <c r="N224" t="str">
        <f>IF(M224="","",MIN(100,100*M224/Parametros!$B$7))</f>
        <v/>
      </c>
      <c r="O224" t="str">
        <f>IF(F224="","",IF(F224=0,100,MIN(100,100*Parametros!$B$3/F224)))</f>
        <v/>
      </c>
      <c r="P224" t="str">
        <f ca="1">IFERROR(((AVERAGEIFS(Observacion_Directa!$E$2:$E$1000,Observacion_Directa!$A$2:$A$1000,$A224,Observacion_Directa!$B$2:$B$1000,"&gt;="&amp;DATEVALUE($B224&amp;"-01"),Observacion_Directa!$B$2:$B$1000,"&lt;="&amp;EOMONTH(DATEVALUE($B224&amp;"-01"),0)))-1)/4*100,"")</f>
        <v/>
      </c>
      <c r="Q224" t="str">
        <f>IF(H224="","",MIN(100,100*H224/Parametros!$B$4))</f>
        <v/>
      </c>
      <c r="R224" t="str">
        <f>IF(I224="","",IF(I224=0,100,MIN(100,100*Parametros!$B$5/I224)))</f>
        <v/>
      </c>
      <c r="S224" t="str">
        <f>IF(J224="","",IF(J224=0,100,MIN(100,100*Parametros!$B$6/J224)))</f>
        <v/>
      </c>
      <c r="T224" t="str">
        <f>IF(L224="","",MIN(100,100*L224/Parametros!$B$7))</f>
        <v/>
      </c>
      <c r="U224" t="str">
        <f>IF(K224="","",MIN(100,100*K224/Parametros!$B$8))</f>
        <v/>
      </c>
      <c r="V224" t="str">
        <f ca="1">IFERROR(((AVERAGEIFS(Documentacion!$C$2:$C$1000,Documentacion!$A$2:$A$1000,$A224,Documentacion!$B$2:$B$1000,"&gt;="&amp;DATEVALUE($B224&amp;"-01"),Documentacion!$B$2:$B$1000,"&lt;="&amp;EOMONTH(DATEVALUE($B224&amp;"-01"),0)))-1)/4*100,"")</f>
        <v/>
      </c>
      <c r="W224" t="str">
        <f ca="1">IFERROR(((AVERAGEIFS(Feedback_360!$D$2:$D$1000,Feedback_360!$A$2:$A$1000,$A224,Feedback_360!$B$2:$B$1000,"&gt;="&amp;DATEVALUE($B224&amp;"-01"),Feedback_360!$B$2:$B$1000,"&lt;="&amp;EOMONTH(DATEVALUE($B224&amp;"-01"),0)))-1)/4*100,"")</f>
        <v/>
      </c>
      <c r="X224" t="str">
        <f ca="1">IFERROR(((AVERAGEIFS(Observacion_Directa!$D$2:$D$1000,Observacion_Directa!$A$2:$A$1000,$A224,Observacion_Directa!$B$2:$B$1000,"&gt;="&amp;DATEVALUE($B224&amp;"-01"),Observacion_Directa!$B$2:$B$1000,"&lt;="&amp;EOMONTH(DATEVALUE($B224&amp;"-01"),0)))-1)/4*100,"")</f>
        <v/>
      </c>
      <c r="Y224" t="e">
        <f t="shared" ca="1" si="7"/>
        <v>#DIV/0!</v>
      </c>
    </row>
    <row r="225" spans="12:25" x14ac:dyDescent="0.2">
      <c r="L225" t="str">
        <f t="shared" si="6"/>
        <v/>
      </c>
      <c r="M225" t="str">
        <f>IFERROR(AVERAGEIFS(Prod_5dias!$H$2:$H$1000,Prod_5dias!$A$2:$A$1000,$A225,Prod_5dias!$B$2:$B$1000,$B225),"")</f>
        <v/>
      </c>
      <c r="N225" t="str">
        <f>IF(M225="","",MIN(100,100*M225/Parametros!$B$7))</f>
        <v/>
      </c>
      <c r="O225" t="str">
        <f>IF(F225="","",IF(F225=0,100,MIN(100,100*Parametros!$B$3/F225)))</f>
        <v/>
      </c>
      <c r="P225" t="str">
        <f ca="1">IFERROR(((AVERAGEIFS(Observacion_Directa!$E$2:$E$1000,Observacion_Directa!$A$2:$A$1000,$A225,Observacion_Directa!$B$2:$B$1000,"&gt;="&amp;DATEVALUE($B225&amp;"-01"),Observacion_Directa!$B$2:$B$1000,"&lt;="&amp;EOMONTH(DATEVALUE($B225&amp;"-01"),0)))-1)/4*100,"")</f>
        <v/>
      </c>
      <c r="Q225" t="str">
        <f>IF(H225="","",MIN(100,100*H225/Parametros!$B$4))</f>
        <v/>
      </c>
      <c r="R225" t="str">
        <f>IF(I225="","",IF(I225=0,100,MIN(100,100*Parametros!$B$5/I225)))</f>
        <v/>
      </c>
      <c r="S225" t="str">
        <f>IF(J225="","",IF(J225=0,100,MIN(100,100*Parametros!$B$6/J225)))</f>
        <v/>
      </c>
      <c r="T225" t="str">
        <f>IF(L225="","",MIN(100,100*L225/Parametros!$B$7))</f>
        <v/>
      </c>
      <c r="U225" t="str">
        <f>IF(K225="","",MIN(100,100*K225/Parametros!$B$8))</f>
        <v/>
      </c>
      <c r="V225" t="str">
        <f ca="1">IFERROR(((AVERAGEIFS(Documentacion!$C$2:$C$1000,Documentacion!$A$2:$A$1000,$A225,Documentacion!$B$2:$B$1000,"&gt;="&amp;DATEVALUE($B225&amp;"-01"),Documentacion!$B$2:$B$1000,"&lt;="&amp;EOMONTH(DATEVALUE($B225&amp;"-01"),0)))-1)/4*100,"")</f>
        <v/>
      </c>
      <c r="W225" t="str">
        <f ca="1">IFERROR(((AVERAGEIFS(Feedback_360!$D$2:$D$1000,Feedback_360!$A$2:$A$1000,$A225,Feedback_360!$B$2:$B$1000,"&gt;="&amp;DATEVALUE($B225&amp;"-01"),Feedback_360!$B$2:$B$1000,"&lt;="&amp;EOMONTH(DATEVALUE($B225&amp;"-01"),0)))-1)/4*100,"")</f>
        <v/>
      </c>
      <c r="X225" t="str">
        <f ca="1">IFERROR(((AVERAGEIFS(Observacion_Directa!$D$2:$D$1000,Observacion_Directa!$A$2:$A$1000,$A225,Observacion_Directa!$B$2:$B$1000,"&gt;="&amp;DATEVALUE($B225&amp;"-01"),Observacion_Directa!$B$2:$B$1000,"&lt;="&amp;EOMONTH(DATEVALUE($B225&amp;"-01"),0)))-1)/4*100,"")</f>
        <v/>
      </c>
      <c r="Y225" t="e">
        <f t="shared" ca="1" si="7"/>
        <v>#DIV/0!</v>
      </c>
    </row>
    <row r="226" spans="12:25" x14ac:dyDescent="0.2">
      <c r="L226" t="str">
        <f t="shared" si="6"/>
        <v/>
      </c>
      <c r="M226" t="str">
        <f>IFERROR(AVERAGEIFS(Prod_5dias!$H$2:$H$1000,Prod_5dias!$A$2:$A$1000,$A226,Prod_5dias!$B$2:$B$1000,$B226),"")</f>
        <v/>
      </c>
      <c r="N226" t="str">
        <f>IF(M226="","",MIN(100,100*M226/Parametros!$B$7))</f>
        <v/>
      </c>
      <c r="O226" t="str">
        <f>IF(F226="","",IF(F226=0,100,MIN(100,100*Parametros!$B$3/F226)))</f>
        <v/>
      </c>
      <c r="P226" t="str">
        <f ca="1">IFERROR(((AVERAGEIFS(Observacion_Directa!$E$2:$E$1000,Observacion_Directa!$A$2:$A$1000,$A226,Observacion_Directa!$B$2:$B$1000,"&gt;="&amp;DATEVALUE($B226&amp;"-01"),Observacion_Directa!$B$2:$B$1000,"&lt;="&amp;EOMONTH(DATEVALUE($B226&amp;"-01"),0)))-1)/4*100,"")</f>
        <v/>
      </c>
      <c r="Q226" t="str">
        <f>IF(H226="","",MIN(100,100*H226/Parametros!$B$4))</f>
        <v/>
      </c>
      <c r="R226" t="str">
        <f>IF(I226="","",IF(I226=0,100,MIN(100,100*Parametros!$B$5/I226)))</f>
        <v/>
      </c>
      <c r="S226" t="str">
        <f>IF(J226="","",IF(J226=0,100,MIN(100,100*Parametros!$B$6/J226)))</f>
        <v/>
      </c>
      <c r="T226" t="str">
        <f>IF(L226="","",MIN(100,100*L226/Parametros!$B$7))</f>
        <v/>
      </c>
      <c r="U226" t="str">
        <f>IF(K226="","",MIN(100,100*K226/Parametros!$B$8))</f>
        <v/>
      </c>
      <c r="V226" t="str">
        <f ca="1">IFERROR(((AVERAGEIFS(Documentacion!$C$2:$C$1000,Documentacion!$A$2:$A$1000,$A226,Documentacion!$B$2:$B$1000,"&gt;="&amp;DATEVALUE($B226&amp;"-01"),Documentacion!$B$2:$B$1000,"&lt;="&amp;EOMONTH(DATEVALUE($B226&amp;"-01"),0)))-1)/4*100,"")</f>
        <v/>
      </c>
      <c r="W226" t="str">
        <f ca="1">IFERROR(((AVERAGEIFS(Feedback_360!$D$2:$D$1000,Feedback_360!$A$2:$A$1000,$A226,Feedback_360!$B$2:$B$1000,"&gt;="&amp;DATEVALUE($B226&amp;"-01"),Feedback_360!$B$2:$B$1000,"&lt;="&amp;EOMONTH(DATEVALUE($B226&amp;"-01"),0)))-1)/4*100,"")</f>
        <v/>
      </c>
      <c r="X226" t="str">
        <f ca="1">IFERROR(((AVERAGEIFS(Observacion_Directa!$D$2:$D$1000,Observacion_Directa!$A$2:$A$1000,$A226,Observacion_Directa!$B$2:$B$1000,"&gt;="&amp;DATEVALUE($B226&amp;"-01"),Observacion_Directa!$B$2:$B$1000,"&lt;="&amp;EOMONTH(DATEVALUE($B226&amp;"-01"),0)))-1)/4*100,"")</f>
        <v/>
      </c>
      <c r="Y226" t="e">
        <f t="shared" ca="1" si="7"/>
        <v>#DIV/0!</v>
      </c>
    </row>
    <row r="227" spans="12:25" x14ac:dyDescent="0.2">
      <c r="L227" t="str">
        <f t="shared" si="6"/>
        <v/>
      </c>
      <c r="M227" t="str">
        <f>IFERROR(AVERAGEIFS(Prod_5dias!$H$2:$H$1000,Prod_5dias!$A$2:$A$1000,$A227,Prod_5dias!$B$2:$B$1000,$B227),"")</f>
        <v/>
      </c>
      <c r="N227" t="str">
        <f>IF(M227="","",MIN(100,100*M227/Parametros!$B$7))</f>
        <v/>
      </c>
      <c r="O227" t="str">
        <f>IF(F227="","",IF(F227=0,100,MIN(100,100*Parametros!$B$3/F227)))</f>
        <v/>
      </c>
      <c r="P227" t="str">
        <f ca="1">IFERROR(((AVERAGEIFS(Observacion_Directa!$E$2:$E$1000,Observacion_Directa!$A$2:$A$1000,$A227,Observacion_Directa!$B$2:$B$1000,"&gt;="&amp;DATEVALUE($B227&amp;"-01"),Observacion_Directa!$B$2:$B$1000,"&lt;="&amp;EOMONTH(DATEVALUE($B227&amp;"-01"),0)))-1)/4*100,"")</f>
        <v/>
      </c>
      <c r="Q227" t="str">
        <f>IF(H227="","",MIN(100,100*H227/Parametros!$B$4))</f>
        <v/>
      </c>
      <c r="R227" t="str">
        <f>IF(I227="","",IF(I227=0,100,MIN(100,100*Parametros!$B$5/I227)))</f>
        <v/>
      </c>
      <c r="S227" t="str">
        <f>IF(J227="","",IF(J227=0,100,MIN(100,100*Parametros!$B$6/J227)))</f>
        <v/>
      </c>
      <c r="T227" t="str">
        <f>IF(L227="","",MIN(100,100*L227/Parametros!$B$7))</f>
        <v/>
      </c>
      <c r="U227" t="str">
        <f>IF(K227="","",MIN(100,100*K227/Parametros!$B$8))</f>
        <v/>
      </c>
      <c r="V227" t="str">
        <f ca="1">IFERROR(((AVERAGEIFS(Documentacion!$C$2:$C$1000,Documentacion!$A$2:$A$1000,$A227,Documentacion!$B$2:$B$1000,"&gt;="&amp;DATEVALUE($B227&amp;"-01"),Documentacion!$B$2:$B$1000,"&lt;="&amp;EOMONTH(DATEVALUE($B227&amp;"-01"),0)))-1)/4*100,"")</f>
        <v/>
      </c>
      <c r="W227" t="str">
        <f ca="1">IFERROR(((AVERAGEIFS(Feedback_360!$D$2:$D$1000,Feedback_360!$A$2:$A$1000,$A227,Feedback_360!$B$2:$B$1000,"&gt;="&amp;DATEVALUE($B227&amp;"-01"),Feedback_360!$B$2:$B$1000,"&lt;="&amp;EOMONTH(DATEVALUE($B227&amp;"-01"),0)))-1)/4*100,"")</f>
        <v/>
      </c>
      <c r="X227" t="str">
        <f ca="1">IFERROR(((AVERAGEIFS(Observacion_Directa!$D$2:$D$1000,Observacion_Directa!$A$2:$A$1000,$A227,Observacion_Directa!$B$2:$B$1000,"&gt;="&amp;DATEVALUE($B227&amp;"-01"),Observacion_Directa!$B$2:$B$1000,"&lt;="&amp;EOMONTH(DATEVALUE($B227&amp;"-01"),0)))-1)/4*100,"")</f>
        <v/>
      </c>
      <c r="Y227" t="e">
        <f t="shared" ca="1" si="7"/>
        <v>#DIV/0!</v>
      </c>
    </row>
    <row r="228" spans="12:25" x14ac:dyDescent="0.2">
      <c r="L228" t="str">
        <f t="shared" si="6"/>
        <v/>
      </c>
      <c r="M228" t="str">
        <f>IFERROR(AVERAGEIFS(Prod_5dias!$H$2:$H$1000,Prod_5dias!$A$2:$A$1000,$A228,Prod_5dias!$B$2:$B$1000,$B228),"")</f>
        <v/>
      </c>
      <c r="N228" t="str">
        <f>IF(M228="","",MIN(100,100*M228/Parametros!$B$7))</f>
        <v/>
      </c>
      <c r="O228" t="str">
        <f>IF(F228="","",IF(F228=0,100,MIN(100,100*Parametros!$B$3/F228)))</f>
        <v/>
      </c>
      <c r="P228" t="str">
        <f ca="1">IFERROR(((AVERAGEIFS(Observacion_Directa!$E$2:$E$1000,Observacion_Directa!$A$2:$A$1000,$A228,Observacion_Directa!$B$2:$B$1000,"&gt;="&amp;DATEVALUE($B228&amp;"-01"),Observacion_Directa!$B$2:$B$1000,"&lt;="&amp;EOMONTH(DATEVALUE($B228&amp;"-01"),0)))-1)/4*100,"")</f>
        <v/>
      </c>
      <c r="Q228" t="str">
        <f>IF(H228="","",MIN(100,100*H228/Parametros!$B$4))</f>
        <v/>
      </c>
      <c r="R228" t="str">
        <f>IF(I228="","",IF(I228=0,100,MIN(100,100*Parametros!$B$5/I228)))</f>
        <v/>
      </c>
      <c r="S228" t="str">
        <f>IF(J228="","",IF(J228=0,100,MIN(100,100*Parametros!$B$6/J228)))</f>
        <v/>
      </c>
      <c r="T228" t="str">
        <f>IF(L228="","",MIN(100,100*L228/Parametros!$B$7))</f>
        <v/>
      </c>
      <c r="U228" t="str">
        <f>IF(K228="","",MIN(100,100*K228/Parametros!$B$8))</f>
        <v/>
      </c>
      <c r="V228" t="str">
        <f ca="1">IFERROR(((AVERAGEIFS(Documentacion!$C$2:$C$1000,Documentacion!$A$2:$A$1000,$A228,Documentacion!$B$2:$B$1000,"&gt;="&amp;DATEVALUE($B228&amp;"-01"),Documentacion!$B$2:$B$1000,"&lt;="&amp;EOMONTH(DATEVALUE($B228&amp;"-01"),0)))-1)/4*100,"")</f>
        <v/>
      </c>
      <c r="W228" t="str">
        <f ca="1">IFERROR(((AVERAGEIFS(Feedback_360!$D$2:$D$1000,Feedback_360!$A$2:$A$1000,$A228,Feedback_360!$B$2:$B$1000,"&gt;="&amp;DATEVALUE($B228&amp;"-01"),Feedback_360!$B$2:$B$1000,"&lt;="&amp;EOMONTH(DATEVALUE($B228&amp;"-01"),0)))-1)/4*100,"")</f>
        <v/>
      </c>
      <c r="X228" t="str">
        <f ca="1">IFERROR(((AVERAGEIFS(Observacion_Directa!$D$2:$D$1000,Observacion_Directa!$A$2:$A$1000,$A228,Observacion_Directa!$B$2:$B$1000,"&gt;="&amp;DATEVALUE($B228&amp;"-01"),Observacion_Directa!$B$2:$B$1000,"&lt;="&amp;EOMONTH(DATEVALUE($B228&amp;"-01"),0)))-1)/4*100,"")</f>
        <v/>
      </c>
      <c r="Y228" t="e">
        <f t="shared" ca="1" si="7"/>
        <v>#DIV/0!</v>
      </c>
    </row>
    <row r="229" spans="12:25" x14ac:dyDescent="0.2">
      <c r="L229" t="str">
        <f t="shared" si="6"/>
        <v/>
      </c>
      <c r="M229" t="str">
        <f>IFERROR(AVERAGEIFS(Prod_5dias!$H$2:$H$1000,Prod_5dias!$A$2:$A$1000,$A229,Prod_5dias!$B$2:$B$1000,$B229),"")</f>
        <v/>
      </c>
      <c r="N229" t="str">
        <f>IF(M229="","",MIN(100,100*M229/Parametros!$B$7))</f>
        <v/>
      </c>
      <c r="O229" t="str">
        <f>IF(F229="","",IF(F229=0,100,MIN(100,100*Parametros!$B$3/F229)))</f>
        <v/>
      </c>
      <c r="P229" t="str">
        <f ca="1">IFERROR(((AVERAGEIFS(Observacion_Directa!$E$2:$E$1000,Observacion_Directa!$A$2:$A$1000,$A229,Observacion_Directa!$B$2:$B$1000,"&gt;="&amp;DATEVALUE($B229&amp;"-01"),Observacion_Directa!$B$2:$B$1000,"&lt;="&amp;EOMONTH(DATEVALUE($B229&amp;"-01"),0)))-1)/4*100,"")</f>
        <v/>
      </c>
      <c r="Q229" t="str">
        <f>IF(H229="","",MIN(100,100*H229/Parametros!$B$4))</f>
        <v/>
      </c>
      <c r="R229" t="str">
        <f>IF(I229="","",IF(I229=0,100,MIN(100,100*Parametros!$B$5/I229)))</f>
        <v/>
      </c>
      <c r="S229" t="str">
        <f>IF(J229="","",IF(J229=0,100,MIN(100,100*Parametros!$B$6/J229)))</f>
        <v/>
      </c>
      <c r="T229" t="str">
        <f>IF(L229="","",MIN(100,100*L229/Parametros!$B$7))</f>
        <v/>
      </c>
      <c r="U229" t="str">
        <f>IF(K229="","",MIN(100,100*K229/Parametros!$B$8))</f>
        <v/>
      </c>
      <c r="V229" t="str">
        <f ca="1">IFERROR(((AVERAGEIFS(Documentacion!$C$2:$C$1000,Documentacion!$A$2:$A$1000,$A229,Documentacion!$B$2:$B$1000,"&gt;="&amp;DATEVALUE($B229&amp;"-01"),Documentacion!$B$2:$B$1000,"&lt;="&amp;EOMONTH(DATEVALUE($B229&amp;"-01"),0)))-1)/4*100,"")</f>
        <v/>
      </c>
      <c r="W229" t="str">
        <f ca="1">IFERROR(((AVERAGEIFS(Feedback_360!$D$2:$D$1000,Feedback_360!$A$2:$A$1000,$A229,Feedback_360!$B$2:$B$1000,"&gt;="&amp;DATEVALUE($B229&amp;"-01"),Feedback_360!$B$2:$B$1000,"&lt;="&amp;EOMONTH(DATEVALUE($B229&amp;"-01"),0)))-1)/4*100,"")</f>
        <v/>
      </c>
      <c r="X229" t="str">
        <f ca="1">IFERROR(((AVERAGEIFS(Observacion_Directa!$D$2:$D$1000,Observacion_Directa!$A$2:$A$1000,$A229,Observacion_Directa!$B$2:$B$1000,"&gt;="&amp;DATEVALUE($B229&amp;"-01"),Observacion_Directa!$B$2:$B$1000,"&lt;="&amp;EOMONTH(DATEVALUE($B229&amp;"-01"),0)))-1)/4*100,"")</f>
        <v/>
      </c>
      <c r="Y229" t="e">
        <f t="shared" ca="1" si="7"/>
        <v>#DIV/0!</v>
      </c>
    </row>
    <row r="230" spans="12:25" x14ac:dyDescent="0.2">
      <c r="L230" t="str">
        <f t="shared" si="6"/>
        <v/>
      </c>
      <c r="M230" t="str">
        <f>IFERROR(AVERAGEIFS(Prod_5dias!$H$2:$H$1000,Prod_5dias!$A$2:$A$1000,$A230,Prod_5dias!$B$2:$B$1000,$B230),"")</f>
        <v/>
      </c>
      <c r="N230" t="str">
        <f>IF(M230="","",MIN(100,100*M230/Parametros!$B$7))</f>
        <v/>
      </c>
      <c r="O230" t="str">
        <f>IF(F230="","",IF(F230=0,100,MIN(100,100*Parametros!$B$3/F230)))</f>
        <v/>
      </c>
      <c r="P230" t="str">
        <f ca="1">IFERROR(((AVERAGEIFS(Observacion_Directa!$E$2:$E$1000,Observacion_Directa!$A$2:$A$1000,$A230,Observacion_Directa!$B$2:$B$1000,"&gt;="&amp;DATEVALUE($B230&amp;"-01"),Observacion_Directa!$B$2:$B$1000,"&lt;="&amp;EOMONTH(DATEVALUE($B230&amp;"-01"),0)))-1)/4*100,"")</f>
        <v/>
      </c>
      <c r="Q230" t="str">
        <f>IF(H230="","",MIN(100,100*H230/Parametros!$B$4))</f>
        <v/>
      </c>
      <c r="R230" t="str">
        <f>IF(I230="","",IF(I230=0,100,MIN(100,100*Parametros!$B$5/I230)))</f>
        <v/>
      </c>
      <c r="S230" t="str">
        <f>IF(J230="","",IF(J230=0,100,MIN(100,100*Parametros!$B$6/J230)))</f>
        <v/>
      </c>
      <c r="T230" t="str">
        <f>IF(L230="","",MIN(100,100*L230/Parametros!$B$7))</f>
        <v/>
      </c>
      <c r="U230" t="str">
        <f>IF(K230="","",MIN(100,100*K230/Parametros!$B$8))</f>
        <v/>
      </c>
      <c r="V230" t="str">
        <f ca="1">IFERROR(((AVERAGEIFS(Documentacion!$C$2:$C$1000,Documentacion!$A$2:$A$1000,$A230,Documentacion!$B$2:$B$1000,"&gt;="&amp;DATEVALUE($B230&amp;"-01"),Documentacion!$B$2:$B$1000,"&lt;="&amp;EOMONTH(DATEVALUE($B230&amp;"-01"),0)))-1)/4*100,"")</f>
        <v/>
      </c>
      <c r="W230" t="str">
        <f ca="1">IFERROR(((AVERAGEIFS(Feedback_360!$D$2:$D$1000,Feedback_360!$A$2:$A$1000,$A230,Feedback_360!$B$2:$B$1000,"&gt;="&amp;DATEVALUE($B230&amp;"-01"),Feedback_360!$B$2:$B$1000,"&lt;="&amp;EOMONTH(DATEVALUE($B230&amp;"-01"),0)))-1)/4*100,"")</f>
        <v/>
      </c>
      <c r="X230" t="str">
        <f ca="1">IFERROR(((AVERAGEIFS(Observacion_Directa!$D$2:$D$1000,Observacion_Directa!$A$2:$A$1000,$A230,Observacion_Directa!$B$2:$B$1000,"&gt;="&amp;DATEVALUE($B230&amp;"-01"),Observacion_Directa!$B$2:$B$1000,"&lt;="&amp;EOMONTH(DATEVALUE($B230&amp;"-01"),0)))-1)/4*100,"")</f>
        <v/>
      </c>
      <c r="Y230" t="e">
        <f t="shared" ca="1" si="7"/>
        <v>#DIV/0!</v>
      </c>
    </row>
    <row r="231" spans="12:25" x14ac:dyDescent="0.2">
      <c r="L231" t="str">
        <f t="shared" si="6"/>
        <v/>
      </c>
      <c r="M231" t="str">
        <f>IFERROR(AVERAGEIFS(Prod_5dias!$H$2:$H$1000,Prod_5dias!$A$2:$A$1000,$A231,Prod_5dias!$B$2:$B$1000,$B231),"")</f>
        <v/>
      </c>
      <c r="N231" t="str">
        <f>IF(M231="","",MIN(100,100*M231/Parametros!$B$7))</f>
        <v/>
      </c>
      <c r="O231" t="str">
        <f>IF(F231="","",IF(F231=0,100,MIN(100,100*Parametros!$B$3/F231)))</f>
        <v/>
      </c>
      <c r="P231" t="str">
        <f ca="1">IFERROR(((AVERAGEIFS(Observacion_Directa!$E$2:$E$1000,Observacion_Directa!$A$2:$A$1000,$A231,Observacion_Directa!$B$2:$B$1000,"&gt;="&amp;DATEVALUE($B231&amp;"-01"),Observacion_Directa!$B$2:$B$1000,"&lt;="&amp;EOMONTH(DATEVALUE($B231&amp;"-01"),0)))-1)/4*100,"")</f>
        <v/>
      </c>
      <c r="Q231" t="str">
        <f>IF(H231="","",MIN(100,100*H231/Parametros!$B$4))</f>
        <v/>
      </c>
      <c r="R231" t="str">
        <f>IF(I231="","",IF(I231=0,100,MIN(100,100*Parametros!$B$5/I231)))</f>
        <v/>
      </c>
      <c r="S231" t="str">
        <f>IF(J231="","",IF(J231=0,100,MIN(100,100*Parametros!$B$6/J231)))</f>
        <v/>
      </c>
      <c r="T231" t="str">
        <f>IF(L231="","",MIN(100,100*L231/Parametros!$B$7))</f>
        <v/>
      </c>
      <c r="U231" t="str">
        <f>IF(K231="","",MIN(100,100*K231/Parametros!$B$8))</f>
        <v/>
      </c>
      <c r="V231" t="str">
        <f ca="1">IFERROR(((AVERAGEIFS(Documentacion!$C$2:$C$1000,Documentacion!$A$2:$A$1000,$A231,Documentacion!$B$2:$B$1000,"&gt;="&amp;DATEVALUE($B231&amp;"-01"),Documentacion!$B$2:$B$1000,"&lt;="&amp;EOMONTH(DATEVALUE($B231&amp;"-01"),0)))-1)/4*100,"")</f>
        <v/>
      </c>
      <c r="W231" t="str">
        <f ca="1">IFERROR(((AVERAGEIFS(Feedback_360!$D$2:$D$1000,Feedback_360!$A$2:$A$1000,$A231,Feedback_360!$B$2:$B$1000,"&gt;="&amp;DATEVALUE($B231&amp;"-01"),Feedback_360!$B$2:$B$1000,"&lt;="&amp;EOMONTH(DATEVALUE($B231&amp;"-01"),0)))-1)/4*100,"")</f>
        <v/>
      </c>
      <c r="X231" t="str">
        <f ca="1">IFERROR(((AVERAGEIFS(Observacion_Directa!$D$2:$D$1000,Observacion_Directa!$A$2:$A$1000,$A231,Observacion_Directa!$B$2:$B$1000,"&gt;="&amp;DATEVALUE($B231&amp;"-01"),Observacion_Directa!$B$2:$B$1000,"&lt;="&amp;EOMONTH(DATEVALUE($B231&amp;"-01"),0)))-1)/4*100,"")</f>
        <v/>
      </c>
      <c r="Y231" t="e">
        <f t="shared" ca="1" si="7"/>
        <v>#DIV/0!</v>
      </c>
    </row>
    <row r="232" spans="12:25" x14ac:dyDescent="0.2">
      <c r="L232" t="str">
        <f t="shared" si="6"/>
        <v/>
      </c>
      <c r="M232" t="str">
        <f>IFERROR(AVERAGEIFS(Prod_5dias!$H$2:$H$1000,Prod_5dias!$A$2:$A$1000,$A232,Prod_5dias!$B$2:$B$1000,$B232),"")</f>
        <v/>
      </c>
      <c r="N232" t="str">
        <f>IF(M232="","",MIN(100,100*M232/Parametros!$B$7))</f>
        <v/>
      </c>
      <c r="O232" t="str">
        <f>IF(F232="","",IF(F232=0,100,MIN(100,100*Parametros!$B$3/F232)))</f>
        <v/>
      </c>
      <c r="P232" t="str">
        <f ca="1">IFERROR(((AVERAGEIFS(Observacion_Directa!$E$2:$E$1000,Observacion_Directa!$A$2:$A$1000,$A232,Observacion_Directa!$B$2:$B$1000,"&gt;="&amp;DATEVALUE($B232&amp;"-01"),Observacion_Directa!$B$2:$B$1000,"&lt;="&amp;EOMONTH(DATEVALUE($B232&amp;"-01"),0)))-1)/4*100,"")</f>
        <v/>
      </c>
      <c r="Q232" t="str">
        <f>IF(H232="","",MIN(100,100*H232/Parametros!$B$4))</f>
        <v/>
      </c>
      <c r="R232" t="str">
        <f>IF(I232="","",IF(I232=0,100,MIN(100,100*Parametros!$B$5/I232)))</f>
        <v/>
      </c>
      <c r="S232" t="str">
        <f>IF(J232="","",IF(J232=0,100,MIN(100,100*Parametros!$B$6/J232)))</f>
        <v/>
      </c>
      <c r="T232" t="str">
        <f>IF(L232="","",MIN(100,100*L232/Parametros!$B$7))</f>
        <v/>
      </c>
      <c r="U232" t="str">
        <f>IF(K232="","",MIN(100,100*K232/Parametros!$B$8))</f>
        <v/>
      </c>
      <c r="V232" t="str">
        <f ca="1">IFERROR(((AVERAGEIFS(Documentacion!$C$2:$C$1000,Documentacion!$A$2:$A$1000,$A232,Documentacion!$B$2:$B$1000,"&gt;="&amp;DATEVALUE($B232&amp;"-01"),Documentacion!$B$2:$B$1000,"&lt;="&amp;EOMONTH(DATEVALUE($B232&amp;"-01"),0)))-1)/4*100,"")</f>
        <v/>
      </c>
      <c r="W232" t="str">
        <f ca="1">IFERROR(((AVERAGEIFS(Feedback_360!$D$2:$D$1000,Feedback_360!$A$2:$A$1000,$A232,Feedback_360!$B$2:$B$1000,"&gt;="&amp;DATEVALUE($B232&amp;"-01"),Feedback_360!$B$2:$B$1000,"&lt;="&amp;EOMONTH(DATEVALUE($B232&amp;"-01"),0)))-1)/4*100,"")</f>
        <v/>
      </c>
      <c r="X232" t="str">
        <f ca="1">IFERROR(((AVERAGEIFS(Observacion_Directa!$D$2:$D$1000,Observacion_Directa!$A$2:$A$1000,$A232,Observacion_Directa!$B$2:$B$1000,"&gt;="&amp;DATEVALUE($B232&amp;"-01"),Observacion_Directa!$B$2:$B$1000,"&lt;="&amp;EOMONTH(DATEVALUE($B232&amp;"-01"),0)))-1)/4*100,"")</f>
        <v/>
      </c>
      <c r="Y232" t="e">
        <f t="shared" ca="1" si="7"/>
        <v>#DIV/0!</v>
      </c>
    </row>
    <row r="233" spans="12:25" x14ac:dyDescent="0.2">
      <c r="L233" t="str">
        <f t="shared" si="6"/>
        <v/>
      </c>
      <c r="M233" t="str">
        <f>IFERROR(AVERAGEIFS(Prod_5dias!$H$2:$H$1000,Prod_5dias!$A$2:$A$1000,$A233,Prod_5dias!$B$2:$B$1000,$B233),"")</f>
        <v/>
      </c>
      <c r="N233" t="str">
        <f>IF(M233="","",MIN(100,100*M233/Parametros!$B$7))</f>
        <v/>
      </c>
      <c r="O233" t="str">
        <f>IF(F233="","",IF(F233=0,100,MIN(100,100*Parametros!$B$3/F233)))</f>
        <v/>
      </c>
      <c r="P233" t="str">
        <f ca="1">IFERROR(((AVERAGEIFS(Observacion_Directa!$E$2:$E$1000,Observacion_Directa!$A$2:$A$1000,$A233,Observacion_Directa!$B$2:$B$1000,"&gt;="&amp;DATEVALUE($B233&amp;"-01"),Observacion_Directa!$B$2:$B$1000,"&lt;="&amp;EOMONTH(DATEVALUE($B233&amp;"-01"),0)))-1)/4*100,"")</f>
        <v/>
      </c>
      <c r="Q233" t="str">
        <f>IF(H233="","",MIN(100,100*H233/Parametros!$B$4))</f>
        <v/>
      </c>
      <c r="R233" t="str">
        <f>IF(I233="","",IF(I233=0,100,MIN(100,100*Parametros!$B$5/I233)))</f>
        <v/>
      </c>
      <c r="S233" t="str">
        <f>IF(J233="","",IF(J233=0,100,MIN(100,100*Parametros!$B$6/J233)))</f>
        <v/>
      </c>
      <c r="T233" t="str">
        <f>IF(L233="","",MIN(100,100*L233/Parametros!$B$7))</f>
        <v/>
      </c>
      <c r="U233" t="str">
        <f>IF(K233="","",MIN(100,100*K233/Parametros!$B$8))</f>
        <v/>
      </c>
      <c r="V233" t="str">
        <f ca="1">IFERROR(((AVERAGEIFS(Documentacion!$C$2:$C$1000,Documentacion!$A$2:$A$1000,$A233,Documentacion!$B$2:$B$1000,"&gt;="&amp;DATEVALUE($B233&amp;"-01"),Documentacion!$B$2:$B$1000,"&lt;="&amp;EOMONTH(DATEVALUE($B233&amp;"-01"),0)))-1)/4*100,"")</f>
        <v/>
      </c>
      <c r="W233" t="str">
        <f ca="1">IFERROR(((AVERAGEIFS(Feedback_360!$D$2:$D$1000,Feedback_360!$A$2:$A$1000,$A233,Feedback_360!$B$2:$B$1000,"&gt;="&amp;DATEVALUE($B233&amp;"-01"),Feedback_360!$B$2:$B$1000,"&lt;="&amp;EOMONTH(DATEVALUE($B233&amp;"-01"),0)))-1)/4*100,"")</f>
        <v/>
      </c>
      <c r="X233" t="str">
        <f ca="1">IFERROR(((AVERAGEIFS(Observacion_Directa!$D$2:$D$1000,Observacion_Directa!$A$2:$A$1000,$A233,Observacion_Directa!$B$2:$B$1000,"&gt;="&amp;DATEVALUE($B233&amp;"-01"),Observacion_Directa!$B$2:$B$1000,"&lt;="&amp;EOMONTH(DATEVALUE($B233&amp;"-01"),0)))-1)/4*100,"")</f>
        <v/>
      </c>
      <c r="Y233" t="e">
        <f t="shared" ca="1" si="7"/>
        <v>#DIV/0!</v>
      </c>
    </row>
    <row r="234" spans="12:25" x14ac:dyDescent="0.2">
      <c r="L234" t="str">
        <f t="shared" si="6"/>
        <v/>
      </c>
      <c r="M234" t="str">
        <f>IFERROR(AVERAGEIFS(Prod_5dias!$H$2:$H$1000,Prod_5dias!$A$2:$A$1000,$A234,Prod_5dias!$B$2:$B$1000,$B234),"")</f>
        <v/>
      </c>
      <c r="N234" t="str">
        <f>IF(M234="","",MIN(100,100*M234/Parametros!$B$7))</f>
        <v/>
      </c>
      <c r="O234" t="str">
        <f>IF(F234="","",IF(F234=0,100,MIN(100,100*Parametros!$B$3/F234)))</f>
        <v/>
      </c>
      <c r="P234" t="str">
        <f ca="1">IFERROR(((AVERAGEIFS(Observacion_Directa!$E$2:$E$1000,Observacion_Directa!$A$2:$A$1000,$A234,Observacion_Directa!$B$2:$B$1000,"&gt;="&amp;DATEVALUE($B234&amp;"-01"),Observacion_Directa!$B$2:$B$1000,"&lt;="&amp;EOMONTH(DATEVALUE($B234&amp;"-01"),0)))-1)/4*100,"")</f>
        <v/>
      </c>
      <c r="Q234" t="str">
        <f>IF(H234="","",MIN(100,100*H234/Parametros!$B$4))</f>
        <v/>
      </c>
      <c r="R234" t="str">
        <f>IF(I234="","",IF(I234=0,100,MIN(100,100*Parametros!$B$5/I234)))</f>
        <v/>
      </c>
      <c r="S234" t="str">
        <f>IF(J234="","",IF(J234=0,100,MIN(100,100*Parametros!$B$6/J234)))</f>
        <v/>
      </c>
      <c r="T234" t="str">
        <f>IF(L234="","",MIN(100,100*L234/Parametros!$B$7))</f>
        <v/>
      </c>
      <c r="U234" t="str">
        <f>IF(K234="","",MIN(100,100*K234/Parametros!$B$8))</f>
        <v/>
      </c>
      <c r="V234" t="str">
        <f ca="1">IFERROR(((AVERAGEIFS(Documentacion!$C$2:$C$1000,Documentacion!$A$2:$A$1000,$A234,Documentacion!$B$2:$B$1000,"&gt;="&amp;DATEVALUE($B234&amp;"-01"),Documentacion!$B$2:$B$1000,"&lt;="&amp;EOMONTH(DATEVALUE($B234&amp;"-01"),0)))-1)/4*100,"")</f>
        <v/>
      </c>
      <c r="W234" t="str">
        <f ca="1">IFERROR(((AVERAGEIFS(Feedback_360!$D$2:$D$1000,Feedback_360!$A$2:$A$1000,$A234,Feedback_360!$B$2:$B$1000,"&gt;="&amp;DATEVALUE($B234&amp;"-01"),Feedback_360!$B$2:$B$1000,"&lt;="&amp;EOMONTH(DATEVALUE($B234&amp;"-01"),0)))-1)/4*100,"")</f>
        <v/>
      </c>
      <c r="X234" t="str">
        <f ca="1">IFERROR(((AVERAGEIFS(Observacion_Directa!$D$2:$D$1000,Observacion_Directa!$A$2:$A$1000,$A234,Observacion_Directa!$B$2:$B$1000,"&gt;="&amp;DATEVALUE($B234&amp;"-01"),Observacion_Directa!$B$2:$B$1000,"&lt;="&amp;EOMONTH(DATEVALUE($B234&amp;"-01"),0)))-1)/4*100,"")</f>
        <v/>
      </c>
      <c r="Y234" t="e">
        <f t="shared" ca="1" si="7"/>
        <v>#DIV/0!</v>
      </c>
    </row>
    <row r="235" spans="12:25" x14ac:dyDescent="0.2">
      <c r="L235" t="str">
        <f t="shared" si="6"/>
        <v/>
      </c>
      <c r="M235" t="str">
        <f>IFERROR(AVERAGEIFS(Prod_5dias!$H$2:$H$1000,Prod_5dias!$A$2:$A$1000,$A235,Prod_5dias!$B$2:$B$1000,$B235),"")</f>
        <v/>
      </c>
      <c r="N235" t="str">
        <f>IF(M235="","",MIN(100,100*M235/Parametros!$B$7))</f>
        <v/>
      </c>
      <c r="O235" t="str">
        <f>IF(F235="","",IF(F235=0,100,MIN(100,100*Parametros!$B$3/F235)))</f>
        <v/>
      </c>
      <c r="P235" t="str">
        <f ca="1">IFERROR(((AVERAGEIFS(Observacion_Directa!$E$2:$E$1000,Observacion_Directa!$A$2:$A$1000,$A235,Observacion_Directa!$B$2:$B$1000,"&gt;="&amp;DATEVALUE($B235&amp;"-01"),Observacion_Directa!$B$2:$B$1000,"&lt;="&amp;EOMONTH(DATEVALUE($B235&amp;"-01"),0)))-1)/4*100,"")</f>
        <v/>
      </c>
      <c r="Q235" t="str">
        <f>IF(H235="","",MIN(100,100*H235/Parametros!$B$4))</f>
        <v/>
      </c>
      <c r="R235" t="str">
        <f>IF(I235="","",IF(I235=0,100,MIN(100,100*Parametros!$B$5/I235)))</f>
        <v/>
      </c>
      <c r="S235" t="str">
        <f>IF(J235="","",IF(J235=0,100,MIN(100,100*Parametros!$B$6/J235)))</f>
        <v/>
      </c>
      <c r="T235" t="str">
        <f>IF(L235="","",MIN(100,100*L235/Parametros!$B$7))</f>
        <v/>
      </c>
      <c r="U235" t="str">
        <f>IF(K235="","",MIN(100,100*K235/Parametros!$B$8))</f>
        <v/>
      </c>
      <c r="V235" t="str">
        <f ca="1">IFERROR(((AVERAGEIFS(Documentacion!$C$2:$C$1000,Documentacion!$A$2:$A$1000,$A235,Documentacion!$B$2:$B$1000,"&gt;="&amp;DATEVALUE($B235&amp;"-01"),Documentacion!$B$2:$B$1000,"&lt;="&amp;EOMONTH(DATEVALUE($B235&amp;"-01"),0)))-1)/4*100,"")</f>
        <v/>
      </c>
      <c r="W235" t="str">
        <f ca="1">IFERROR(((AVERAGEIFS(Feedback_360!$D$2:$D$1000,Feedback_360!$A$2:$A$1000,$A235,Feedback_360!$B$2:$B$1000,"&gt;="&amp;DATEVALUE($B235&amp;"-01"),Feedback_360!$B$2:$B$1000,"&lt;="&amp;EOMONTH(DATEVALUE($B235&amp;"-01"),0)))-1)/4*100,"")</f>
        <v/>
      </c>
      <c r="X235" t="str">
        <f ca="1">IFERROR(((AVERAGEIFS(Observacion_Directa!$D$2:$D$1000,Observacion_Directa!$A$2:$A$1000,$A235,Observacion_Directa!$B$2:$B$1000,"&gt;="&amp;DATEVALUE($B235&amp;"-01"),Observacion_Directa!$B$2:$B$1000,"&lt;="&amp;EOMONTH(DATEVALUE($B235&amp;"-01"),0)))-1)/4*100,"")</f>
        <v/>
      </c>
      <c r="Y235" t="e">
        <f t="shared" ca="1" si="7"/>
        <v>#DIV/0!</v>
      </c>
    </row>
    <row r="236" spans="12:25" x14ac:dyDescent="0.2">
      <c r="L236" t="str">
        <f t="shared" si="6"/>
        <v/>
      </c>
      <c r="M236" t="str">
        <f>IFERROR(AVERAGEIFS(Prod_5dias!$H$2:$H$1000,Prod_5dias!$A$2:$A$1000,$A236,Prod_5dias!$B$2:$B$1000,$B236),"")</f>
        <v/>
      </c>
      <c r="N236" t="str">
        <f>IF(M236="","",MIN(100,100*M236/Parametros!$B$7))</f>
        <v/>
      </c>
      <c r="O236" t="str">
        <f>IF(F236="","",IF(F236=0,100,MIN(100,100*Parametros!$B$3/F236)))</f>
        <v/>
      </c>
      <c r="P236" t="str">
        <f ca="1">IFERROR(((AVERAGEIFS(Observacion_Directa!$E$2:$E$1000,Observacion_Directa!$A$2:$A$1000,$A236,Observacion_Directa!$B$2:$B$1000,"&gt;="&amp;DATEVALUE($B236&amp;"-01"),Observacion_Directa!$B$2:$B$1000,"&lt;="&amp;EOMONTH(DATEVALUE($B236&amp;"-01"),0)))-1)/4*100,"")</f>
        <v/>
      </c>
      <c r="Q236" t="str">
        <f>IF(H236="","",MIN(100,100*H236/Parametros!$B$4))</f>
        <v/>
      </c>
      <c r="R236" t="str">
        <f>IF(I236="","",IF(I236=0,100,MIN(100,100*Parametros!$B$5/I236)))</f>
        <v/>
      </c>
      <c r="S236" t="str">
        <f>IF(J236="","",IF(J236=0,100,MIN(100,100*Parametros!$B$6/J236)))</f>
        <v/>
      </c>
      <c r="T236" t="str">
        <f>IF(L236="","",MIN(100,100*L236/Parametros!$B$7))</f>
        <v/>
      </c>
      <c r="U236" t="str">
        <f>IF(K236="","",MIN(100,100*K236/Parametros!$B$8))</f>
        <v/>
      </c>
      <c r="V236" t="str">
        <f ca="1">IFERROR(((AVERAGEIFS(Documentacion!$C$2:$C$1000,Documentacion!$A$2:$A$1000,$A236,Documentacion!$B$2:$B$1000,"&gt;="&amp;DATEVALUE($B236&amp;"-01"),Documentacion!$B$2:$B$1000,"&lt;="&amp;EOMONTH(DATEVALUE($B236&amp;"-01"),0)))-1)/4*100,"")</f>
        <v/>
      </c>
      <c r="W236" t="str">
        <f ca="1">IFERROR(((AVERAGEIFS(Feedback_360!$D$2:$D$1000,Feedback_360!$A$2:$A$1000,$A236,Feedback_360!$B$2:$B$1000,"&gt;="&amp;DATEVALUE($B236&amp;"-01"),Feedback_360!$B$2:$B$1000,"&lt;="&amp;EOMONTH(DATEVALUE($B236&amp;"-01"),0)))-1)/4*100,"")</f>
        <v/>
      </c>
      <c r="X236" t="str">
        <f ca="1">IFERROR(((AVERAGEIFS(Observacion_Directa!$D$2:$D$1000,Observacion_Directa!$A$2:$A$1000,$A236,Observacion_Directa!$B$2:$B$1000,"&gt;="&amp;DATEVALUE($B236&amp;"-01"),Observacion_Directa!$B$2:$B$1000,"&lt;="&amp;EOMONTH(DATEVALUE($B236&amp;"-01"),0)))-1)/4*100,"")</f>
        <v/>
      </c>
      <c r="Y236" t="e">
        <f t="shared" ca="1" si="7"/>
        <v>#DIV/0!</v>
      </c>
    </row>
    <row r="237" spans="12:25" x14ac:dyDescent="0.2">
      <c r="L237" t="str">
        <f t="shared" si="6"/>
        <v/>
      </c>
      <c r="M237" t="str">
        <f>IFERROR(AVERAGEIFS(Prod_5dias!$H$2:$H$1000,Prod_5dias!$A$2:$A$1000,$A237,Prod_5dias!$B$2:$B$1000,$B237),"")</f>
        <v/>
      </c>
      <c r="N237" t="str">
        <f>IF(M237="","",MIN(100,100*M237/Parametros!$B$7))</f>
        <v/>
      </c>
      <c r="O237" t="str">
        <f>IF(F237="","",IF(F237=0,100,MIN(100,100*Parametros!$B$3/F237)))</f>
        <v/>
      </c>
      <c r="P237" t="str">
        <f ca="1">IFERROR(((AVERAGEIFS(Observacion_Directa!$E$2:$E$1000,Observacion_Directa!$A$2:$A$1000,$A237,Observacion_Directa!$B$2:$B$1000,"&gt;="&amp;DATEVALUE($B237&amp;"-01"),Observacion_Directa!$B$2:$B$1000,"&lt;="&amp;EOMONTH(DATEVALUE($B237&amp;"-01"),0)))-1)/4*100,"")</f>
        <v/>
      </c>
      <c r="Q237" t="str">
        <f>IF(H237="","",MIN(100,100*H237/Parametros!$B$4))</f>
        <v/>
      </c>
      <c r="R237" t="str">
        <f>IF(I237="","",IF(I237=0,100,MIN(100,100*Parametros!$B$5/I237)))</f>
        <v/>
      </c>
      <c r="S237" t="str">
        <f>IF(J237="","",IF(J237=0,100,MIN(100,100*Parametros!$B$6/J237)))</f>
        <v/>
      </c>
      <c r="T237" t="str">
        <f>IF(L237="","",MIN(100,100*L237/Parametros!$B$7))</f>
        <v/>
      </c>
      <c r="U237" t="str">
        <f>IF(K237="","",MIN(100,100*K237/Parametros!$B$8))</f>
        <v/>
      </c>
      <c r="V237" t="str">
        <f ca="1">IFERROR(((AVERAGEIFS(Documentacion!$C$2:$C$1000,Documentacion!$A$2:$A$1000,$A237,Documentacion!$B$2:$B$1000,"&gt;="&amp;DATEVALUE($B237&amp;"-01"),Documentacion!$B$2:$B$1000,"&lt;="&amp;EOMONTH(DATEVALUE($B237&amp;"-01"),0)))-1)/4*100,"")</f>
        <v/>
      </c>
      <c r="W237" t="str">
        <f ca="1">IFERROR(((AVERAGEIFS(Feedback_360!$D$2:$D$1000,Feedback_360!$A$2:$A$1000,$A237,Feedback_360!$B$2:$B$1000,"&gt;="&amp;DATEVALUE($B237&amp;"-01"),Feedback_360!$B$2:$B$1000,"&lt;="&amp;EOMONTH(DATEVALUE($B237&amp;"-01"),0)))-1)/4*100,"")</f>
        <v/>
      </c>
      <c r="X237" t="str">
        <f ca="1">IFERROR(((AVERAGEIFS(Observacion_Directa!$D$2:$D$1000,Observacion_Directa!$A$2:$A$1000,$A237,Observacion_Directa!$B$2:$B$1000,"&gt;="&amp;DATEVALUE($B237&amp;"-01"),Observacion_Directa!$B$2:$B$1000,"&lt;="&amp;EOMONTH(DATEVALUE($B237&amp;"-01"),0)))-1)/4*100,"")</f>
        <v/>
      </c>
      <c r="Y237" t="e">
        <f t="shared" ca="1" si="7"/>
        <v>#DIV/0!</v>
      </c>
    </row>
    <row r="238" spans="12:25" x14ac:dyDescent="0.2">
      <c r="L238" t="str">
        <f t="shared" si="6"/>
        <v/>
      </c>
      <c r="M238" t="str">
        <f>IFERROR(AVERAGEIFS(Prod_5dias!$H$2:$H$1000,Prod_5dias!$A$2:$A$1000,$A238,Prod_5dias!$B$2:$B$1000,$B238),"")</f>
        <v/>
      </c>
      <c r="N238" t="str">
        <f>IF(M238="","",MIN(100,100*M238/Parametros!$B$7))</f>
        <v/>
      </c>
      <c r="O238" t="str">
        <f>IF(F238="","",IF(F238=0,100,MIN(100,100*Parametros!$B$3/F238)))</f>
        <v/>
      </c>
      <c r="P238" t="str">
        <f ca="1">IFERROR(((AVERAGEIFS(Observacion_Directa!$E$2:$E$1000,Observacion_Directa!$A$2:$A$1000,$A238,Observacion_Directa!$B$2:$B$1000,"&gt;="&amp;DATEVALUE($B238&amp;"-01"),Observacion_Directa!$B$2:$B$1000,"&lt;="&amp;EOMONTH(DATEVALUE($B238&amp;"-01"),0)))-1)/4*100,"")</f>
        <v/>
      </c>
      <c r="Q238" t="str">
        <f>IF(H238="","",MIN(100,100*H238/Parametros!$B$4))</f>
        <v/>
      </c>
      <c r="R238" t="str">
        <f>IF(I238="","",IF(I238=0,100,MIN(100,100*Parametros!$B$5/I238)))</f>
        <v/>
      </c>
      <c r="S238" t="str">
        <f>IF(J238="","",IF(J238=0,100,MIN(100,100*Parametros!$B$6/J238)))</f>
        <v/>
      </c>
      <c r="T238" t="str">
        <f>IF(L238="","",MIN(100,100*L238/Parametros!$B$7))</f>
        <v/>
      </c>
      <c r="U238" t="str">
        <f>IF(K238="","",MIN(100,100*K238/Parametros!$B$8))</f>
        <v/>
      </c>
      <c r="V238" t="str">
        <f ca="1">IFERROR(((AVERAGEIFS(Documentacion!$C$2:$C$1000,Documentacion!$A$2:$A$1000,$A238,Documentacion!$B$2:$B$1000,"&gt;="&amp;DATEVALUE($B238&amp;"-01"),Documentacion!$B$2:$B$1000,"&lt;="&amp;EOMONTH(DATEVALUE($B238&amp;"-01"),0)))-1)/4*100,"")</f>
        <v/>
      </c>
      <c r="W238" t="str">
        <f ca="1">IFERROR(((AVERAGEIFS(Feedback_360!$D$2:$D$1000,Feedback_360!$A$2:$A$1000,$A238,Feedback_360!$B$2:$B$1000,"&gt;="&amp;DATEVALUE($B238&amp;"-01"),Feedback_360!$B$2:$B$1000,"&lt;="&amp;EOMONTH(DATEVALUE($B238&amp;"-01"),0)))-1)/4*100,"")</f>
        <v/>
      </c>
      <c r="X238" t="str">
        <f ca="1">IFERROR(((AVERAGEIFS(Observacion_Directa!$D$2:$D$1000,Observacion_Directa!$A$2:$A$1000,$A238,Observacion_Directa!$B$2:$B$1000,"&gt;="&amp;DATEVALUE($B238&amp;"-01"),Observacion_Directa!$B$2:$B$1000,"&lt;="&amp;EOMONTH(DATEVALUE($B238&amp;"-01"),0)))-1)/4*100,"")</f>
        <v/>
      </c>
      <c r="Y238" t="e">
        <f t="shared" ca="1" si="7"/>
        <v>#DIV/0!</v>
      </c>
    </row>
    <row r="239" spans="12:25" x14ac:dyDescent="0.2">
      <c r="L239" t="str">
        <f t="shared" si="6"/>
        <v/>
      </c>
      <c r="M239" t="str">
        <f>IFERROR(AVERAGEIFS(Prod_5dias!$H$2:$H$1000,Prod_5dias!$A$2:$A$1000,$A239,Prod_5dias!$B$2:$B$1000,$B239),"")</f>
        <v/>
      </c>
      <c r="N239" t="str">
        <f>IF(M239="","",MIN(100,100*M239/Parametros!$B$7))</f>
        <v/>
      </c>
      <c r="O239" t="str">
        <f>IF(F239="","",IF(F239=0,100,MIN(100,100*Parametros!$B$3/F239)))</f>
        <v/>
      </c>
      <c r="P239" t="str">
        <f ca="1">IFERROR(((AVERAGEIFS(Observacion_Directa!$E$2:$E$1000,Observacion_Directa!$A$2:$A$1000,$A239,Observacion_Directa!$B$2:$B$1000,"&gt;="&amp;DATEVALUE($B239&amp;"-01"),Observacion_Directa!$B$2:$B$1000,"&lt;="&amp;EOMONTH(DATEVALUE($B239&amp;"-01"),0)))-1)/4*100,"")</f>
        <v/>
      </c>
      <c r="Q239" t="str">
        <f>IF(H239="","",MIN(100,100*H239/Parametros!$B$4))</f>
        <v/>
      </c>
      <c r="R239" t="str">
        <f>IF(I239="","",IF(I239=0,100,MIN(100,100*Parametros!$B$5/I239)))</f>
        <v/>
      </c>
      <c r="S239" t="str">
        <f>IF(J239="","",IF(J239=0,100,MIN(100,100*Parametros!$B$6/J239)))</f>
        <v/>
      </c>
      <c r="T239" t="str">
        <f>IF(L239="","",MIN(100,100*L239/Parametros!$B$7))</f>
        <v/>
      </c>
      <c r="U239" t="str">
        <f>IF(K239="","",MIN(100,100*K239/Parametros!$B$8))</f>
        <v/>
      </c>
      <c r="V239" t="str">
        <f ca="1">IFERROR(((AVERAGEIFS(Documentacion!$C$2:$C$1000,Documentacion!$A$2:$A$1000,$A239,Documentacion!$B$2:$B$1000,"&gt;="&amp;DATEVALUE($B239&amp;"-01"),Documentacion!$B$2:$B$1000,"&lt;="&amp;EOMONTH(DATEVALUE($B239&amp;"-01"),0)))-1)/4*100,"")</f>
        <v/>
      </c>
      <c r="W239" t="str">
        <f ca="1">IFERROR(((AVERAGEIFS(Feedback_360!$D$2:$D$1000,Feedback_360!$A$2:$A$1000,$A239,Feedback_360!$B$2:$B$1000,"&gt;="&amp;DATEVALUE($B239&amp;"-01"),Feedback_360!$B$2:$B$1000,"&lt;="&amp;EOMONTH(DATEVALUE($B239&amp;"-01"),0)))-1)/4*100,"")</f>
        <v/>
      </c>
      <c r="X239" t="str">
        <f ca="1">IFERROR(((AVERAGEIFS(Observacion_Directa!$D$2:$D$1000,Observacion_Directa!$A$2:$A$1000,$A239,Observacion_Directa!$B$2:$B$1000,"&gt;="&amp;DATEVALUE($B239&amp;"-01"),Observacion_Directa!$B$2:$B$1000,"&lt;="&amp;EOMONTH(DATEVALUE($B239&amp;"-01"),0)))-1)/4*100,"")</f>
        <v/>
      </c>
      <c r="Y239" t="e">
        <f t="shared" ca="1" si="7"/>
        <v>#DIV/0!</v>
      </c>
    </row>
    <row r="240" spans="12:25" x14ac:dyDescent="0.2">
      <c r="L240" t="str">
        <f t="shared" si="6"/>
        <v/>
      </c>
      <c r="M240" t="str">
        <f>IFERROR(AVERAGEIFS(Prod_5dias!$H$2:$H$1000,Prod_5dias!$A$2:$A$1000,$A240,Prod_5dias!$B$2:$B$1000,$B240),"")</f>
        <v/>
      </c>
      <c r="N240" t="str">
        <f>IF(M240="","",MIN(100,100*M240/Parametros!$B$7))</f>
        <v/>
      </c>
      <c r="O240" t="str">
        <f>IF(F240="","",IF(F240=0,100,MIN(100,100*Parametros!$B$3/F240)))</f>
        <v/>
      </c>
      <c r="P240" t="str">
        <f ca="1">IFERROR(((AVERAGEIFS(Observacion_Directa!$E$2:$E$1000,Observacion_Directa!$A$2:$A$1000,$A240,Observacion_Directa!$B$2:$B$1000,"&gt;="&amp;DATEVALUE($B240&amp;"-01"),Observacion_Directa!$B$2:$B$1000,"&lt;="&amp;EOMONTH(DATEVALUE($B240&amp;"-01"),0)))-1)/4*100,"")</f>
        <v/>
      </c>
      <c r="Q240" t="str">
        <f>IF(H240="","",MIN(100,100*H240/Parametros!$B$4))</f>
        <v/>
      </c>
      <c r="R240" t="str">
        <f>IF(I240="","",IF(I240=0,100,MIN(100,100*Parametros!$B$5/I240)))</f>
        <v/>
      </c>
      <c r="S240" t="str">
        <f>IF(J240="","",IF(J240=0,100,MIN(100,100*Parametros!$B$6/J240)))</f>
        <v/>
      </c>
      <c r="T240" t="str">
        <f>IF(L240="","",MIN(100,100*L240/Parametros!$B$7))</f>
        <v/>
      </c>
      <c r="U240" t="str">
        <f>IF(K240="","",MIN(100,100*K240/Parametros!$B$8))</f>
        <v/>
      </c>
      <c r="V240" t="str">
        <f ca="1">IFERROR(((AVERAGEIFS(Documentacion!$C$2:$C$1000,Documentacion!$A$2:$A$1000,$A240,Documentacion!$B$2:$B$1000,"&gt;="&amp;DATEVALUE($B240&amp;"-01"),Documentacion!$B$2:$B$1000,"&lt;="&amp;EOMONTH(DATEVALUE($B240&amp;"-01"),0)))-1)/4*100,"")</f>
        <v/>
      </c>
      <c r="W240" t="str">
        <f ca="1">IFERROR(((AVERAGEIFS(Feedback_360!$D$2:$D$1000,Feedback_360!$A$2:$A$1000,$A240,Feedback_360!$B$2:$B$1000,"&gt;="&amp;DATEVALUE($B240&amp;"-01"),Feedback_360!$B$2:$B$1000,"&lt;="&amp;EOMONTH(DATEVALUE($B240&amp;"-01"),0)))-1)/4*100,"")</f>
        <v/>
      </c>
      <c r="X240" t="str">
        <f ca="1">IFERROR(((AVERAGEIFS(Observacion_Directa!$D$2:$D$1000,Observacion_Directa!$A$2:$A$1000,$A240,Observacion_Directa!$B$2:$B$1000,"&gt;="&amp;DATEVALUE($B240&amp;"-01"),Observacion_Directa!$B$2:$B$1000,"&lt;="&amp;EOMONTH(DATEVALUE($B240&amp;"-01"),0)))-1)/4*100,"")</f>
        <v/>
      </c>
      <c r="Y240" t="e">
        <f t="shared" ca="1" si="7"/>
        <v>#DIV/0!</v>
      </c>
    </row>
    <row r="241" spans="12:25" x14ac:dyDescent="0.2">
      <c r="L241" t="str">
        <f t="shared" si="6"/>
        <v/>
      </c>
      <c r="M241" t="str">
        <f>IFERROR(AVERAGEIFS(Prod_5dias!$H$2:$H$1000,Prod_5dias!$A$2:$A$1000,$A241,Prod_5dias!$B$2:$B$1000,$B241),"")</f>
        <v/>
      </c>
      <c r="N241" t="str">
        <f>IF(M241="","",MIN(100,100*M241/Parametros!$B$7))</f>
        <v/>
      </c>
      <c r="O241" t="str">
        <f>IF(F241="","",IF(F241=0,100,MIN(100,100*Parametros!$B$3/F241)))</f>
        <v/>
      </c>
      <c r="P241" t="str">
        <f ca="1">IFERROR(((AVERAGEIFS(Observacion_Directa!$E$2:$E$1000,Observacion_Directa!$A$2:$A$1000,$A241,Observacion_Directa!$B$2:$B$1000,"&gt;="&amp;DATEVALUE($B241&amp;"-01"),Observacion_Directa!$B$2:$B$1000,"&lt;="&amp;EOMONTH(DATEVALUE($B241&amp;"-01"),0)))-1)/4*100,"")</f>
        <v/>
      </c>
      <c r="Q241" t="str">
        <f>IF(H241="","",MIN(100,100*H241/Parametros!$B$4))</f>
        <v/>
      </c>
      <c r="R241" t="str">
        <f>IF(I241="","",IF(I241=0,100,MIN(100,100*Parametros!$B$5/I241)))</f>
        <v/>
      </c>
      <c r="S241" t="str">
        <f>IF(J241="","",IF(J241=0,100,MIN(100,100*Parametros!$B$6/J241)))</f>
        <v/>
      </c>
      <c r="T241" t="str">
        <f>IF(L241="","",MIN(100,100*L241/Parametros!$B$7))</f>
        <v/>
      </c>
      <c r="U241" t="str">
        <f>IF(K241="","",MIN(100,100*K241/Parametros!$B$8))</f>
        <v/>
      </c>
      <c r="V241" t="str">
        <f ca="1">IFERROR(((AVERAGEIFS(Documentacion!$C$2:$C$1000,Documentacion!$A$2:$A$1000,$A241,Documentacion!$B$2:$B$1000,"&gt;="&amp;DATEVALUE($B241&amp;"-01"),Documentacion!$B$2:$B$1000,"&lt;="&amp;EOMONTH(DATEVALUE($B241&amp;"-01"),0)))-1)/4*100,"")</f>
        <v/>
      </c>
      <c r="W241" t="str">
        <f ca="1">IFERROR(((AVERAGEIFS(Feedback_360!$D$2:$D$1000,Feedback_360!$A$2:$A$1000,$A241,Feedback_360!$B$2:$B$1000,"&gt;="&amp;DATEVALUE($B241&amp;"-01"),Feedback_360!$B$2:$B$1000,"&lt;="&amp;EOMONTH(DATEVALUE($B241&amp;"-01"),0)))-1)/4*100,"")</f>
        <v/>
      </c>
      <c r="X241" t="str">
        <f ca="1">IFERROR(((AVERAGEIFS(Observacion_Directa!$D$2:$D$1000,Observacion_Directa!$A$2:$A$1000,$A241,Observacion_Directa!$B$2:$B$1000,"&gt;="&amp;DATEVALUE($B241&amp;"-01"),Observacion_Directa!$B$2:$B$1000,"&lt;="&amp;EOMONTH(DATEVALUE($B241&amp;"-01"),0)))-1)/4*100,"")</f>
        <v/>
      </c>
      <c r="Y241" t="e">
        <f t="shared" ca="1" si="7"/>
        <v>#DIV/0!</v>
      </c>
    </row>
    <row r="242" spans="12:25" x14ac:dyDescent="0.2">
      <c r="L242" t="str">
        <f t="shared" si="6"/>
        <v/>
      </c>
      <c r="M242" t="str">
        <f>IFERROR(AVERAGEIFS(Prod_5dias!$H$2:$H$1000,Prod_5dias!$A$2:$A$1000,$A242,Prod_5dias!$B$2:$B$1000,$B242),"")</f>
        <v/>
      </c>
      <c r="N242" t="str">
        <f>IF(M242="","",MIN(100,100*M242/Parametros!$B$7))</f>
        <v/>
      </c>
      <c r="O242" t="str">
        <f>IF(F242="","",IF(F242=0,100,MIN(100,100*Parametros!$B$3/F242)))</f>
        <v/>
      </c>
      <c r="P242" t="str">
        <f ca="1">IFERROR(((AVERAGEIFS(Observacion_Directa!$E$2:$E$1000,Observacion_Directa!$A$2:$A$1000,$A242,Observacion_Directa!$B$2:$B$1000,"&gt;="&amp;DATEVALUE($B242&amp;"-01"),Observacion_Directa!$B$2:$B$1000,"&lt;="&amp;EOMONTH(DATEVALUE($B242&amp;"-01"),0)))-1)/4*100,"")</f>
        <v/>
      </c>
      <c r="Q242" t="str">
        <f>IF(H242="","",MIN(100,100*H242/Parametros!$B$4))</f>
        <v/>
      </c>
      <c r="R242" t="str">
        <f>IF(I242="","",IF(I242=0,100,MIN(100,100*Parametros!$B$5/I242)))</f>
        <v/>
      </c>
      <c r="S242" t="str">
        <f>IF(J242="","",IF(J242=0,100,MIN(100,100*Parametros!$B$6/J242)))</f>
        <v/>
      </c>
      <c r="T242" t="str">
        <f>IF(L242="","",MIN(100,100*L242/Parametros!$B$7))</f>
        <v/>
      </c>
      <c r="U242" t="str">
        <f>IF(K242="","",MIN(100,100*K242/Parametros!$B$8))</f>
        <v/>
      </c>
      <c r="V242" t="str">
        <f ca="1">IFERROR(((AVERAGEIFS(Documentacion!$C$2:$C$1000,Documentacion!$A$2:$A$1000,$A242,Documentacion!$B$2:$B$1000,"&gt;="&amp;DATEVALUE($B242&amp;"-01"),Documentacion!$B$2:$B$1000,"&lt;="&amp;EOMONTH(DATEVALUE($B242&amp;"-01"),0)))-1)/4*100,"")</f>
        <v/>
      </c>
      <c r="W242" t="str">
        <f ca="1">IFERROR(((AVERAGEIFS(Feedback_360!$D$2:$D$1000,Feedback_360!$A$2:$A$1000,$A242,Feedback_360!$B$2:$B$1000,"&gt;="&amp;DATEVALUE($B242&amp;"-01"),Feedback_360!$B$2:$B$1000,"&lt;="&amp;EOMONTH(DATEVALUE($B242&amp;"-01"),0)))-1)/4*100,"")</f>
        <v/>
      </c>
      <c r="X242" t="str">
        <f ca="1">IFERROR(((AVERAGEIFS(Observacion_Directa!$D$2:$D$1000,Observacion_Directa!$A$2:$A$1000,$A242,Observacion_Directa!$B$2:$B$1000,"&gt;="&amp;DATEVALUE($B242&amp;"-01"),Observacion_Directa!$B$2:$B$1000,"&lt;="&amp;EOMONTH(DATEVALUE($B242&amp;"-01"),0)))-1)/4*100,"")</f>
        <v/>
      </c>
      <c r="Y242" t="e">
        <f t="shared" ca="1" si="7"/>
        <v>#DIV/0!</v>
      </c>
    </row>
    <row r="243" spans="12:25" x14ac:dyDescent="0.2">
      <c r="L243" t="str">
        <f t="shared" si="6"/>
        <v/>
      </c>
      <c r="M243" t="str">
        <f>IFERROR(AVERAGEIFS(Prod_5dias!$H$2:$H$1000,Prod_5dias!$A$2:$A$1000,$A243,Prod_5dias!$B$2:$B$1000,$B243),"")</f>
        <v/>
      </c>
      <c r="N243" t="str">
        <f>IF(M243="","",MIN(100,100*M243/Parametros!$B$7))</f>
        <v/>
      </c>
      <c r="O243" t="str">
        <f>IF(F243="","",IF(F243=0,100,MIN(100,100*Parametros!$B$3/F243)))</f>
        <v/>
      </c>
      <c r="P243" t="str">
        <f ca="1">IFERROR(((AVERAGEIFS(Observacion_Directa!$E$2:$E$1000,Observacion_Directa!$A$2:$A$1000,$A243,Observacion_Directa!$B$2:$B$1000,"&gt;="&amp;DATEVALUE($B243&amp;"-01"),Observacion_Directa!$B$2:$B$1000,"&lt;="&amp;EOMONTH(DATEVALUE($B243&amp;"-01"),0)))-1)/4*100,"")</f>
        <v/>
      </c>
      <c r="Q243" t="str">
        <f>IF(H243="","",MIN(100,100*H243/Parametros!$B$4))</f>
        <v/>
      </c>
      <c r="R243" t="str">
        <f>IF(I243="","",IF(I243=0,100,MIN(100,100*Parametros!$B$5/I243)))</f>
        <v/>
      </c>
      <c r="S243" t="str">
        <f>IF(J243="","",IF(J243=0,100,MIN(100,100*Parametros!$B$6/J243)))</f>
        <v/>
      </c>
      <c r="T243" t="str">
        <f>IF(L243="","",MIN(100,100*L243/Parametros!$B$7))</f>
        <v/>
      </c>
      <c r="U243" t="str">
        <f>IF(K243="","",MIN(100,100*K243/Parametros!$B$8))</f>
        <v/>
      </c>
      <c r="V243" t="str">
        <f ca="1">IFERROR(((AVERAGEIFS(Documentacion!$C$2:$C$1000,Documentacion!$A$2:$A$1000,$A243,Documentacion!$B$2:$B$1000,"&gt;="&amp;DATEVALUE($B243&amp;"-01"),Documentacion!$B$2:$B$1000,"&lt;="&amp;EOMONTH(DATEVALUE($B243&amp;"-01"),0)))-1)/4*100,"")</f>
        <v/>
      </c>
      <c r="W243" t="str">
        <f ca="1">IFERROR(((AVERAGEIFS(Feedback_360!$D$2:$D$1000,Feedback_360!$A$2:$A$1000,$A243,Feedback_360!$B$2:$B$1000,"&gt;="&amp;DATEVALUE($B243&amp;"-01"),Feedback_360!$B$2:$B$1000,"&lt;="&amp;EOMONTH(DATEVALUE($B243&amp;"-01"),0)))-1)/4*100,"")</f>
        <v/>
      </c>
      <c r="X243" t="str">
        <f ca="1">IFERROR(((AVERAGEIFS(Observacion_Directa!$D$2:$D$1000,Observacion_Directa!$A$2:$A$1000,$A243,Observacion_Directa!$B$2:$B$1000,"&gt;="&amp;DATEVALUE($B243&amp;"-01"),Observacion_Directa!$B$2:$B$1000,"&lt;="&amp;EOMONTH(DATEVALUE($B243&amp;"-01"),0)))-1)/4*100,"")</f>
        <v/>
      </c>
      <c r="Y243" t="e">
        <f t="shared" ca="1" si="7"/>
        <v>#DIV/0!</v>
      </c>
    </row>
    <row r="244" spans="12:25" x14ac:dyDescent="0.2">
      <c r="L244" t="str">
        <f t="shared" si="6"/>
        <v/>
      </c>
      <c r="M244" t="str">
        <f>IFERROR(AVERAGEIFS(Prod_5dias!$H$2:$H$1000,Prod_5dias!$A$2:$A$1000,$A244,Prod_5dias!$B$2:$B$1000,$B244),"")</f>
        <v/>
      </c>
      <c r="N244" t="str">
        <f>IF(M244="","",MIN(100,100*M244/Parametros!$B$7))</f>
        <v/>
      </c>
      <c r="O244" t="str">
        <f>IF(F244="","",IF(F244=0,100,MIN(100,100*Parametros!$B$3/F244)))</f>
        <v/>
      </c>
      <c r="P244" t="str">
        <f ca="1">IFERROR(((AVERAGEIFS(Observacion_Directa!$E$2:$E$1000,Observacion_Directa!$A$2:$A$1000,$A244,Observacion_Directa!$B$2:$B$1000,"&gt;="&amp;DATEVALUE($B244&amp;"-01"),Observacion_Directa!$B$2:$B$1000,"&lt;="&amp;EOMONTH(DATEVALUE($B244&amp;"-01"),0)))-1)/4*100,"")</f>
        <v/>
      </c>
      <c r="Q244" t="str">
        <f>IF(H244="","",MIN(100,100*H244/Parametros!$B$4))</f>
        <v/>
      </c>
      <c r="R244" t="str">
        <f>IF(I244="","",IF(I244=0,100,MIN(100,100*Parametros!$B$5/I244)))</f>
        <v/>
      </c>
      <c r="S244" t="str">
        <f>IF(J244="","",IF(J244=0,100,MIN(100,100*Parametros!$B$6/J244)))</f>
        <v/>
      </c>
      <c r="T244" t="str">
        <f>IF(L244="","",MIN(100,100*L244/Parametros!$B$7))</f>
        <v/>
      </c>
      <c r="U244" t="str">
        <f>IF(K244="","",MIN(100,100*K244/Parametros!$B$8))</f>
        <v/>
      </c>
      <c r="V244" t="str">
        <f ca="1">IFERROR(((AVERAGEIFS(Documentacion!$C$2:$C$1000,Documentacion!$A$2:$A$1000,$A244,Documentacion!$B$2:$B$1000,"&gt;="&amp;DATEVALUE($B244&amp;"-01"),Documentacion!$B$2:$B$1000,"&lt;="&amp;EOMONTH(DATEVALUE($B244&amp;"-01"),0)))-1)/4*100,"")</f>
        <v/>
      </c>
      <c r="W244" t="str">
        <f ca="1">IFERROR(((AVERAGEIFS(Feedback_360!$D$2:$D$1000,Feedback_360!$A$2:$A$1000,$A244,Feedback_360!$B$2:$B$1000,"&gt;="&amp;DATEVALUE($B244&amp;"-01"),Feedback_360!$B$2:$B$1000,"&lt;="&amp;EOMONTH(DATEVALUE($B244&amp;"-01"),0)))-1)/4*100,"")</f>
        <v/>
      </c>
      <c r="X244" t="str">
        <f ca="1">IFERROR(((AVERAGEIFS(Observacion_Directa!$D$2:$D$1000,Observacion_Directa!$A$2:$A$1000,$A244,Observacion_Directa!$B$2:$B$1000,"&gt;="&amp;DATEVALUE($B244&amp;"-01"),Observacion_Directa!$B$2:$B$1000,"&lt;="&amp;EOMONTH(DATEVALUE($B244&amp;"-01"),0)))-1)/4*100,"")</f>
        <v/>
      </c>
      <c r="Y244" t="e">
        <f t="shared" ca="1" si="7"/>
        <v>#DIV/0!</v>
      </c>
    </row>
    <row r="245" spans="12:25" x14ac:dyDescent="0.2">
      <c r="L245" t="str">
        <f t="shared" si="6"/>
        <v/>
      </c>
      <c r="M245" t="str">
        <f>IFERROR(AVERAGEIFS(Prod_5dias!$H$2:$H$1000,Prod_5dias!$A$2:$A$1000,$A245,Prod_5dias!$B$2:$B$1000,$B245),"")</f>
        <v/>
      </c>
      <c r="N245" t="str">
        <f>IF(M245="","",MIN(100,100*M245/Parametros!$B$7))</f>
        <v/>
      </c>
      <c r="O245" t="str">
        <f>IF(F245="","",IF(F245=0,100,MIN(100,100*Parametros!$B$3/F245)))</f>
        <v/>
      </c>
      <c r="P245" t="str">
        <f ca="1">IFERROR(((AVERAGEIFS(Observacion_Directa!$E$2:$E$1000,Observacion_Directa!$A$2:$A$1000,$A245,Observacion_Directa!$B$2:$B$1000,"&gt;="&amp;DATEVALUE($B245&amp;"-01"),Observacion_Directa!$B$2:$B$1000,"&lt;="&amp;EOMONTH(DATEVALUE($B245&amp;"-01"),0)))-1)/4*100,"")</f>
        <v/>
      </c>
      <c r="Q245" t="str">
        <f>IF(H245="","",MIN(100,100*H245/Parametros!$B$4))</f>
        <v/>
      </c>
      <c r="R245" t="str">
        <f>IF(I245="","",IF(I245=0,100,MIN(100,100*Parametros!$B$5/I245)))</f>
        <v/>
      </c>
      <c r="S245" t="str">
        <f>IF(J245="","",IF(J245=0,100,MIN(100,100*Parametros!$B$6/J245)))</f>
        <v/>
      </c>
      <c r="T245" t="str">
        <f>IF(L245="","",MIN(100,100*L245/Parametros!$B$7))</f>
        <v/>
      </c>
      <c r="U245" t="str">
        <f>IF(K245="","",MIN(100,100*K245/Parametros!$B$8))</f>
        <v/>
      </c>
      <c r="V245" t="str">
        <f ca="1">IFERROR(((AVERAGEIFS(Documentacion!$C$2:$C$1000,Documentacion!$A$2:$A$1000,$A245,Documentacion!$B$2:$B$1000,"&gt;="&amp;DATEVALUE($B245&amp;"-01"),Documentacion!$B$2:$B$1000,"&lt;="&amp;EOMONTH(DATEVALUE($B245&amp;"-01"),0)))-1)/4*100,"")</f>
        <v/>
      </c>
      <c r="W245" t="str">
        <f ca="1">IFERROR(((AVERAGEIFS(Feedback_360!$D$2:$D$1000,Feedback_360!$A$2:$A$1000,$A245,Feedback_360!$B$2:$B$1000,"&gt;="&amp;DATEVALUE($B245&amp;"-01"),Feedback_360!$B$2:$B$1000,"&lt;="&amp;EOMONTH(DATEVALUE($B245&amp;"-01"),0)))-1)/4*100,"")</f>
        <v/>
      </c>
      <c r="X245" t="str">
        <f ca="1">IFERROR(((AVERAGEIFS(Observacion_Directa!$D$2:$D$1000,Observacion_Directa!$A$2:$A$1000,$A245,Observacion_Directa!$B$2:$B$1000,"&gt;="&amp;DATEVALUE($B245&amp;"-01"),Observacion_Directa!$B$2:$B$1000,"&lt;="&amp;EOMONTH(DATEVALUE($B245&amp;"-01"),0)))-1)/4*100,"")</f>
        <v/>
      </c>
      <c r="Y245" t="e">
        <f t="shared" ca="1" si="7"/>
        <v>#DIV/0!</v>
      </c>
    </row>
    <row r="246" spans="12:25" x14ac:dyDescent="0.2">
      <c r="L246" t="str">
        <f t="shared" si="6"/>
        <v/>
      </c>
      <c r="M246" t="str">
        <f>IFERROR(AVERAGEIFS(Prod_5dias!$H$2:$H$1000,Prod_5dias!$A$2:$A$1000,$A246,Prod_5dias!$B$2:$B$1000,$B246),"")</f>
        <v/>
      </c>
      <c r="N246" t="str">
        <f>IF(M246="","",MIN(100,100*M246/Parametros!$B$7))</f>
        <v/>
      </c>
      <c r="O246" t="str">
        <f>IF(F246="","",IF(F246=0,100,MIN(100,100*Parametros!$B$3/F246)))</f>
        <v/>
      </c>
      <c r="P246" t="str">
        <f ca="1">IFERROR(((AVERAGEIFS(Observacion_Directa!$E$2:$E$1000,Observacion_Directa!$A$2:$A$1000,$A246,Observacion_Directa!$B$2:$B$1000,"&gt;="&amp;DATEVALUE($B246&amp;"-01"),Observacion_Directa!$B$2:$B$1000,"&lt;="&amp;EOMONTH(DATEVALUE($B246&amp;"-01"),0)))-1)/4*100,"")</f>
        <v/>
      </c>
      <c r="Q246" t="str">
        <f>IF(H246="","",MIN(100,100*H246/Parametros!$B$4))</f>
        <v/>
      </c>
      <c r="R246" t="str">
        <f>IF(I246="","",IF(I246=0,100,MIN(100,100*Parametros!$B$5/I246)))</f>
        <v/>
      </c>
      <c r="S246" t="str">
        <f>IF(J246="","",IF(J246=0,100,MIN(100,100*Parametros!$B$6/J246)))</f>
        <v/>
      </c>
      <c r="T246" t="str">
        <f>IF(L246="","",MIN(100,100*L246/Parametros!$B$7))</f>
        <v/>
      </c>
      <c r="U246" t="str">
        <f>IF(K246="","",MIN(100,100*K246/Parametros!$B$8))</f>
        <v/>
      </c>
      <c r="V246" t="str">
        <f ca="1">IFERROR(((AVERAGEIFS(Documentacion!$C$2:$C$1000,Documentacion!$A$2:$A$1000,$A246,Documentacion!$B$2:$B$1000,"&gt;="&amp;DATEVALUE($B246&amp;"-01"),Documentacion!$B$2:$B$1000,"&lt;="&amp;EOMONTH(DATEVALUE($B246&amp;"-01"),0)))-1)/4*100,"")</f>
        <v/>
      </c>
      <c r="W246" t="str">
        <f ca="1">IFERROR(((AVERAGEIFS(Feedback_360!$D$2:$D$1000,Feedback_360!$A$2:$A$1000,$A246,Feedback_360!$B$2:$B$1000,"&gt;="&amp;DATEVALUE($B246&amp;"-01"),Feedback_360!$B$2:$B$1000,"&lt;="&amp;EOMONTH(DATEVALUE($B246&amp;"-01"),0)))-1)/4*100,"")</f>
        <v/>
      </c>
      <c r="X246" t="str">
        <f ca="1">IFERROR(((AVERAGEIFS(Observacion_Directa!$D$2:$D$1000,Observacion_Directa!$A$2:$A$1000,$A246,Observacion_Directa!$B$2:$B$1000,"&gt;="&amp;DATEVALUE($B246&amp;"-01"),Observacion_Directa!$B$2:$B$1000,"&lt;="&amp;EOMONTH(DATEVALUE($B246&amp;"-01"),0)))-1)/4*100,"")</f>
        <v/>
      </c>
      <c r="Y246" t="e">
        <f t="shared" ca="1" si="7"/>
        <v>#DIV/0!</v>
      </c>
    </row>
    <row r="247" spans="12:25" x14ac:dyDescent="0.2">
      <c r="L247" t="str">
        <f t="shared" si="6"/>
        <v/>
      </c>
      <c r="M247" t="str">
        <f>IFERROR(AVERAGEIFS(Prod_5dias!$H$2:$H$1000,Prod_5dias!$A$2:$A$1000,$A247,Prod_5dias!$B$2:$B$1000,$B247),"")</f>
        <v/>
      </c>
      <c r="N247" t="str">
        <f>IF(M247="","",MIN(100,100*M247/Parametros!$B$7))</f>
        <v/>
      </c>
      <c r="O247" t="str">
        <f>IF(F247="","",IF(F247=0,100,MIN(100,100*Parametros!$B$3/F247)))</f>
        <v/>
      </c>
      <c r="P247" t="str">
        <f ca="1">IFERROR(((AVERAGEIFS(Observacion_Directa!$E$2:$E$1000,Observacion_Directa!$A$2:$A$1000,$A247,Observacion_Directa!$B$2:$B$1000,"&gt;="&amp;DATEVALUE($B247&amp;"-01"),Observacion_Directa!$B$2:$B$1000,"&lt;="&amp;EOMONTH(DATEVALUE($B247&amp;"-01"),0)))-1)/4*100,"")</f>
        <v/>
      </c>
      <c r="Q247" t="str">
        <f>IF(H247="","",MIN(100,100*H247/Parametros!$B$4))</f>
        <v/>
      </c>
      <c r="R247" t="str">
        <f>IF(I247="","",IF(I247=0,100,MIN(100,100*Parametros!$B$5/I247)))</f>
        <v/>
      </c>
      <c r="S247" t="str">
        <f>IF(J247="","",IF(J247=0,100,MIN(100,100*Parametros!$B$6/J247)))</f>
        <v/>
      </c>
      <c r="T247" t="str">
        <f>IF(L247="","",MIN(100,100*L247/Parametros!$B$7))</f>
        <v/>
      </c>
      <c r="U247" t="str">
        <f>IF(K247="","",MIN(100,100*K247/Parametros!$B$8))</f>
        <v/>
      </c>
      <c r="V247" t="str">
        <f ca="1">IFERROR(((AVERAGEIFS(Documentacion!$C$2:$C$1000,Documentacion!$A$2:$A$1000,$A247,Documentacion!$B$2:$B$1000,"&gt;="&amp;DATEVALUE($B247&amp;"-01"),Documentacion!$B$2:$B$1000,"&lt;="&amp;EOMONTH(DATEVALUE($B247&amp;"-01"),0)))-1)/4*100,"")</f>
        <v/>
      </c>
      <c r="W247" t="str">
        <f ca="1">IFERROR(((AVERAGEIFS(Feedback_360!$D$2:$D$1000,Feedback_360!$A$2:$A$1000,$A247,Feedback_360!$B$2:$B$1000,"&gt;="&amp;DATEVALUE($B247&amp;"-01"),Feedback_360!$B$2:$B$1000,"&lt;="&amp;EOMONTH(DATEVALUE($B247&amp;"-01"),0)))-1)/4*100,"")</f>
        <v/>
      </c>
      <c r="X247" t="str">
        <f ca="1">IFERROR(((AVERAGEIFS(Observacion_Directa!$D$2:$D$1000,Observacion_Directa!$A$2:$A$1000,$A247,Observacion_Directa!$B$2:$B$1000,"&gt;="&amp;DATEVALUE($B247&amp;"-01"),Observacion_Directa!$B$2:$B$1000,"&lt;="&amp;EOMONTH(DATEVALUE($B247&amp;"-01"),0)))-1)/4*100,"")</f>
        <v/>
      </c>
      <c r="Y247" t="e">
        <f t="shared" ca="1" si="7"/>
        <v>#DIV/0!</v>
      </c>
    </row>
    <row r="248" spans="12:25" x14ac:dyDescent="0.2">
      <c r="L248" t="str">
        <f t="shared" si="6"/>
        <v/>
      </c>
      <c r="M248" t="str">
        <f>IFERROR(AVERAGEIFS(Prod_5dias!$H$2:$H$1000,Prod_5dias!$A$2:$A$1000,$A248,Prod_5dias!$B$2:$B$1000,$B248),"")</f>
        <v/>
      </c>
      <c r="N248" t="str">
        <f>IF(M248="","",MIN(100,100*M248/Parametros!$B$7))</f>
        <v/>
      </c>
      <c r="O248" t="str">
        <f>IF(F248="","",IF(F248=0,100,MIN(100,100*Parametros!$B$3/F248)))</f>
        <v/>
      </c>
      <c r="P248" t="str">
        <f ca="1">IFERROR(((AVERAGEIFS(Observacion_Directa!$E$2:$E$1000,Observacion_Directa!$A$2:$A$1000,$A248,Observacion_Directa!$B$2:$B$1000,"&gt;="&amp;DATEVALUE($B248&amp;"-01"),Observacion_Directa!$B$2:$B$1000,"&lt;="&amp;EOMONTH(DATEVALUE($B248&amp;"-01"),0)))-1)/4*100,"")</f>
        <v/>
      </c>
      <c r="Q248" t="str">
        <f>IF(H248="","",MIN(100,100*H248/Parametros!$B$4))</f>
        <v/>
      </c>
      <c r="R248" t="str">
        <f>IF(I248="","",IF(I248=0,100,MIN(100,100*Parametros!$B$5/I248)))</f>
        <v/>
      </c>
      <c r="S248" t="str">
        <f>IF(J248="","",IF(J248=0,100,MIN(100,100*Parametros!$B$6/J248)))</f>
        <v/>
      </c>
      <c r="T248" t="str">
        <f>IF(L248="","",MIN(100,100*L248/Parametros!$B$7))</f>
        <v/>
      </c>
      <c r="U248" t="str">
        <f>IF(K248="","",MIN(100,100*K248/Parametros!$B$8))</f>
        <v/>
      </c>
      <c r="V248" t="str">
        <f ca="1">IFERROR(((AVERAGEIFS(Documentacion!$C$2:$C$1000,Documentacion!$A$2:$A$1000,$A248,Documentacion!$B$2:$B$1000,"&gt;="&amp;DATEVALUE($B248&amp;"-01"),Documentacion!$B$2:$B$1000,"&lt;="&amp;EOMONTH(DATEVALUE($B248&amp;"-01"),0)))-1)/4*100,"")</f>
        <v/>
      </c>
      <c r="W248" t="str">
        <f ca="1">IFERROR(((AVERAGEIFS(Feedback_360!$D$2:$D$1000,Feedback_360!$A$2:$A$1000,$A248,Feedback_360!$B$2:$B$1000,"&gt;="&amp;DATEVALUE($B248&amp;"-01"),Feedback_360!$B$2:$B$1000,"&lt;="&amp;EOMONTH(DATEVALUE($B248&amp;"-01"),0)))-1)/4*100,"")</f>
        <v/>
      </c>
      <c r="X248" t="str">
        <f ca="1">IFERROR(((AVERAGEIFS(Observacion_Directa!$D$2:$D$1000,Observacion_Directa!$A$2:$A$1000,$A248,Observacion_Directa!$B$2:$B$1000,"&gt;="&amp;DATEVALUE($B248&amp;"-01"),Observacion_Directa!$B$2:$B$1000,"&lt;="&amp;EOMONTH(DATEVALUE($B248&amp;"-01"),0)))-1)/4*100,"")</f>
        <v/>
      </c>
      <c r="Y248" t="e">
        <f t="shared" ca="1" si="7"/>
        <v>#DIV/0!</v>
      </c>
    </row>
    <row r="249" spans="12:25" x14ac:dyDescent="0.2">
      <c r="L249" t="str">
        <f t="shared" si="6"/>
        <v/>
      </c>
      <c r="M249" t="str">
        <f>IFERROR(AVERAGEIFS(Prod_5dias!$H$2:$H$1000,Prod_5dias!$A$2:$A$1000,$A249,Prod_5dias!$B$2:$B$1000,$B249),"")</f>
        <v/>
      </c>
      <c r="N249" t="str">
        <f>IF(M249="","",MIN(100,100*M249/Parametros!$B$7))</f>
        <v/>
      </c>
      <c r="O249" t="str">
        <f>IF(F249="","",IF(F249=0,100,MIN(100,100*Parametros!$B$3/F249)))</f>
        <v/>
      </c>
      <c r="P249" t="str">
        <f ca="1">IFERROR(((AVERAGEIFS(Observacion_Directa!$E$2:$E$1000,Observacion_Directa!$A$2:$A$1000,$A249,Observacion_Directa!$B$2:$B$1000,"&gt;="&amp;DATEVALUE($B249&amp;"-01"),Observacion_Directa!$B$2:$B$1000,"&lt;="&amp;EOMONTH(DATEVALUE($B249&amp;"-01"),0)))-1)/4*100,"")</f>
        <v/>
      </c>
      <c r="Q249" t="str">
        <f>IF(H249="","",MIN(100,100*H249/Parametros!$B$4))</f>
        <v/>
      </c>
      <c r="R249" t="str">
        <f>IF(I249="","",IF(I249=0,100,MIN(100,100*Parametros!$B$5/I249)))</f>
        <v/>
      </c>
      <c r="S249" t="str">
        <f>IF(J249="","",IF(J249=0,100,MIN(100,100*Parametros!$B$6/J249)))</f>
        <v/>
      </c>
      <c r="T249" t="str">
        <f>IF(L249="","",MIN(100,100*L249/Parametros!$B$7))</f>
        <v/>
      </c>
      <c r="U249" t="str">
        <f>IF(K249="","",MIN(100,100*K249/Parametros!$B$8))</f>
        <v/>
      </c>
      <c r="V249" t="str">
        <f ca="1">IFERROR(((AVERAGEIFS(Documentacion!$C$2:$C$1000,Documentacion!$A$2:$A$1000,$A249,Documentacion!$B$2:$B$1000,"&gt;="&amp;DATEVALUE($B249&amp;"-01"),Documentacion!$B$2:$B$1000,"&lt;="&amp;EOMONTH(DATEVALUE($B249&amp;"-01"),0)))-1)/4*100,"")</f>
        <v/>
      </c>
      <c r="W249" t="str">
        <f ca="1">IFERROR(((AVERAGEIFS(Feedback_360!$D$2:$D$1000,Feedback_360!$A$2:$A$1000,$A249,Feedback_360!$B$2:$B$1000,"&gt;="&amp;DATEVALUE($B249&amp;"-01"),Feedback_360!$B$2:$B$1000,"&lt;="&amp;EOMONTH(DATEVALUE($B249&amp;"-01"),0)))-1)/4*100,"")</f>
        <v/>
      </c>
      <c r="X249" t="str">
        <f ca="1">IFERROR(((AVERAGEIFS(Observacion_Directa!$D$2:$D$1000,Observacion_Directa!$A$2:$A$1000,$A249,Observacion_Directa!$B$2:$B$1000,"&gt;="&amp;DATEVALUE($B249&amp;"-01"),Observacion_Directa!$B$2:$B$1000,"&lt;="&amp;EOMONTH(DATEVALUE($B249&amp;"-01"),0)))-1)/4*100,"")</f>
        <v/>
      </c>
      <c r="Y249" t="e">
        <f t="shared" ca="1" si="7"/>
        <v>#DIV/0!</v>
      </c>
    </row>
    <row r="250" spans="12:25" x14ac:dyDescent="0.2">
      <c r="L250" t="str">
        <f t="shared" si="6"/>
        <v/>
      </c>
      <c r="M250" t="str">
        <f>IFERROR(AVERAGEIFS(Prod_5dias!$H$2:$H$1000,Prod_5dias!$A$2:$A$1000,$A250,Prod_5dias!$B$2:$B$1000,$B250),"")</f>
        <v/>
      </c>
      <c r="N250" t="str">
        <f>IF(M250="","",MIN(100,100*M250/Parametros!$B$7))</f>
        <v/>
      </c>
      <c r="O250" t="str">
        <f>IF(F250="","",IF(F250=0,100,MIN(100,100*Parametros!$B$3/F250)))</f>
        <v/>
      </c>
      <c r="P250" t="str">
        <f ca="1">IFERROR(((AVERAGEIFS(Observacion_Directa!$E$2:$E$1000,Observacion_Directa!$A$2:$A$1000,$A250,Observacion_Directa!$B$2:$B$1000,"&gt;="&amp;DATEVALUE($B250&amp;"-01"),Observacion_Directa!$B$2:$B$1000,"&lt;="&amp;EOMONTH(DATEVALUE($B250&amp;"-01"),0)))-1)/4*100,"")</f>
        <v/>
      </c>
      <c r="Q250" t="str">
        <f>IF(H250="","",MIN(100,100*H250/Parametros!$B$4))</f>
        <v/>
      </c>
      <c r="R250" t="str">
        <f>IF(I250="","",IF(I250=0,100,MIN(100,100*Parametros!$B$5/I250)))</f>
        <v/>
      </c>
      <c r="S250" t="str">
        <f>IF(J250="","",IF(J250=0,100,MIN(100,100*Parametros!$B$6/J250)))</f>
        <v/>
      </c>
      <c r="T250" t="str">
        <f>IF(L250="","",MIN(100,100*L250/Parametros!$B$7))</f>
        <v/>
      </c>
      <c r="U250" t="str">
        <f>IF(K250="","",MIN(100,100*K250/Parametros!$B$8))</f>
        <v/>
      </c>
      <c r="V250" t="str">
        <f ca="1">IFERROR(((AVERAGEIFS(Documentacion!$C$2:$C$1000,Documentacion!$A$2:$A$1000,$A250,Documentacion!$B$2:$B$1000,"&gt;="&amp;DATEVALUE($B250&amp;"-01"),Documentacion!$B$2:$B$1000,"&lt;="&amp;EOMONTH(DATEVALUE($B250&amp;"-01"),0)))-1)/4*100,"")</f>
        <v/>
      </c>
      <c r="W250" t="str">
        <f ca="1">IFERROR(((AVERAGEIFS(Feedback_360!$D$2:$D$1000,Feedback_360!$A$2:$A$1000,$A250,Feedback_360!$B$2:$B$1000,"&gt;="&amp;DATEVALUE($B250&amp;"-01"),Feedback_360!$B$2:$B$1000,"&lt;="&amp;EOMONTH(DATEVALUE($B250&amp;"-01"),0)))-1)/4*100,"")</f>
        <v/>
      </c>
      <c r="X250" t="str">
        <f ca="1">IFERROR(((AVERAGEIFS(Observacion_Directa!$D$2:$D$1000,Observacion_Directa!$A$2:$A$1000,$A250,Observacion_Directa!$B$2:$B$1000,"&gt;="&amp;DATEVALUE($B250&amp;"-01"),Observacion_Directa!$B$2:$B$1000,"&lt;="&amp;EOMONTH(DATEVALUE($B250&amp;"-01"),0)))-1)/4*100,"")</f>
        <v/>
      </c>
      <c r="Y250" t="e">
        <f t="shared" ca="1" si="7"/>
        <v>#DIV/0!</v>
      </c>
    </row>
    <row r="251" spans="12:25" x14ac:dyDescent="0.2">
      <c r="L251" t="str">
        <f t="shared" si="6"/>
        <v/>
      </c>
      <c r="M251" t="str">
        <f>IFERROR(AVERAGEIFS(Prod_5dias!$H$2:$H$1000,Prod_5dias!$A$2:$A$1000,$A251,Prod_5dias!$B$2:$B$1000,$B251),"")</f>
        <v/>
      </c>
      <c r="N251" t="str">
        <f>IF(M251="","",MIN(100,100*M251/Parametros!$B$7))</f>
        <v/>
      </c>
      <c r="O251" t="str">
        <f>IF(F251="","",IF(F251=0,100,MIN(100,100*Parametros!$B$3/F251)))</f>
        <v/>
      </c>
      <c r="P251" t="str">
        <f ca="1">IFERROR(((AVERAGEIFS(Observacion_Directa!$E$2:$E$1000,Observacion_Directa!$A$2:$A$1000,$A251,Observacion_Directa!$B$2:$B$1000,"&gt;="&amp;DATEVALUE($B251&amp;"-01"),Observacion_Directa!$B$2:$B$1000,"&lt;="&amp;EOMONTH(DATEVALUE($B251&amp;"-01"),0)))-1)/4*100,"")</f>
        <v/>
      </c>
      <c r="Q251" t="str">
        <f>IF(H251="","",MIN(100,100*H251/Parametros!$B$4))</f>
        <v/>
      </c>
      <c r="R251" t="str">
        <f>IF(I251="","",IF(I251=0,100,MIN(100,100*Parametros!$B$5/I251)))</f>
        <v/>
      </c>
      <c r="S251" t="str">
        <f>IF(J251="","",IF(J251=0,100,MIN(100,100*Parametros!$B$6/J251)))</f>
        <v/>
      </c>
      <c r="T251" t="str">
        <f>IF(L251="","",MIN(100,100*L251/Parametros!$B$7))</f>
        <v/>
      </c>
      <c r="U251" t="str">
        <f>IF(K251="","",MIN(100,100*K251/Parametros!$B$8))</f>
        <v/>
      </c>
      <c r="V251" t="str">
        <f ca="1">IFERROR(((AVERAGEIFS(Documentacion!$C$2:$C$1000,Documentacion!$A$2:$A$1000,$A251,Documentacion!$B$2:$B$1000,"&gt;="&amp;DATEVALUE($B251&amp;"-01"),Documentacion!$B$2:$B$1000,"&lt;="&amp;EOMONTH(DATEVALUE($B251&amp;"-01"),0)))-1)/4*100,"")</f>
        <v/>
      </c>
      <c r="W251" t="str">
        <f ca="1">IFERROR(((AVERAGEIFS(Feedback_360!$D$2:$D$1000,Feedback_360!$A$2:$A$1000,$A251,Feedback_360!$B$2:$B$1000,"&gt;="&amp;DATEVALUE($B251&amp;"-01"),Feedback_360!$B$2:$B$1000,"&lt;="&amp;EOMONTH(DATEVALUE($B251&amp;"-01"),0)))-1)/4*100,"")</f>
        <v/>
      </c>
      <c r="X251" t="str">
        <f ca="1">IFERROR(((AVERAGEIFS(Observacion_Directa!$D$2:$D$1000,Observacion_Directa!$A$2:$A$1000,$A251,Observacion_Directa!$B$2:$B$1000,"&gt;="&amp;DATEVALUE($B251&amp;"-01"),Observacion_Directa!$B$2:$B$1000,"&lt;="&amp;EOMONTH(DATEVALUE($B251&amp;"-01"),0)))-1)/4*100,"")</f>
        <v/>
      </c>
      <c r="Y251" t="e">
        <f t="shared" ca="1" si="7"/>
        <v>#DIV/0!</v>
      </c>
    </row>
    <row r="252" spans="12:25" x14ac:dyDescent="0.2">
      <c r="L252" t="str">
        <f t="shared" si="6"/>
        <v/>
      </c>
      <c r="M252" t="str">
        <f>IFERROR(AVERAGEIFS(Prod_5dias!$H$2:$H$1000,Prod_5dias!$A$2:$A$1000,$A252,Prod_5dias!$B$2:$B$1000,$B252),"")</f>
        <v/>
      </c>
      <c r="N252" t="str">
        <f>IF(M252="","",MIN(100,100*M252/Parametros!$B$7))</f>
        <v/>
      </c>
      <c r="O252" t="str">
        <f>IF(F252="","",IF(F252=0,100,MIN(100,100*Parametros!$B$3/F252)))</f>
        <v/>
      </c>
      <c r="P252" t="str">
        <f ca="1">IFERROR(((AVERAGEIFS(Observacion_Directa!$E$2:$E$1000,Observacion_Directa!$A$2:$A$1000,$A252,Observacion_Directa!$B$2:$B$1000,"&gt;="&amp;DATEVALUE($B252&amp;"-01"),Observacion_Directa!$B$2:$B$1000,"&lt;="&amp;EOMONTH(DATEVALUE($B252&amp;"-01"),0)))-1)/4*100,"")</f>
        <v/>
      </c>
      <c r="Q252" t="str">
        <f>IF(H252="","",MIN(100,100*H252/Parametros!$B$4))</f>
        <v/>
      </c>
      <c r="R252" t="str">
        <f>IF(I252="","",IF(I252=0,100,MIN(100,100*Parametros!$B$5/I252)))</f>
        <v/>
      </c>
      <c r="S252" t="str">
        <f>IF(J252="","",IF(J252=0,100,MIN(100,100*Parametros!$B$6/J252)))</f>
        <v/>
      </c>
      <c r="T252" t="str">
        <f>IF(L252="","",MIN(100,100*L252/Parametros!$B$7))</f>
        <v/>
      </c>
      <c r="U252" t="str">
        <f>IF(K252="","",MIN(100,100*K252/Parametros!$B$8))</f>
        <v/>
      </c>
      <c r="V252" t="str">
        <f ca="1">IFERROR(((AVERAGEIFS(Documentacion!$C$2:$C$1000,Documentacion!$A$2:$A$1000,$A252,Documentacion!$B$2:$B$1000,"&gt;="&amp;DATEVALUE($B252&amp;"-01"),Documentacion!$B$2:$B$1000,"&lt;="&amp;EOMONTH(DATEVALUE($B252&amp;"-01"),0)))-1)/4*100,"")</f>
        <v/>
      </c>
      <c r="W252" t="str">
        <f ca="1">IFERROR(((AVERAGEIFS(Feedback_360!$D$2:$D$1000,Feedback_360!$A$2:$A$1000,$A252,Feedback_360!$B$2:$B$1000,"&gt;="&amp;DATEVALUE($B252&amp;"-01"),Feedback_360!$B$2:$B$1000,"&lt;="&amp;EOMONTH(DATEVALUE($B252&amp;"-01"),0)))-1)/4*100,"")</f>
        <v/>
      </c>
      <c r="X252" t="str">
        <f ca="1">IFERROR(((AVERAGEIFS(Observacion_Directa!$D$2:$D$1000,Observacion_Directa!$A$2:$A$1000,$A252,Observacion_Directa!$B$2:$B$1000,"&gt;="&amp;DATEVALUE($B252&amp;"-01"),Observacion_Directa!$B$2:$B$1000,"&lt;="&amp;EOMONTH(DATEVALUE($B252&amp;"-01"),0)))-1)/4*100,"")</f>
        <v/>
      </c>
      <c r="Y252" t="e">
        <f t="shared" ca="1" si="7"/>
        <v>#DIV/0!</v>
      </c>
    </row>
    <row r="253" spans="12:25" x14ac:dyDescent="0.2">
      <c r="L253" t="str">
        <f t="shared" si="6"/>
        <v/>
      </c>
      <c r="M253" t="str">
        <f>IFERROR(AVERAGEIFS(Prod_5dias!$H$2:$H$1000,Prod_5dias!$A$2:$A$1000,$A253,Prod_5dias!$B$2:$B$1000,$B253),"")</f>
        <v/>
      </c>
      <c r="N253" t="str">
        <f>IF(M253="","",MIN(100,100*M253/Parametros!$B$7))</f>
        <v/>
      </c>
      <c r="O253" t="str">
        <f>IF(F253="","",IF(F253=0,100,MIN(100,100*Parametros!$B$3/F253)))</f>
        <v/>
      </c>
      <c r="P253" t="str">
        <f ca="1">IFERROR(((AVERAGEIFS(Observacion_Directa!$E$2:$E$1000,Observacion_Directa!$A$2:$A$1000,$A253,Observacion_Directa!$B$2:$B$1000,"&gt;="&amp;DATEVALUE($B253&amp;"-01"),Observacion_Directa!$B$2:$B$1000,"&lt;="&amp;EOMONTH(DATEVALUE($B253&amp;"-01"),0)))-1)/4*100,"")</f>
        <v/>
      </c>
      <c r="Q253" t="str">
        <f>IF(H253="","",MIN(100,100*H253/Parametros!$B$4))</f>
        <v/>
      </c>
      <c r="R253" t="str">
        <f>IF(I253="","",IF(I253=0,100,MIN(100,100*Parametros!$B$5/I253)))</f>
        <v/>
      </c>
      <c r="S253" t="str">
        <f>IF(J253="","",IF(J253=0,100,MIN(100,100*Parametros!$B$6/J253)))</f>
        <v/>
      </c>
      <c r="T253" t="str">
        <f>IF(L253="","",MIN(100,100*L253/Parametros!$B$7))</f>
        <v/>
      </c>
      <c r="U253" t="str">
        <f>IF(K253="","",MIN(100,100*K253/Parametros!$B$8))</f>
        <v/>
      </c>
      <c r="V253" t="str">
        <f ca="1">IFERROR(((AVERAGEIFS(Documentacion!$C$2:$C$1000,Documentacion!$A$2:$A$1000,$A253,Documentacion!$B$2:$B$1000,"&gt;="&amp;DATEVALUE($B253&amp;"-01"),Documentacion!$B$2:$B$1000,"&lt;="&amp;EOMONTH(DATEVALUE($B253&amp;"-01"),0)))-1)/4*100,"")</f>
        <v/>
      </c>
      <c r="W253" t="str">
        <f ca="1">IFERROR(((AVERAGEIFS(Feedback_360!$D$2:$D$1000,Feedback_360!$A$2:$A$1000,$A253,Feedback_360!$B$2:$B$1000,"&gt;="&amp;DATEVALUE($B253&amp;"-01"),Feedback_360!$B$2:$B$1000,"&lt;="&amp;EOMONTH(DATEVALUE($B253&amp;"-01"),0)))-1)/4*100,"")</f>
        <v/>
      </c>
      <c r="X253" t="str">
        <f ca="1">IFERROR(((AVERAGEIFS(Observacion_Directa!$D$2:$D$1000,Observacion_Directa!$A$2:$A$1000,$A253,Observacion_Directa!$B$2:$B$1000,"&gt;="&amp;DATEVALUE($B253&amp;"-01"),Observacion_Directa!$B$2:$B$1000,"&lt;="&amp;EOMONTH(DATEVALUE($B253&amp;"-01"),0)))-1)/4*100,"")</f>
        <v/>
      </c>
      <c r="Y253" t="e">
        <f t="shared" ca="1" si="7"/>
        <v>#DIV/0!</v>
      </c>
    </row>
    <row r="254" spans="12:25" x14ac:dyDescent="0.2">
      <c r="L254" t="str">
        <f t="shared" si="6"/>
        <v/>
      </c>
      <c r="M254" t="str">
        <f>IFERROR(AVERAGEIFS(Prod_5dias!$H$2:$H$1000,Prod_5dias!$A$2:$A$1000,$A254,Prod_5dias!$B$2:$B$1000,$B254),"")</f>
        <v/>
      </c>
      <c r="N254" t="str">
        <f>IF(M254="","",MIN(100,100*M254/Parametros!$B$7))</f>
        <v/>
      </c>
      <c r="O254" t="str">
        <f>IF(F254="","",IF(F254=0,100,MIN(100,100*Parametros!$B$3/F254)))</f>
        <v/>
      </c>
      <c r="P254" t="str">
        <f ca="1">IFERROR(((AVERAGEIFS(Observacion_Directa!$E$2:$E$1000,Observacion_Directa!$A$2:$A$1000,$A254,Observacion_Directa!$B$2:$B$1000,"&gt;="&amp;DATEVALUE($B254&amp;"-01"),Observacion_Directa!$B$2:$B$1000,"&lt;="&amp;EOMONTH(DATEVALUE($B254&amp;"-01"),0)))-1)/4*100,"")</f>
        <v/>
      </c>
      <c r="Q254" t="str">
        <f>IF(H254="","",MIN(100,100*H254/Parametros!$B$4))</f>
        <v/>
      </c>
      <c r="R254" t="str">
        <f>IF(I254="","",IF(I254=0,100,MIN(100,100*Parametros!$B$5/I254)))</f>
        <v/>
      </c>
      <c r="S254" t="str">
        <f>IF(J254="","",IF(J254=0,100,MIN(100,100*Parametros!$B$6/J254)))</f>
        <v/>
      </c>
      <c r="T254" t="str">
        <f>IF(L254="","",MIN(100,100*L254/Parametros!$B$7))</f>
        <v/>
      </c>
      <c r="U254" t="str">
        <f>IF(K254="","",MIN(100,100*K254/Parametros!$B$8))</f>
        <v/>
      </c>
      <c r="V254" t="str">
        <f ca="1">IFERROR(((AVERAGEIFS(Documentacion!$C$2:$C$1000,Documentacion!$A$2:$A$1000,$A254,Documentacion!$B$2:$B$1000,"&gt;="&amp;DATEVALUE($B254&amp;"-01"),Documentacion!$B$2:$B$1000,"&lt;="&amp;EOMONTH(DATEVALUE($B254&amp;"-01"),0)))-1)/4*100,"")</f>
        <v/>
      </c>
      <c r="W254" t="str">
        <f ca="1">IFERROR(((AVERAGEIFS(Feedback_360!$D$2:$D$1000,Feedback_360!$A$2:$A$1000,$A254,Feedback_360!$B$2:$B$1000,"&gt;="&amp;DATEVALUE($B254&amp;"-01"),Feedback_360!$B$2:$B$1000,"&lt;="&amp;EOMONTH(DATEVALUE($B254&amp;"-01"),0)))-1)/4*100,"")</f>
        <v/>
      </c>
      <c r="X254" t="str">
        <f ca="1">IFERROR(((AVERAGEIFS(Observacion_Directa!$D$2:$D$1000,Observacion_Directa!$A$2:$A$1000,$A254,Observacion_Directa!$B$2:$B$1000,"&gt;="&amp;DATEVALUE($B254&amp;"-01"),Observacion_Directa!$B$2:$B$1000,"&lt;="&amp;EOMONTH(DATEVALUE($B254&amp;"-01"),0)))-1)/4*100,"")</f>
        <v/>
      </c>
      <c r="Y254" t="e">
        <f t="shared" ca="1" si="7"/>
        <v>#DIV/0!</v>
      </c>
    </row>
    <row r="255" spans="12:25" x14ac:dyDescent="0.2">
      <c r="L255" t="str">
        <f t="shared" si="6"/>
        <v/>
      </c>
      <c r="M255" t="str">
        <f>IFERROR(AVERAGEIFS(Prod_5dias!$H$2:$H$1000,Prod_5dias!$A$2:$A$1000,$A255,Prod_5dias!$B$2:$B$1000,$B255),"")</f>
        <v/>
      </c>
      <c r="N255" t="str">
        <f>IF(M255="","",MIN(100,100*M255/Parametros!$B$7))</f>
        <v/>
      </c>
      <c r="O255" t="str">
        <f>IF(F255="","",IF(F255=0,100,MIN(100,100*Parametros!$B$3/F255)))</f>
        <v/>
      </c>
      <c r="P255" t="str">
        <f ca="1">IFERROR(((AVERAGEIFS(Observacion_Directa!$E$2:$E$1000,Observacion_Directa!$A$2:$A$1000,$A255,Observacion_Directa!$B$2:$B$1000,"&gt;="&amp;DATEVALUE($B255&amp;"-01"),Observacion_Directa!$B$2:$B$1000,"&lt;="&amp;EOMONTH(DATEVALUE($B255&amp;"-01"),0)))-1)/4*100,"")</f>
        <v/>
      </c>
      <c r="Q255" t="str">
        <f>IF(H255="","",MIN(100,100*H255/Parametros!$B$4))</f>
        <v/>
      </c>
      <c r="R255" t="str">
        <f>IF(I255="","",IF(I255=0,100,MIN(100,100*Parametros!$B$5/I255)))</f>
        <v/>
      </c>
      <c r="S255" t="str">
        <f>IF(J255="","",IF(J255=0,100,MIN(100,100*Parametros!$B$6/J255)))</f>
        <v/>
      </c>
      <c r="T255" t="str">
        <f>IF(L255="","",MIN(100,100*L255/Parametros!$B$7))</f>
        <v/>
      </c>
      <c r="U255" t="str">
        <f>IF(K255="","",MIN(100,100*K255/Parametros!$B$8))</f>
        <v/>
      </c>
      <c r="V255" t="str">
        <f ca="1">IFERROR(((AVERAGEIFS(Documentacion!$C$2:$C$1000,Documentacion!$A$2:$A$1000,$A255,Documentacion!$B$2:$B$1000,"&gt;="&amp;DATEVALUE($B255&amp;"-01"),Documentacion!$B$2:$B$1000,"&lt;="&amp;EOMONTH(DATEVALUE($B255&amp;"-01"),0)))-1)/4*100,"")</f>
        <v/>
      </c>
      <c r="W255" t="str">
        <f ca="1">IFERROR(((AVERAGEIFS(Feedback_360!$D$2:$D$1000,Feedback_360!$A$2:$A$1000,$A255,Feedback_360!$B$2:$B$1000,"&gt;="&amp;DATEVALUE($B255&amp;"-01"),Feedback_360!$B$2:$B$1000,"&lt;="&amp;EOMONTH(DATEVALUE($B255&amp;"-01"),0)))-1)/4*100,"")</f>
        <v/>
      </c>
      <c r="X255" t="str">
        <f ca="1">IFERROR(((AVERAGEIFS(Observacion_Directa!$D$2:$D$1000,Observacion_Directa!$A$2:$A$1000,$A255,Observacion_Directa!$B$2:$B$1000,"&gt;="&amp;DATEVALUE($B255&amp;"-01"),Observacion_Directa!$B$2:$B$1000,"&lt;="&amp;EOMONTH(DATEVALUE($B255&amp;"-01"),0)))-1)/4*100,"")</f>
        <v/>
      </c>
      <c r="Y255" t="e">
        <f t="shared" ca="1" si="7"/>
        <v>#DIV/0!</v>
      </c>
    </row>
    <row r="256" spans="12:25" x14ac:dyDescent="0.2">
      <c r="L256" t="str">
        <f t="shared" si="6"/>
        <v/>
      </c>
      <c r="M256" t="str">
        <f>IFERROR(AVERAGEIFS(Prod_5dias!$H$2:$H$1000,Prod_5dias!$A$2:$A$1000,$A256,Prod_5dias!$B$2:$B$1000,$B256),"")</f>
        <v/>
      </c>
      <c r="N256" t="str">
        <f>IF(M256="","",MIN(100,100*M256/Parametros!$B$7))</f>
        <v/>
      </c>
      <c r="O256" t="str">
        <f>IF(F256="","",IF(F256=0,100,MIN(100,100*Parametros!$B$3/F256)))</f>
        <v/>
      </c>
      <c r="P256" t="str">
        <f ca="1">IFERROR(((AVERAGEIFS(Observacion_Directa!$E$2:$E$1000,Observacion_Directa!$A$2:$A$1000,$A256,Observacion_Directa!$B$2:$B$1000,"&gt;="&amp;DATEVALUE($B256&amp;"-01"),Observacion_Directa!$B$2:$B$1000,"&lt;="&amp;EOMONTH(DATEVALUE($B256&amp;"-01"),0)))-1)/4*100,"")</f>
        <v/>
      </c>
      <c r="Q256" t="str">
        <f>IF(H256="","",MIN(100,100*H256/Parametros!$B$4))</f>
        <v/>
      </c>
      <c r="R256" t="str">
        <f>IF(I256="","",IF(I256=0,100,MIN(100,100*Parametros!$B$5/I256)))</f>
        <v/>
      </c>
      <c r="S256" t="str">
        <f>IF(J256="","",IF(J256=0,100,MIN(100,100*Parametros!$B$6/J256)))</f>
        <v/>
      </c>
      <c r="T256" t="str">
        <f>IF(L256="","",MIN(100,100*L256/Parametros!$B$7))</f>
        <v/>
      </c>
      <c r="U256" t="str">
        <f>IF(K256="","",MIN(100,100*K256/Parametros!$B$8))</f>
        <v/>
      </c>
      <c r="V256" t="str">
        <f ca="1">IFERROR(((AVERAGEIFS(Documentacion!$C$2:$C$1000,Documentacion!$A$2:$A$1000,$A256,Documentacion!$B$2:$B$1000,"&gt;="&amp;DATEVALUE($B256&amp;"-01"),Documentacion!$B$2:$B$1000,"&lt;="&amp;EOMONTH(DATEVALUE($B256&amp;"-01"),0)))-1)/4*100,"")</f>
        <v/>
      </c>
      <c r="W256" t="str">
        <f ca="1">IFERROR(((AVERAGEIFS(Feedback_360!$D$2:$D$1000,Feedback_360!$A$2:$A$1000,$A256,Feedback_360!$B$2:$B$1000,"&gt;="&amp;DATEVALUE($B256&amp;"-01"),Feedback_360!$B$2:$B$1000,"&lt;="&amp;EOMONTH(DATEVALUE($B256&amp;"-01"),0)))-1)/4*100,"")</f>
        <v/>
      </c>
      <c r="X256" t="str">
        <f ca="1">IFERROR(((AVERAGEIFS(Observacion_Directa!$D$2:$D$1000,Observacion_Directa!$A$2:$A$1000,$A256,Observacion_Directa!$B$2:$B$1000,"&gt;="&amp;DATEVALUE($B256&amp;"-01"),Observacion_Directa!$B$2:$B$1000,"&lt;="&amp;EOMONTH(DATEVALUE($B256&amp;"-01"),0)))-1)/4*100,"")</f>
        <v/>
      </c>
      <c r="Y256" t="e">
        <f t="shared" ca="1" si="7"/>
        <v>#DIV/0!</v>
      </c>
    </row>
    <row r="257" spans="12:25" x14ac:dyDescent="0.2">
      <c r="L257" t="str">
        <f t="shared" si="6"/>
        <v/>
      </c>
      <c r="M257" t="str">
        <f>IFERROR(AVERAGEIFS(Prod_5dias!$H$2:$H$1000,Prod_5dias!$A$2:$A$1000,$A257,Prod_5dias!$B$2:$B$1000,$B257),"")</f>
        <v/>
      </c>
      <c r="N257" t="str">
        <f>IF(M257="","",MIN(100,100*M257/Parametros!$B$7))</f>
        <v/>
      </c>
      <c r="O257" t="str">
        <f>IF(F257="","",IF(F257=0,100,MIN(100,100*Parametros!$B$3/F257)))</f>
        <v/>
      </c>
      <c r="P257" t="str">
        <f ca="1">IFERROR(((AVERAGEIFS(Observacion_Directa!$E$2:$E$1000,Observacion_Directa!$A$2:$A$1000,$A257,Observacion_Directa!$B$2:$B$1000,"&gt;="&amp;DATEVALUE($B257&amp;"-01"),Observacion_Directa!$B$2:$B$1000,"&lt;="&amp;EOMONTH(DATEVALUE($B257&amp;"-01"),0)))-1)/4*100,"")</f>
        <v/>
      </c>
      <c r="Q257" t="str">
        <f>IF(H257="","",MIN(100,100*H257/Parametros!$B$4))</f>
        <v/>
      </c>
      <c r="R257" t="str">
        <f>IF(I257="","",IF(I257=0,100,MIN(100,100*Parametros!$B$5/I257)))</f>
        <v/>
      </c>
      <c r="S257" t="str">
        <f>IF(J257="","",IF(J257=0,100,MIN(100,100*Parametros!$B$6/J257)))</f>
        <v/>
      </c>
      <c r="T257" t="str">
        <f>IF(L257="","",MIN(100,100*L257/Parametros!$B$7))</f>
        <v/>
      </c>
      <c r="U257" t="str">
        <f>IF(K257="","",MIN(100,100*K257/Parametros!$B$8))</f>
        <v/>
      </c>
      <c r="V257" t="str">
        <f ca="1">IFERROR(((AVERAGEIFS(Documentacion!$C$2:$C$1000,Documentacion!$A$2:$A$1000,$A257,Documentacion!$B$2:$B$1000,"&gt;="&amp;DATEVALUE($B257&amp;"-01"),Documentacion!$B$2:$B$1000,"&lt;="&amp;EOMONTH(DATEVALUE($B257&amp;"-01"),0)))-1)/4*100,"")</f>
        <v/>
      </c>
      <c r="W257" t="str">
        <f ca="1">IFERROR(((AVERAGEIFS(Feedback_360!$D$2:$D$1000,Feedback_360!$A$2:$A$1000,$A257,Feedback_360!$B$2:$B$1000,"&gt;="&amp;DATEVALUE($B257&amp;"-01"),Feedback_360!$B$2:$B$1000,"&lt;="&amp;EOMONTH(DATEVALUE($B257&amp;"-01"),0)))-1)/4*100,"")</f>
        <v/>
      </c>
      <c r="X257" t="str">
        <f ca="1">IFERROR(((AVERAGEIFS(Observacion_Directa!$D$2:$D$1000,Observacion_Directa!$A$2:$A$1000,$A257,Observacion_Directa!$B$2:$B$1000,"&gt;="&amp;DATEVALUE($B257&amp;"-01"),Observacion_Directa!$B$2:$B$1000,"&lt;="&amp;EOMONTH(DATEVALUE($B257&amp;"-01"),0)))-1)/4*100,"")</f>
        <v/>
      </c>
      <c r="Y257" t="e">
        <f t="shared" ca="1" si="7"/>
        <v>#DIV/0!</v>
      </c>
    </row>
    <row r="258" spans="12:25" x14ac:dyDescent="0.2">
      <c r="L258" t="str">
        <f t="shared" ref="L258:L321" si="8">IF(OR(C258="",D258=""),"",C258/D258)</f>
        <v/>
      </c>
      <c r="M258" t="str">
        <f>IFERROR(AVERAGEIFS(Prod_5dias!$H$2:$H$1000,Prod_5dias!$A$2:$A$1000,$A258,Prod_5dias!$B$2:$B$1000,$B258),"")</f>
        <v/>
      </c>
      <c r="N258" t="str">
        <f>IF(M258="","",MIN(100,100*M258/Parametros!$B$7))</f>
        <v/>
      </c>
      <c r="O258" t="str">
        <f>IF(F258="","",IF(F258=0,100,MIN(100,100*Parametros!$B$3/F258)))</f>
        <v/>
      </c>
      <c r="P258" t="str">
        <f ca="1">IFERROR(((AVERAGEIFS(Observacion_Directa!$E$2:$E$1000,Observacion_Directa!$A$2:$A$1000,$A258,Observacion_Directa!$B$2:$B$1000,"&gt;="&amp;DATEVALUE($B258&amp;"-01"),Observacion_Directa!$B$2:$B$1000,"&lt;="&amp;EOMONTH(DATEVALUE($B258&amp;"-01"),0)))-1)/4*100,"")</f>
        <v/>
      </c>
      <c r="Q258" t="str">
        <f>IF(H258="","",MIN(100,100*H258/Parametros!$B$4))</f>
        <v/>
      </c>
      <c r="R258" t="str">
        <f>IF(I258="","",IF(I258=0,100,MIN(100,100*Parametros!$B$5/I258)))</f>
        <v/>
      </c>
      <c r="S258" t="str">
        <f>IF(J258="","",IF(J258=0,100,MIN(100,100*Parametros!$B$6/J258)))</f>
        <v/>
      </c>
      <c r="T258" t="str">
        <f>IF(L258="","",MIN(100,100*L258/Parametros!$B$7))</f>
        <v/>
      </c>
      <c r="U258" t="str">
        <f>IF(K258="","",MIN(100,100*K258/Parametros!$B$8))</f>
        <v/>
      </c>
      <c r="V258" t="str">
        <f ca="1">IFERROR(((AVERAGEIFS(Documentacion!$C$2:$C$1000,Documentacion!$A$2:$A$1000,$A258,Documentacion!$B$2:$B$1000,"&gt;="&amp;DATEVALUE($B258&amp;"-01"),Documentacion!$B$2:$B$1000,"&lt;="&amp;EOMONTH(DATEVALUE($B258&amp;"-01"),0)))-1)/4*100,"")</f>
        <v/>
      </c>
      <c r="W258" t="str">
        <f ca="1">IFERROR(((AVERAGEIFS(Feedback_360!$D$2:$D$1000,Feedback_360!$A$2:$A$1000,$A258,Feedback_360!$B$2:$B$1000,"&gt;="&amp;DATEVALUE($B258&amp;"-01"),Feedback_360!$B$2:$B$1000,"&lt;="&amp;EOMONTH(DATEVALUE($B258&amp;"-01"),0)))-1)/4*100,"")</f>
        <v/>
      </c>
      <c r="X258" t="str">
        <f ca="1">IFERROR(((AVERAGEIFS(Observacion_Directa!$D$2:$D$1000,Observacion_Directa!$A$2:$A$1000,$A258,Observacion_Directa!$B$2:$B$1000,"&gt;="&amp;DATEVALUE($B258&amp;"-01"),Observacion_Directa!$B$2:$B$1000,"&lt;="&amp;EOMONTH(DATEVALUE($B258&amp;"-01"),0)))-1)/4*100,"")</f>
        <v/>
      </c>
      <c r="Y258" t="e">
        <f t="shared" ref="Y258:Y321" ca="1" si="9">IF(COUNTA(N258:X258)=0,"",AVERAGE(N258:X258))</f>
        <v>#DIV/0!</v>
      </c>
    </row>
    <row r="259" spans="12:25" x14ac:dyDescent="0.2">
      <c r="L259" t="str">
        <f t="shared" si="8"/>
        <v/>
      </c>
      <c r="M259" t="str">
        <f>IFERROR(AVERAGEIFS(Prod_5dias!$H$2:$H$1000,Prod_5dias!$A$2:$A$1000,$A259,Prod_5dias!$B$2:$B$1000,$B259),"")</f>
        <v/>
      </c>
      <c r="N259" t="str">
        <f>IF(M259="","",MIN(100,100*M259/Parametros!$B$7))</f>
        <v/>
      </c>
      <c r="O259" t="str">
        <f>IF(F259="","",IF(F259=0,100,MIN(100,100*Parametros!$B$3/F259)))</f>
        <v/>
      </c>
      <c r="P259" t="str">
        <f ca="1">IFERROR(((AVERAGEIFS(Observacion_Directa!$E$2:$E$1000,Observacion_Directa!$A$2:$A$1000,$A259,Observacion_Directa!$B$2:$B$1000,"&gt;="&amp;DATEVALUE($B259&amp;"-01"),Observacion_Directa!$B$2:$B$1000,"&lt;="&amp;EOMONTH(DATEVALUE($B259&amp;"-01"),0)))-1)/4*100,"")</f>
        <v/>
      </c>
      <c r="Q259" t="str">
        <f>IF(H259="","",MIN(100,100*H259/Parametros!$B$4))</f>
        <v/>
      </c>
      <c r="R259" t="str">
        <f>IF(I259="","",IF(I259=0,100,MIN(100,100*Parametros!$B$5/I259)))</f>
        <v/>
      </c>
      <c r="S259" t="str">
        <f>IF(J259="","",IF(J259=0,100,MIN(100,100*Parametros!$B$6/J259)))</f>
        <v/>
      </c>
      <c r="T259" t="str">
        <f>IF(L259="","",MIN(100,100*L259/Parametros!$B$7))</f>
        <v/>
      </c>
      <c r="U259" t="str">
        <f>IF(K259="","",MIN(100,100*K259/Parametros!$B$8))</f>
        <v/>
      </c>
      <c r="V259" t="str">
        <f ca="1">IFERROR(((AVERAGEIFS(Documentacion!$C$2:$C$1000,Documentacion!$A$2:$A$1000,$A259,Documentacion!$B$2:$B$1000,"&gt;="&amp;DATEVALUE($B259&amp;"-01"),Documentacion!$B$2:$B$1000,"&lt;="&amp;EOMONTH(DATEVALUE($B259&amp;"-01"),0)))-1)/4*100,"")</f>
        <v/>
      </c>
      <c r="W259" t="str">
        <f ca="1">IFERROR(((AVERAGEIFS(Feedback_360!$D$2:$D$1000,Feedback_360!$A$2:$A$1000,$A259,Feedback_360!$B$2:$B$1000,"&gt;="&amp;DATEVALUE($B259&amp;"-01"),Feedback_360!$B$2:$B$1000,"&lt;="&amp;EOMONTH(DATEVALUE($B259&amp;"-01"),0)))-1)/4*100,"")</f>
        <v/>
      </c>
      <c r="X259" t="str">
        <f ca="1">IFERROR(((AVERAGEIFS(Observacion_Directa!$D$2:$D$1000,Observacion_Directa!$A$2:$A$1000,$A259,Observacion_Directa!$B$2:$B$1000,"&gt;="&amp;DATEVALUE($B259&amp;"-01"),Observacion_Directa!$B$2:$B$1000,"&lt;="&amp;EOMONTH(DATEVALUE($B259&amp;"-01"),0)))-1)/4*100,"")</f>
        <v/>
      </c>
      <c r="Y259" t="e">
        <f t="shared" ca="1" si="9"/>
        <v>#DIV/0!</v>
      </c>
    </row>
    <row r="260" spans="12:25" x14ac:dyDescent="0.2">
      <c r="L260" t="str">
        <f t="shared" si="8"/>
        <v/>
      </c>
      <c r="M260" t="str">
        <f>IFERROR(AVERAGEIFS(Prod_5dias!$H$2:$H$1000,Prod_5dias!$A$2:$A$1000,$A260,Prod_5dias!$B$2:$B$1000,$B260),"")</f>
        <v/>
      </c>
      <c r="N260" t="str">
        <f>IF(M260="","",MIN(100,100*M260/Parametros!$B$7))</f>
        <v/>
      </c>
      <c r="O260" t="str">
        <f>IF(F260="","",IF(F260=0,100,MIN(100,100*Parametros!$B$3/F260)))</f>
        <v/>
      </c>
      <c r="P260" t="str">
        <f ca="1">IFERROR(((AVERAGEIFS(Observacion_Directa!$E$2:$E$1000,Observacion_Directa!$A$2:$A$1000,$A260,Observacion_Directa!$B$2:$B$1000,"&gt;="&amp;DATEVALUE($B260&amp;"-01"),Observacion_Directa!$B$2:$B$1000,"&lt;="&amp;EOMONTH(DATEVALUE($B260&amp;"-01"),0)))-1)/4*100,"")</f>
        <v/>
      </c>
      <c r="Q260" t="str">
        <f>IF(H260="","",MIN(100,100*H260/Parametros!$B$4))</f>
        <v/>
      </c>
      <c r="R260" t="str">
        <f>IF(I260="","",IF(I260=0,100,MIN(100,100*Parametros!$B$5/I260)))</f>
        <v/>
      </c>
      <c r="S260" t="str">
        <f>IF(J260="","",IF(J260=0,100,MIN(100,100*Parametros!$B$6/J260)))</f>
        <v/>
      </c>
      <c r="T260" t="str">
        <f>IF(L260="","",MIN(100,100*L260/Parametros!$B$7))</f>
        <v/>
      </c>
      <c r="U260" t="str">
        <f>IF(K260="","",MIN(100,100*K260/Parametros!$B$8))</f>
        <v/>
      </c>
      <c r="V260" t="str">
        <f ca="1">IFERROR(((AVERAGEIFS(Documentacion!$C$2:$C$1000,Documentacion!$A$2:$A$1000,$A260,Documentacion!$B$2:$B$1000,"&gt;="&amp;DATEVALUE($B260&amp;"-01"),Documentacion!$B$2:$B$1000,"&lt;="&amp;EOMONTH(DATEVALUE($B260&amp;"-01"),0)))-1)/4*100,"")</f>
        <v/>
      </c>
      <c r="W260" t="str">
        <f ca="1">IFERROR(((AVERAGEIFS(Feedback_360!$D$2:$D$1000,Feedback_360!$A$2:$A$1000,$A260,Feedback_360!$B$2:$B$1000,"&gt;="&amp;DATEVALUE($B260&amp;"-01"),Feedback_360!$B$2:$B$1000,"&lt;="&amp;EOMONTH(DATEVALUE($B260&amp;"-01"),0)))-1)/4*100,"")</f>
        <v/>
      </c>
      <c r="X260" t="str">
        <f ca="1">IFERROR(((AVERAGEIFS(Observacion_Directa!$D$2:$D$1000,Observacion_Directa!$A$2:$A$1000,$A260,Observacion_Directa!$B$2:$B$1000,"&gt;="&amp;DATEVALUE($B260&amp;"-01"),Observacion_Directa!$B$2:$B$1000,"&lt;="&amp;EOMONTH(DATEVALUE($B260&amp;"-01"),0)))-1)/4*100,"")</f>
        <v/>
      </c>
      <c r="Y260" t="e">
        <f t="shared" ca="1" si="9"/>
        <v>#DIV/0!</v>
      </c>
    </row>
    <row r="261" spans="12:25" x14ac:dyDescent="0.2">
      <c r="L261" t="str">
        <f t="shared" si="8"/>
        <v/>
      </c>
      <c r="M261" t="str">
        <f>IFERROR(AVERAGEIFS(Prod_5dias!$H$2:$H$1000,Prod_5dias!$A$2:$A$1000,$A261,Prod_5dias!$B$2:$B$1000,$B261),"")</f>
        <v/>
      </c>
      <c r="N261" t="str">
        <f>IF(M261="","",MIN(100,100*M261/Parametros!$B$7))</f>
        <v/>
      </c>
      <c r="O261" t="str">
        <f>IF(F261="","",IF(F261=0,100,MIN(100,100*Parametros!$B$3/F261)))</f>
        <v/>
      </c>
      <c r="P261" t="str">
        <f ca="1">IFERROR(((AVERAGEIFS(Observacion_Directa!$E$2:$E$1000,Observacion_Directa!$A$2:$A$1000,$A261,Observacion_Directa!$B$2:$B$1000,"&gt;="&amp;DATEVALUE($B261&amp;"-01"),Observacion_Directa!$B$2:$B$1000,"&lt;="&amp;EOMONTH(DATEVALUE($B261&amp;"-01"),0)))-1)/4*100,"")</f>
        <v/>
      </c>
      <c r="Q261" t="str">
        <f>IF(H261="","",MIN(100,100*H261/Parametros!$B$4))</f>
        <v/>
      </c>
      <c r="R261" t="str">
        <f>IF(I261="","",IF(I261=0,100,MIN(100,100*Parametros!$B$5/I261)))</f>
        <v/>
      </c>
      <c r="S261" t="str">
        <f>IF(J261="","",IF(J261=0,100,MIN(100,100*Parametros!$B$6/J261)))</f>
        <v/>
      </c>
      <c r="T261" t="str">
        <f>IF(L261="","",MIN(100,100*L261/Parametros!$B$7))</f>
        <v/>
      </c>
      <c r="U261" t="str">
        <f>IF(K261="","",MIN(100,100*K261/Parametros!$B$8))</f>
        <v/>
      </c>
      <c r="V261" t="str">
        <f ca="1">IFERROR(((AVERAGEIFS(Documentacion!$C$2:$C$1000,Documentacion!$A$2:$A$1000,$A261,Documentacion!$B$2:$B$1000,"&gt;="&amp;DATEVALUE($B261&amp;"-01"),Documentacion!$B$2:$B$1000,"&lt;="&amp;EOMONTH(DATEVALUE($B261&amp;"-01"),0)))-1)/4*100,"")</f>
        <v/>
      </c>
      <c r="W261" t="str">
        <f ca="1">IFERROR(((AVERAGEIFS(Feedback_360!$D$2:$D$1000,Feedback_360!$A$2:$A$1000,$A261,Feedback_360!$B$2:$B$1000,"&gt;="&amp;DATEVALUE($B261&amp;"-01"),Feedback_360!$B$2:$B$1000,"&lt;="&amp;EOMONTH(DATEVALUE($B261&amp;"-01"),0)))-1)/4*100,"")</f>
        <v/>
      </c>
      <c r="X261" t="str">
        <f ca="1">IFERROR(((AVERAGEIFS(Observacion_Directa!$D$2:$D$1000,Observacion_Directa!$A$2:$A$1000,$A261,Observacion_Directa!$B$2:$B$1000,"&gt;="&amp;DATEVALUE($B261&amp;"-01"),Observacion_Directa!$B$2:$B$1000,"&lt;="&amp;EOMONTH(DATEVALUE($B261&amp;"-01"),0)))-1)/4*100,"")</f>
        <v/>
      </c>
      <c r="Y261" t="e">
        <f t="shared" ca="1" si="9"/>
        <v>#DIV/0!</v>
      </c>
    </row>
    <row r="262" spans="12:25" x14ac:dyDescent="0.2">
      <c r="L262" t="str">
        <f t="shared" si="8"/>
        <v/>
      </c>
      <c r="M262" t="str">
        <f>IFERROR(AVERAGEIFS(Prod_5dias!$H$2:$H$1000,Prod_5dias!$A$2:$A$1000,$A262,Prod_5dias!$B$2:$B$1000,$B262),"")</f>
        <v/>
      </c>
      <c r="N262" t="str">
        <f>IF(M262="","",MIN(100,100*M262/Parametros!$B$7))</f>
        <v/>
      </c>
      <c r="O262" t="str">
        <f>IF(F262="","",IF(F262=0,100,MIN(100,100*Parametros!$B$3/F262)))</f>
        <v/>
      </c>
      <c r="P262" t="str">
        <f ca="1">IFERROR(((AVERAGEIFS(Observacion_Directa!$E$2:$E$1000,Observacion_Directa!$A$2:$A$1000,$A262,Observacion_Directa!$B$2:$B$1000,"&gt;="&amp;DATEVALUE($B262&amp;"-01"),Observacion_Directa!$B$2:$B$1000,"&lt;="&amp;EOMONTH(DATEVALUE($B262&amp;"-01"),0)))-1)/4*100,"")</f>
        <v/>
      </c>
      <c r="Q262" t="str">
        <f>IF(H262="","",MIN(100,100*H262/Parametros!$B$4))</f>
        <v/>
      </c>
      <c r="R262" t="str">
        <f>IF(I262="","",IF(I262=0,100,MIN(100,100*Parametros!$B$5/I262)))</f>
        <v/>
      </c>
      <c r="S262" t="str">
        <f>IF(J262="","",IF(J262=0,100,MIN(100,100*Parametros!$B$6/J262)))</f>
        <v/>
      </c>
      <c r="T262" t="str">
        <f>IF(L262="","",MIN(100,100*L262/Parametros!$B$7))</f>
        <v/>
      </c>
      <c r="U262" t="str">
        <f>IF(K262="","",MIN(100,100*K262/Parametros!$B$8))</f>
        <v/>
      </c>
      <c r="V262" t="str">
        <f ca="1">IFERROR(((AVERAGEIFS(Documentacion!$C$2:$C$1000,Documentacion!$A$2:$A$1000,$A262,Documentacion!$B$2:$B$1000,"&gt;="&amp;DATEVALUE($B262&amp;"-01"),Documentacion!$B$2:$B$1000,"&lt;="&amp;EOMONTH(DATEVALUE($B262&amp;"-01"),0)))-1)/4*100,"")</f>
        <v/>
      </c>
      <c r="W262" t="str">
        <f ca="1">IFERROR(((AVERAGEIFS(Feedback_360!$D$2:$D$1000,Feedback_360!$A$2:$A$1000,$A262,Feedback_360!$B$2:$B$1000,"&gt;="&amp;DATEVALUE($B262&amp;"-01"),Feedback_360!$B$2:$B$1000,"&lt;="&amp;EOMONTH(DATEVALUE($B262&amp;"-01"),0)))-1)/4*100,"")</f>
        <v/>
      </c>
      <c r="X262" t="str">
        <f ca="1">IFERROR(((AVERAGEIFS(Observacion_Directa!$D$2:$D$1000,Observacion_Directa!$A$2:$A$1000,$A262,Observacion_Directa!$B$2:$B$1000,"&gt;="&amp;DATEVALUE($B262&amp;"-01"),Observacion_Directa!$B$2:$B$1000,"&lt;="&amp;EOMONTH(DATEVALUE($B262&amp;"-01"),0)))-1)/4*100,"")</f>
        <v/>
      </c>
      <c r="Y262" t="e">
        <f t="shared" ca="1" si="9"/>
        <v>#DIV/0!</v>
      </c>
    </row>
    <row r="263" spans="12:25" x14ac:dyDescent="0.2">
      <c r="L263" t="str">
        <f t="shared" si="8"/>
        <v/>
      </c>
      <c r="M263" t="str">
        <f>IFERROR(AVERAGEIFS(Prod_5dias!$H$2:$H$1000,Prod_5dias!$A$2:$A$1000,$A263,Prod_5dias!$B$2:$B$1000,$B263),"")</f>
        <v/>
      </c>
      <c r="N263" t="str">
        <f>IF(M263="","",MIN(100,100*M263/Parametros!$B$7))</f>
        <v/>
      </c>
      <c r="O263" t="str">
        <f>IF(F263="","",IF(F263=0,100,MIN(100,100*Parametros!$B$3/F263)))</f>
        <v/>
      </c>
      <c r="P263" t="str">
        <f ca="1">IFERROR(((AVERAGEIFS(Observacion_Directa!$E$2:$E$1000,Observacion_Directa!$A$2:$A$1000,$A263,Observacion_Directa!$B$2:$B$1000,"&gt;="&amp;DATEVALUE($B263&amp;"-01"),Observacion_Directa!$B$2:$B$1000,"&lt;="&amp;EOMONTH(DATEVALUE($B263&amp;"-01"),0)))-1)/4*100,"")</f>
        <v/>
      </c>
      <c r="Q263" t="str">
        <f>IF(H263="","",MIN(100,100*H263/Parametros!$B$4))</f>
        <v/>
      </c>
      <c r="R263" t="str">
        <f>IF(I263="","",IF(I263=0,100,MIN(100,100*Parametros!$B$5/I263)))</f>
        <v/>
      </c>
      <c r="S263" t="str">
        <f>IF(J263="","",IF(J263=0,100,MIN(100,100*Parametros!$B$6/J263)))</f>
        <v/>
      </c>
      <c r="T263" t="str">
        <f>IF(L263="","",MIN(100,100*L263/Parametros!$B$7))</f>
        <v/>
      </c>
      <c r="U263" t="str">
        <f>IF(K263="","",MIN(100,100*K263/Parametros!$B$8))</f>
        <v/>
      </c>
      <c r="V263" t="str">
        <f ca="1">IFERROR(((AVERAGEIFS(Documentacion!$C$2:$C$1000,Documentacion!$A$2:$A$1000,$A263,Documentacion!$B$2:$B$1000,"&gt;="&amp;DATEVALUE($B263&amp;"-01"),Documentacion!$B$2:$B$1000,"&lt;="&amp;EOMONTH(DATEVALUE($B263&amp;"-01"),0)))-1)/4*100,"")</f>
        <v/>
      </c>
      <c r="W263" t="str">
        <f ca="1">IFERROR(((AVERAGEIFS(Feedback_360!$D$2:$D$1000,Feedback_360!$A$2:$A$1000,$A263,Feedback_360!$B$2:$B$1000,"&gt;="&amp;DATEVALUE($B263&amp;"-01"),Feedback_360!$B$2:$B$1000,"&lt;="&amp;EOMONTH(DATEVALUE($B263&amp;"-01"),0)))-1)/4*100,"")</f>
        <v/>
      </c>
      <c r="X263" t="str">
        <f ca="1">IFERROR(((AVERAGEIFS(Observacion_Directa!$D$2:$D$1000,Observacion_Directa!$A$2:$A$1000,$A263,Observacion_Directa!$B$2:$B$1000,"&gt;="&amp;DATEVALUE($B263&amp;"-01"),Observacion_Directa!$B$2:$B$1000,"&lt;="&amp;EOMONTH(DATEVALUE($B263&amp;"-01"),0)))-1)/4*100,"")</f>
        <v/>
      </c>
      <c r="Y263" t="e">
        <f t="shared" ca="1" si="9"/>
        <v>#DIV/0!</v>
      </c>
    </row>
    <row r="264" spans="12:25" x14ac:dyDescent="0.2">
      <c r="L264" t="str">
        <f t="shared" si="8"/>
        <v/>
      </c>
      <c r="M264" t="str">
        <f>IFERROR(AVERAGEIFS(Prod_5dias!$H$2:$H$1000,Prod_5dias!$A$2:$A$1000,$A264,Prod_5dias!$B$2:$B$1000,$B264),"")</f>
        <v/>
      </c>
      <c r="N264" t="str">
        <f>IF(M264="","",MIN(100,100*M264/Parametros!$B$7))</f>
        <v/>
      </c>
      <c r="O264" t="str">
        <f>IF(F264="","",IF(F264=0,100,MIN(100,100*Parametros!$B$3/F264)))</f>
        <v/>
      </c>
      <c r="P264" t="str">
        <f ca="1">IFERROR(((AVERAGEIFS(Observacion_Directa!$E$2:$E$1000,Observacion_Directa!$A$2:$A$1000,$A264,Observacion_Directa!$B$2:$B$1000,"&gt;="&amp;DATEVALUE($B264&amp;"-01"),Observacion_Directa!$B$2:$B$1000,"&lt;="&amp;EOMONTH(DATEVALUE($B264&amp;"-01"),0)))-1)/4*100,"")</f>
        <v/>
      </c>
      <c r="Q264" t="str">
        <f>IF(H264="","",MIN(100,100*H264/Parametros!$B$4))</f>
        <v/>
      </c>
      <c r="R264" t="str">
        <f>IF(I264="","",IF(I264=0,100,MIN(100,100*Parametros!$B$5/I264)))</f>
        <v/>
      </c>
      <c r="S264" t="str">
        <f>IF(J264="","",IF(J264=0,100,MIN(100,100*Parametros!$B$6/J264)))</f>
        <v/>
      </c>
      <c r="T264" t="str">
        <f>IF(L264="","",MIN(100,100*L264/Parametros!$B$7))</f>
        <v/>
      </c>
      <c r="U264" t="str">
        <f>IF(K264="","",MIN(100,100*K264/Parametros!$B$8))</f>
        <v/>
      </c>
      <c r="V264" t="str">
        <f ca="1">IFERROR(((AVERAGEIFS(Documentacion!$C$2:$C$1000,Documentacion!$A$2:$A$1000,$A264,Documentacion!$B$2:$B$1000,"&gt;="&amp;DATEVALUE($B264&amp;"-01"),Documentacion!$B$2:$B$1000,"&lt;="&amp;EOMONTH(DATEVALUE($B264&amp;"-01"),0)))-1)/4*100,"")</f>
        <v/>
      </c>
      <c r="W264" t="str">
        <f ca="1">IFERROR(((AVERAGEIFS(Feedback_360!$D$2:$D$1000,Feedback_360!$A$2:$A$1000,$A264,Feedback_360!$B$2:$B$1000,"&gt;="&amp;DATEVALUE($B264&amp;"-01"),Feedback_360!$B$2:$B$1000,"&lt;="&amp;EOMONTH(DATEVALUE($B264&amp;"-01"),0)))-1)/4*100,"")</f>
        <v/>
      </c>
      <c r="X264" t="str">
        <f ca="1">IFERROR(((AVERAGEIFS(Observacion_Directa!$D$2:$D$1000,Observacion_Directa!$A$2:$A$1000,$A264,Observacion_Directa!$B$2:$B$1000,"&gt;="&amp;DATEVALUE($B264&amp;"-01"),Observacion_Directa!$B$2:$B$1000,"&lt;="&amp;EOMONTH(DATEVALUE($B264&amp;"-01"),0)))-1)/4*100,"")</f>
        <v/>
      </c>
      <c r="Y264" t="e">
        <f t="shared" ca="1" si="9"/>
        <v>#DIV/0!</v>
      </c>
    </row>
    <row r="265" spans="12:25" x14ac:dyDescent="0.2">
      <c r="L265" t="str">
        <f t="shared" si="8"/>
        <v/>
      </c>
      <c r="M265" t="str">
        <f>IFERROR(AVERAGEIFS(Prod_5dias!$H$2:$H$1000,Prod_5dias!$A$2:$A$1000,$A265,Prod_5dias!$B$2:$B$1000,$B265),"")</f>
        <v/>
      </c>
      <c r="N265" t="str">
        <f>IF(M265="","",MIN(100,100*M265/Parametros!$B$7))</f>
        <v/>
      </c>
      <c r="O265" t="str">
        <f>IF(F265="","",IF(F265=0,100,MIN(100,100*Parametros!$B$3/F265)))</f>
        <v/>
      </c>
      <c r="P265" t="str">
        <f ca="1">IFERROR(((AVERAGEIFS(Observacion_Directa!$E$2:$E$1000,Observacion_Directa!$A$2:$A$1000,$A265,Observacion_Directa!$B$2:$B$1000,"&gt;="&amp;DATEVALUE($B265&amp;"-01"),Observacion_Directa!$B$2:$B$1000,"&lt;="&amp;EOMONTH(DATEVALUE($B265&amp;"-01"),0)))-1)/4*100,"")</f>
        <v/>
      </c>
      <c r="Q265" t="str">
        <f>IF(H265="","",MIN(100,100*H265/Parametros!$B$4))</f>
        <v/>
      </c>
      <c r="R265" t="str">
        <f>IF(I265="","",IF(I265=0,100,MIN(100,100*Parametros!$B$5/I265)))</f>
        <v/>
      </c>
      <c r="S265" t="str">
        <f>IF(J265="","",IF(J265=0,100,MIN(100,100*Parametros!$B$6/J265)))</f>
        <v/>
      </c>
      <c r="T265" t="str">
        <f>IF(L265="","",MIN(100,100*L265/Parametros!$B$7))</f>
        <v/>
      </c>
      <c r="U265" t="str">
        <f>IF(K265="","",MIN(100,100*K265/Parametros!$B$8))</f>
        <v/>
      </c>
      <c r="V265" t="str">
        <f ca="1">IFERROR(((AVERAGEIFS(Documentacion!$C$2:$C$1000,Documentacion!$A$2:$A$1000,$A265,Documentacion!$B$2:$B$1000,"&gt;="&amp;DATEVALUE($B265&amp;"-01"),Documentacion!$B$2:$B$1000,"&lt;="&amp;EOMONTH(DATEVALUE($B265&amp;"-01"),0)))-1)/4*100,"")</f>
        <v/>
      </c>
      <c r="W265" t="str">
        <f ca="1">IFERROR(((AVERAGEIFS(Feedback_360!$D$2:$D$1000,Feedback_360!$A$2:$A$1000,$A265,Feedback_360!$B$2:$B$1000,"&gt;="&amp;DATEVALUE($B265&amp;"-01"),Feedback_360!$B$2:$B$1000,"&lt;="&amp;EOMONTH(DATEVALUE($B265&amp;"-01"),0)))-1)/4*100,"")</f>
        <v/>
      </c>
      <c r="X265" t="str">
        <f ca="1">IFERROR(((AVERAGEIFS(Observacion_Directa!$D$2:$D$1000,Observacion_Directa!$A$2:$A$1000,$A265,Observacion_Directa!$B$2:$B$1000,"&gt;="&amp;DATEVALUE($B265&amp;"-01"),Observacion_Directa!$B$2:$B$1000,"&lt;="&amp;EOMONTH(DATEVALUE($B265&amp;"-01"),0)))-1)/4*100,"")</f>
        <v/>
      </c>
      <c r="Y265" t="e">
        <f t="shared" ca="1" si="9"/>
        <v>#DIV/0!</v>
      </c>
    </row>
    <row r="266" spans="12:25" x14ac:dyDescent="0.2">
      <c r="L266" t="str">
        <f t="shared" si="8"/>
        <v/>
      </c>
      <c r="M266" t="str">
        <f>IFERROR(AVERAGEIFS(Prod_5dias!$H$2:$H$1000,Prod_5dias!$A$2:$A$1000,$A266,Prod_5dias!$B$2:$B$1000,$B266),"")</f>
        <v/>
      </c>
      <c r="N266" t="str">
        <f>IF(M266="","",MIN(100,100*M266/Parametros!$B$7))</f>
        <v/>
      </c>
      <c r="O266" t="str">
        <f>IF(F266="","",IF(F266=0,100,MIN(100,100*Parametros!$B$3/F266)))</f>
        <v/>
      </c>
      <c r="P266" t="str">
        <f ca="1">IFERROR(((AVERAGEIFS(Observacion_Directa!$E$2:$E$1000,Observacion_Directa!$A$2:$A$1000,$A266,Observacion_Directa!$B$2:$B$1000,"&gt;="&amp;DATEVALUE($B266&amp;"-01"),Observacion_Directa!$B$2:$B$1000,"&lt;="&amp;EOMONTH(DATEVALUE($B266&amp;"-01"),0)))-1)/4*100,"")</f>
        <v/>
      </c>
      <c r="Q266" t="str">
        <f>IF(H266="","",MIN(100,100*H266/Parametros!$B$4))</f>
        <v/>
      </c>
      <c r="R266" t="str">
        <f>IF(I266="","",IF(I266=0,100,MIN(100,100*Parametros!$B$5/I266)))</f>
        <v/>
      </c>
      <c r="S266" t="str">
        <f>IF(J266="","",IF(J266=0,100,MIN(100,100*Parametros!$B$6/J266)))</f>
        <v/>
      </c>
      <c r="T266" t="str">
        <f>IF(L266="","",MIN(100,100*L266/Parametros!$B$7))</f>
        <v/>
      </c>
      <c r="U266" t="str">
        <f>IF(K266="","",MIN(100,100*K266/Parametros!$B$8))</f>
        <v/>
      </c>
      <c r="V266" t="str">
        <f ca="1">IFERROR(((AVERAGEIFS(Documentacion!$C$2:$C$1000,Documentacion!$A$2:$A$1000,$A266,Documentacion!$B$2:$B$1000,"&gt;="&amp;DATEVALUE($B266&amp;"-01"),Documentacion!$B$2:$B$1000,"&lt;="&amp;EOMONTH(DATEVALUE($B266&amp;"-01"),0)))-1)/4*100,"")</f>
        <v/>
      </c>
      <c r="W266" t="str">
        <f ca="1">IFERROR(((AVERAGEIFS(Feedback_360!$D$2:$D$1000,Feedback_360!$A$2:$A$1000,$A266,Feedback_360!$B$2:$B$1000,"&gt;="&amp;DATEVALUE($B266&amp;"-01"),Feedback_360!$B$2:$B$1000,"&lt;="&amp;EOMONTH(DATEVALUE($B266&amp;"-01"),0)))-1)/4*100,"")</f>
        <v/>
      </c>
      <c r="X266" t="str">
        <f ca="1">IFERROR(((AVERAGEIFS(Observacion_Directa!$D$2:$D$1000,Observacion_Directa!$A$2:$A$1000,$A266,Observacion_Directa!$B$2:$B$1000,"&gt;="&amp;DATEVALUE($B266&amp;"-01"),Observacion_Directa!$B$2:$B$1000,"&lt;="&amp;EOMONTH(DATEVALUE($B266&amp;"-01"),0)))-1)/4*100,"")</f>
        <v/>
      </c>
      <c r="Y266" t="e">
        <f t="shared" ca="1" si="9"/>
        <v>#DIV/0!</v>
      </c>
    </row>
    <row r="267" spans="12:25" x14ac:dyDescent="0.2">
      <c r="L267" t="str">
        <f t="shared" si="8"/>
        <v/>
      </c>
      <c r="M267" t="str">
        <f>IFERROR(AVERAGEIFS(Prod_5dias!$H$2:$H$1000,Prod_5dias!$A$2:$A$1000,$A267,Prod_5dias!$B$2:$B$1000,$B267),"")</f>
        <v/>
      </c>
      <c r="N267" t="str">
        <f>IF(M267="","",MIN(100,100*M267/Parametros!$B$7))</f>
        <v/>
      </c>
      <c r="O267" t="str">
        <f>IF(F267="","",IF(F267=0,100,MIN(100,100*Parametros!$B$3/F267)))</f>
        <v/>
      </c>
      <c r="P267" t="str">
        <f ca="1">IFERROR(((AVERAGEIFS(Observacion_Directa!$E$2:$E$1000,Observacion_Directa!$A$2:$A$1000,$A267,Observacion_Directa!$B$2:$B$1000,"&gt;="&amp;DATEVALUE($B267&amp;"-01"),Observacion_Directa!$B$2:$B$1000,"&lt;="&amp;EOMONTH(DATEVALUE($B267&amp;"-01"),0)))-1)/4*100,"")</f>
        <v/>
      </c>
      <c r="Q267" t="str">
        <f>IF(H267="","",MIN(100,100*H267/Parametros!$B$4))</f>
        <v/>
      </c>
      <c r="R267" t="str">
        <f>IF(I267="","",IF(I267=0,100,MIN(100,100*Parametros!$B$5/I267)))</f>
        <v/>
      </c>
      <c r="S267" t="str">
        <f>IF(J267="","",IF(J267=0,100,MIN(100,100*Parametros!$B$6/J267)))</f>
        <v/>
      </c>
      <c r="T267" t="str">
        <f>IF(L267="","",MIN(100,100*L267/Parametros!$B$7))</f>
        <v/>
      </c>
      <c r="U267" t="str">
        <f>IF(K267="","",MIN(100,100*K267/Parametros!$B$8))</f>
        <v/>
      </c>
      <c r="V267" t="str">
        <f ca="1">IFERROR(((AVERAGEIFS(Documentacion!$C$2:$C$1000,Documentacion!$A$2:$A$1000,$A267,Documentacion!$B$2:$B$1000,"&gt;="&amp;DATEVALUE($B267&amp;"-01"),Documentacion!$B$2:$B$1000,"&lt;="&amp;EOMONTH(DATEVALUE($B267&amp;"-01"),0)))-1)/4*100,"")</f>
        <v/>
      </c>
      <c r="W267" t="str">
        <f ca="1">IFERROR(((AVERAGEIFS(Feedback_360!$D$2:$D$1000,Feedback_360!$A$2:$A$1000,$A267,Feedback_360!$B$2:$B$1000,"&gt;="&amp;DATEVALUE($B267&amp;"-01"),Feedback_360!$B$2:$B$1000,"&lt;="&amp;EOMONTH(DATEVALUE($B267&amp;"-01"),0)))-1)/4*100,"")</f>
        <v/>
      </c>
      <c r="X267" t="str">
        <f ca="1">IFERROR(((AVERAGEIFS(Observacion_Directa!$D$2:$D$1000,Observacion_Directa!$A$2:$A$1000,$A267,Observacion_Directa!$B$2:$B$1000,"&gt;="&amp;DATEVALUE($B267&amp;"-01"),Observacion_Directa!$B$2:$B$1000,"&lt;="&amp;EOMONTH(DATEVALUE($B267&amp;"-01"),0)))-1)/4*100,"")</f>
        <v/>
      </c>
      <c r="Y267" t="e">
        <f t="shared" ca="1" si="9"/>
        <v>#DIV/0!</v>
      </c>
    </row>
    <row r="268" spans="12:25" x14ac:dyDescent="0.2">
      <c r="L268" t="str">
        <f t="shared" si="8"/>
        <v/>
      </c>
      <c r="M268" t="str">
        <f>IFERROR(AVERAGEIFS(Prod_5dias!$H$2:$H$1000,Prod_5dias!$A$2:$A$1000,$A268,Prod_5dias!$B$2:$B$1000,$B268),"")</f>
        <v/>
      </c>
      <c r="N268" t="str">
        <f>IF(M268="","",MIN(100,100*M268/Parametros!$B$7))</f>
        <v/>
      </c>
      <c r="O268" t="str">
        <f>IF(F268="","",IF(F268=0,100,MIN(100,100*Parametros!$B$3/F268)))</f>
        <v/>
      </c>
      <c r="P268" t="str">
        <f ca="1">IFERROR(((AVERAGEIFS(Observacion_Directa!$E$2:$E$1000,Observacion_Directa!$A$2:$A$1000,$A268,Observacion_Directa!$B$2:$B$1000,"&gt;="&amp;DATEVALUE($B268&amp;"-01"),Observacion_Directa!$B$2:$B$1000,"&lt;="&amp;EOMONTH(DATEVALUE($B268&amp;"-01"),0)))-1)/4*100,"")</f>
        <v/>
      </c>
      <c r="Q268" t="str">
        <f>IF(H268="","",MIN(100,100*H268/Parametros!$B$4))</f>
        <v/>
      </c>
      <c r="R268" t="str">
        <f>IF(I268="","",IF(I268=0,100,MIN(100,100*Parametros!$B$5/I268)))</f>
        <v/>
      </c>
      <c r="S268" t="str">
        <f>IF(J268="","",IF(J268=0,100,MIN(100,100*Parametros!$B$6/J268)))</f>
        <v/>
      </c>
      <c r="T268" t="str">
        <f>IF(L268="","",MIN(100,100*L268/Parametros!$B$7))</f>
        <v/>
      </c>
      <c r="U268" t="str">
        <f>IF(K268="","",MIN(100,100*K268/Parametros!$B$8))</f>
        <v/>
      </c>
      <c r="V268" t="str">
        <f ca="1">IFERROR(((AVERAGEIFS(Documentacion!$C$2:$C$1000,Documentacion!$A$2:$A$1000,$A268,Documentacion!$B$2:$B$1000,"&gt;="&amp;DATEVALUE($B268&amp;"-01"),Documentacion!$B$2:$B$1000,"&lt;="&amp;EOMONTH(DATEVALUE($B268&amp;"-01"),0)))-1)/4*100,"")</f>
        <v/>
      </c>
      <c r="W268" t="str">
        <f ca="1">IFERROR(((AVERAGEIFS(Feedback_360!$D$2:$D$1000,Feedback_360!$A$2:$A$1000,$A268,Feedback_360!$B$2:$B$1000,"&gt;="&amp;DATEVALUE($B268&amp;"-01"),Feedback_360!$B$2:$B$1000,"&lt;="&amp;EOMONTH(DATEVALUE($B268&amp;"-01"),0)))-1)/4*100,"")</f>
        <v/>
      </c>
      <c r="X268" t="str">
        <f ca="1">IFERROR(((AVERAGEIFS(Observacion_Directa!$D$2:$D$1000,Observacion_Directa!$A$2:$A$1000,$A268,Observacion_Directa!$B$2:$B$1000,"&gt;="&amp;DATEVALUE($B268&amp;"-01"),Observacion_Directa!$B$2:$B$1000,"&lt;="&amp;EOMONTH(DATEVALUE($B268&amp;"-01"),0)))-1)/4*100,"")</f>
        <v/>
      </c>
      <c r="Y268" t="e">
        <f t="shared" ca="1" si="9"/>
        <v>#DIV/0!</v>
      </c>
    </row>
    <row r="269" spans="12:25" x14ac:dyDescent="0.2">
      <c r="L269" t="str">
        <f t="shared" si="8"/>
        <v/>
      </c>
      <c r="M269" t="str">
        <f>IFERROR(AVERAGEIFS(Prod_5dias!$H$2:$H$1000,Prod_5dias!$A$2:$A$1000,$A269,Prod_5dias!$B$2:$B$1000,$B269),"")</f>
        <v/>
      </c>
      <c r="N269" t="str">
        <f>IF(M269="","",MIN(100,100*M269/Parametros!$B$7))</f>
        <v/>
      </c>
      <c r="O269" t="str">
        <f>IF(F269="","",IF(F269=0,100,MIN(100,100*Parametros!$B$3/F269)))</f>
        <v/>
      </c>
      <c r="P269" t="str">
        <f ca="1">IFERROR(((AVERAGEIFS(Observacion_Directa!$E$2:$E$1000,Observacion_Directa!$A$2:$A$1000,$A269,Observacion_Directa!$B$2:$B$1000,"&gt;="&amp;DATEVALUE($B269&amp;"-01"),Observacion_Directa!$B$2:$B$1000,"&lt;="&amp;EOMONTH(DATEVALUE($B269&amp;"-01"),0)))-1)/4*100,"")</f>
        <v/>
      </c>
      <c r="Q269" t="str">
        <f>IF(H269="","",MIN(100,100*H269/Parametros!$B$4))</f>
        <v/>
      </c>
      <c r="R269" t="str">
        <f>IF(I269="","",IF(I269=0,100,MIN(100,100*Parametros!$B$5/I269)))</f>
        <v/>
      </c>
      <c r="S269" t="str">
        <f>IF(J269="","",IF(J269=0,100,MIN(100,100*Parametros!$B$6/J269)))</f>
        <v/>
      </c>
      <c r="T269" t="str">
        <f>IF(L269="","",MIN(100,100*L269/Parametros!$B$7))</f>
        <v/>
      </c>
      <c r="U269" t="str">
        <f>IF(K269="","",MIN(100,100*K269/Parametros!$B$8))</f>
        <v/>
      </c>
      <c r="V269" t="str">
        <f ca="1">IFERROR(((AVERAGEIFS(Documentacion!$C$2:$C$1000,Documentacion!$A$2:$A$1000,$A269,Documentacion!$B$2:$B$1000,"&gt;="&amp;DATEVALUE($B269&amp;"-01"),Documentacion!$B$2:$B$1000,"&lt;="&amp;EOMONTH(DATEVALUE($B269&amp;"-01"),0)))-1)/4*100,"")</f>
        <v/>
      </c>
      <c r="W269" t="str">
        <f ca="1">IFERROR(((AVERAGEIFS(Feedback_360!$D$2:$D$1000,Feedback_360!$A$2:$A$1000,$A269,Feedback_360!$B$2:$B$1000,"&gt;="&amp;DATEVALUE($B269&amp;"-01"),Feedback_360!$B$2:$B$1000,"&lt;="&amp;EOMONTH(DATEVALUE($B269&amp;"-01"),0)))-1)/4*100,"")</f>
        <v/>
      </c>
      <c r="X269" t="str">
        <f ca="1">IFERROR(((AVERAGEIFS(Observacion_Directa!$D$2:$D$1000,Observacion_Directa!$A$2:$A$1000,$A269,Observacion_Directa!$B$2:$B$1000,"&gt;="&amp;DATEVALUE($B269&amp;"-01"),Observacion_Directa!$B$2:$B$1000,"&lt;="&amp;EOMONTH(DATEVALUE($B269&amp;"-01"),0)))-1)/4*100,"")</f>
        <v/>
      </c>
      <c r="Y269" t="e">
        <f t="shared" ca="1" si="9"/>
        <v>#DIV/0!</v>
      </c>
    </row>
    <row r="270" spans="12:25" x14ac:dyDescent="0.2">
      <c r="L270" t="str">
        <f t="shared" si="8"/>
        <v/>
      </c>
      <c r="M270" t="str">
        <f>IFERROR(AVERAGEIFS(Prod_5dias!$H$2:$H$1000,Prod_5dias!$A$2:$A$1000,$A270,Prod_5dias!$B$2:$B$1000,$B270),"")</f>
        <v/>
      </c>
      <c r="N270" t="str">
        <f>IF(M270="","",MIN(100,100*M270/Parametros!$B$7))</f>
        <v/>
      </c>
      <c r="O270" t="str">
        <f>IF(F270="","",IF(F270=0,100,MIN(100,100*Parametros!$B$3/F270)))</f>
        <v/>
      </c>
      <c r="P270" t="str">
        <f ca="1">IFERROR(((AVERAGEIFS(Observacion_Directa!$E$2:$E$1000,Observacion_Directa!$A$2:$A$1000,$A270,Observacion_Directa!$B$2:$B$1000,"&gt;="&amp;DATEVALUE($B270&amp;"-01"),Observacion_Directa!$B$2:$B$1000,"&lt;="&amp;EOMONTH(DATEVALUE($B270&amp;"-01"),0)))-1)/4*100,"")</f>
        <v/>
      </c>
      <c r="Q270" t="str">
        <f>IF(H270="","",MIN(100,100*H270/Parametros!$B$4))</f>
        <v/>
      </c>
      <c r="R270" t="str">
        <f>IF(I270="","",IF(I270=0,100,MIN(100,100*Parametros!$B$5/I270)))</f>
        <v/>
      </c>
      <c r="S270" t="str">
        <f>IF(J270="","",IF(J270=0,100,MIN(100,100*Parametros!$B$6/J270)))</f>
        <v/>
      </c>
      <c r="T270" t="str">
        <f>IF(L270="","",MIN(100,100*L270/Parametros!$B$7))</f>
        <v/>
      </c>
      <c r="U270" t="str">
        <f>IF(K270="","",MIN(100,100*K270/Parametros!$B$8))</f>
        <v/>
      </c>
      <c r="V270" t="str">
        <f ca="1">IFERROR(((AVERAGEIFS(Documentacion!$C$2:$C$1000,Documentacion!$A$2:$A$1000,$A270,Documentacion!$B$2:$B$1000,"&gt;="&amp;DATEVALUE($B270&amp;"-01"),Documentacion!$B$2:$B$1000,"&lt;="&amp;EOMONTH(DATEVALUE($B270&amp;"-01"),0)))-1)/4*100,"")</f>
        <v/>
      </c>
      <c r="W270" t="str">
        <f ca="1">IFERROR(((AVERAGEIFS(Feedback_360!$D$2:$D$1000,Feedback_360!$A$2:$A$1000,$A270,Feedback_360!$B$2:$B$1000,"&gt;="&amp;DATEVALUE($B270&amp;"-01"),Feedback_360!$B$2:$B$1000,"&lt;="&amp;EOMONTH(DATEVALUE($B270&amp;"-01"),0)))-1)/4*100,"")</f>
        <v/>
      </c>
      <c r="X270" t="str">
        <f ca="1">IFERROR(((AVERAGEIFS(Observacion_Directa!$D$2:$D$1000,Observacion_Directa!$A$2:$A$1000,$A270,Observacion_Directa!$B$2:$B$1000,"&gt;="&amp;DATEVALUE($B270&amp;"-01"),Observacion_Directa!$B$2:$B$1000,"&lt;="&amp;EOMONTH(DATEVALUE($B270&amp;"-01"),0)))-1)/4*100,"")</f>
        <v/>
      </c>
      <c r="Y270" t="e">
        <f t="shared" ca="1" si="9"/>
        <v>#DIV/0!</v>
      </c>
    </row>
    <row r="271" spans="12:25" x14ac:dyDescent="0.2">
      <c r="L271" t="str">
        <f t="shared" si="8"/>
        <v/>
      </c>
      <c r="M271" t="str">
        <f>IFERROR(AVERAGEIFS(Prod_5dias!$H$2:$H$1000,Prod_5dias!$A$2:$A$1000,$A271,Prod_5dias!$B$2:$B$1000,$B271),"")</f>
        <v/>
      </c>
      <c r="N271" t="str">
        <f>IF(M271="","",MIN(100,100*M271/Parametros!$B$7))</f>
        <v/>
      </c>
      <c r="O271" t="str">
        <f>IF(F271="","",IF(F271=0,100,MIN(100,100*Parametros!$B$3/F271)))</f>
        <v/>
      </c>
      <c r="P271" t="str">
        <f ca="1">IFERROR(((AVERAGEIFS(Observacion_Directa!$E$2:$E$1000,Observacion_Directa!$A$2:$A$1000,$A271,Observacion_Directa!$B$2:$B$1000,"&gt;="&amp;DATEVALUE($B271&amp;"-01"),Observacion_Directa!$B$2:$B$1000,"&lt;="&amp;EOMONTH(DATEVALUE($B271&amp;"-01"),0)))-1)/4*100,"")</f>
        <v/>
      </c>
      <c r="Q271" t="str">
        <f>IF(H271="","",MIN(100,100*H271/Parametros!$B$4))</f>
        <v/>
      </c>
      <c r="R271" t="str">
        <f>IF(I271="","",IF(I271=0,100,MIN(100,100*Parametros!$B$5/I271)))</f>
        <v/>
      </c>
      <c r="S271" t="str">
        <f>IF(J271="","",IF(J271=0,100,MIN(100,100*Parametros!$B$6/J271)))</f>
        <v/>
      </c>
      <c r="T271" t="str">
        <f>IF(L271="","",MIN(100,100*L271/Parametros!$B$7))</f>
        <v/>
      </c>
      <c r="U271" t="str">
        <f>IF(K271="","",MIN(100,100*K271/Parametros!$B$8))</f>
        <v/>
      </c>
      <c r="V271" t="str">
        <f ca="1">IFERROR(((AVERAGEIFS(Documentacion!$C$2:$C$1000,Documentacion!$A$2:$A$1000,$A271,Documentacion!$B$2:$B$1000,"&gt;="&amp;DATEVALUE($B271&amp;"-01"),Documentacion!$B$2:$B$1000,"&lt;="&amp;EOMONTH(DATEVALUE($B271&amp;"-01"),0)))-1)/4*100,"")</f>
        <v/>
      </c>
      <c r="W271" t="str">
        <f ca="1">IFERROR(((AVERAGEIFS(Feedback_360!$D$2:$D$1000,Feedback_360!$A$2:$A$1000,$A271,Feedback_360!$B$2:$B$1000,"&gt;="&amp;DATEVALUE($B271&amp;"-01"),Feedback_360!$B$2:$B$1000,"&lt;="&amp;EOMONTH(DATEVALUE($B271&amp;"-01"),0)))-1)/4*100,"")</f>
        <v/>
      </c>
      <c r="X271" t="str">
        <f ca="1">IFERROR(((AVERAGEIFS(Observacion_Directa!$D$2:$D$1000,Observacion_Directa!$A$2:$A$1000,$A271,Observacion_Directa!$B$2:$B$1000,"&gt;="&amp;DATEVALUE($B271&amp;"-01"),Observacion_Directa!$B$2:$B$1000,"&lt;="&amp;EOMONTH(DATEVALUE($B271&amp;"-01"),0)))-1)/4*100,"")</f>
        <v/>
      </c>
      <c r="Y271" t="e">
        <f t="shared" ca="1" si="9"/>
        <v>#DIV/0!</v>
      </c>
    </row>
    <row r="272" spans="12:25" x14ac:dyDescent="0.2">
      <c r="L272" t="str">
        <f t="shared" si="8"/>
        <v/>
      </c>
      <c r="M272" t="str">
        <f>IFERROR(AVERAGEIFS(Prod_5dias!$H$2:$H$1000,Prod_5dias!$A$2:$A$1000,$A272,Prod_5dias!$B$2:$B$1000,$B272),"")</f>
        <v/>
      </c>
      <c r="N272" t="str">
        <f>IF(M272="","",MIN(100,100*M272/Parametros!$B$7))</f>
        <v/>
      </c>
      <c r="O272" t="str">
        <f>IF(F272="","",IF(F272=0,100,MIN(100,100*Parametros!$B$3/F272)))</f>
        <v/>
      </c>
      <c r="P272" t="str">
        <f ca="1">IFERROR(((AVERAGEIFS(Observacion_Directa!$E$2:$E$1000,Observacion_Directa!$A$2:$A$1000,$A272,Observacion_Directa!$B$2:$B$1000,"&gt;="&amp;DATEVALUE($B272&amp;"-01"),Observacion_Directa!$B$2:$B$1000,"&lt;="&amp;EOMONTH(DATEVALUE($B272&amp;"-01"),0)))-1)/4*100,"")</f>
        <v/>
      </c>
      <c r="Q272" t="str">
        <f>IF(H272="","",MIN(100,100*H272/Parametros!$B$4))</f>
        <v/>
      </c>
      <c r="R272" t="str">
        <f>IF(I272="","",IF(I272=0,100,MIN(100,100*Parametros!$B$5/I272)))</f>
        <v/>
      </c>
      <c r="S272" t="str">
        <f>IF(J272="","",IF(J272=0,100,MIN(100,100*Parametros!$B$6/J272)))</f>
        <v/>
      </c>
      <c r="T272" t="str">
        <f>IF(L272="","",MIN(100,100*L272/Parametros!$B$7))</f>
        <v/>
      </c>
      <c r="U272" t="str">
        <f>IF(K272="","",MIN(100,100*K272/Parametros!$B$8))</f>
        <v/>
      </c>
      <c r="V272" t="str">
        <f ca="1">IFERROR(((AVERAGEIFS(Documentacion!$C$2:$C$1000,Documentacion!$A$2:$A$1000,$A272,Documentacion!$B$2:$B$1000,"&gt;="&amp;DATEVALUE($B272&amp;"-01"),Documentacion!$B$2:$B$1000,"&lt;="&amp;EOMONTH(DATEVALUE($B272&amp;"-01"),0)))-1)/4*100,"")</f>
        <v/>
      </c>
      <c r="W272" t="str">
        <f ca="1">IFERROR(((AVERAGEIFS(Feedback_360!$D$2:$D$1000,Feedback_360!$A$2:$A$1000,$A272,Feedback_360!$B$2:$B$1000,"&gt;="&amp;DATEVALUE($B272&amp;"-01"),Feedback_360!$B$2:$B$1000,"&lt;="&amp;EOMONTH(DATEVALUE($B272&amp;"-01"),0)))-1)/4*100,"")</f>
        <v/>
      </c>
      <c r="X272" t="str">
        <f ca="1">IFERROR(((AVERAGEIFS(Observacion_Directa!$D$2:$D$1000,Observacion_Directa!$A$2:$A$1000,$A272,Observacion_Directa!$B$2:$B$1000,"&gt;="&amp;DATEVALUE($B272&amp;"-01"),Observacion_Directa!$B$2:$B$1000,"&lt;="&amp;EOMONTH(DATEVALUE($B272&amp;"-01"),0)))-1)/4*100,"")</f>
        <v/>
      </c>
      <c r="Y272" t="e">
        <f t="shared" ca="1" si="9"/>
        <v>#DIV/0!</v>
      </c>
    </row>
    <row r="273" spans="12:25" x14ac:dyDescent="0.2">
      <c r="L273" t="str">
        <f t="shared" si="8"/>
        <v/>
      </c>
      <c r="M273" t="str">
        <f>IFERROR(AVERAGEIFS(Prod_5dias!$H$2:$H$1000,Prod_5dias!$A$2:$A$1000,$A273,Prod_5dias!$B$2:$B$1000,$B273),"")</f>
        <v/>
      </c>
      <c r="N273" t="str">
        <f>IF(M273="","",MIN(100,100*M273/Parametros!$B$7))</f>
        <v/>
      </c>
      <c r="O273" t="str">
        <f>IF(F273="","",IF(F273=0,100,MIN(100,100*Parametros!$B$3/F273)))</f>
        <v/>
      </c>
      <c r="P273" t="str">
        <f ca="1">IFERROR(((AVERAGEIFS(Observacion_Directa!$E$2:$E$1000,Observacion_Directa!$A$2:$A$1000,$A273,Observacion_Directa!$B$2:$B$1000,"&gt;="&amp;DATEVALUE($B273&amp;"-01"),Observacion_Directa!$B$2:$B$1000,"&lt;="&amp;EOMONTH(DATEVALUE($B273&amp;"-01"),0)))-1)/4*100,"")</f>
        <v/>
      </c>
      <c r="Q273" t="str">
        <f>IF(H273="","",MIN(100,100*H273/Parametros!$B$4))</f>
        <v/>
      </c>
      <c r="R273" t="str">
        <f>IF(I273="","",IF(I273=0,100,MIN(100,100*Parametros!$B$5/I273)))</f>
        <v/>
      </c>
      <c r="S273" t="str">
        <f>IF(J273="","",IF(J273=0,100,MIN(100,100*Parametros!$B$6/J273)))</f>
        <v/>
      </c>
      <c r="T273" t="str">
        <f>IF(L273="","",MIN(100,100*L273/Parametros!$B$7))</f>
        <v/>
      </c>
      <c r="U273" t="str">
        <f>IF(K273="","",MIN(100,100*K273/Parametros!$B$8))</f>
        <v/>
      </c>
      <c r="V273" t="str">
        <f ca="1">IFERROR(((AVERAGEIFS(Documentacion!$C$2:$C$1000,Documentacion!$A$2:$A$1000,$A273,Documentacion!$B$2:$B$1000,"&gt;="&amp;DATEVALUE($B273&amp;"-01"),Documentacion!$B$2:$B$1000,"&lt;="&amp;EOMONTH(DATEVALUE($B273&amp;"-01"),0)))-1)/4*100,"")</f>
        <v/>
      </c>
      <c r="W273" t="str">
        <f ca="1">IFERROR(((AVERAGEIFS(Feedback_360!$D$2:$D$1000,Feedback_360!$A$2:$A$1000,$A273,Feedback_360!$B$2:$B$1000,"&gt;="&amp;DATEVALUE($B273&amp;"-01"),Feedback_360!$B$2:$B$1000,"&lt;="&amp;EOMONTH(DATEVALUE($B273&amp;"-01"),0)))-1)/4*100,"")</f>
        <v/>
      </c>
      <c r="X273" t="str">
        <f ca="1">IFERROR(((AVERAGEIFS(Observacion_Directa!$D$2:$D$1000,Observacion_Directa!$A$2:$A$1000,$A273,Observacion_Directa!$B$2:$B$1000,"&gt;="&amp;DATEVALUE($B273&amp;"-01"),Observacion_Directa!$B$2:$B$1000,"&lt;="&amp;EOMONTH(DATEVALUE($B273&amp;"-01"),0)))-1)/4*100,"")</f>
        <v/>
      </c>
      <c r="Y273" t="e">
        <f t="shared" ca="1" si="9"/>
        <v>#DIV/0!</v>
      </c>
    </row>
    <row r="274" spans="12:25" x14ac:dyDescent="0.2">
      <c r="L274" t="str">
        <f t="shared" si="8"/>
        <v/>
      </c>
      <c r="M274" t="str">
        <f>IFERROR(AVERAGEIFS(Prod_5dias!$H$2:$H$1000,Prod_5dias!$A$2:$A$1000,$A274,Prod_5dias!$B$2:$B$1000,$B274),"")</f>
        <v/>
      </c>
      <c r="N274" t="str">
        <f>IF(M274="","",MIN(100,100*M274/Parametros!$B$7))</f>
        <v/>
      </c>
      <c r="O274" t="str">
        <f>IF(F274="","",IF(F274=0,100,MIN(100,100*Parametros!$B$3/F274)))</f>
        <v/>
      </c>
      <c r="P274" t="str">
        <f ca="1">IFERROR(((AVERAGEIFS(Observacion_Directa!$E$2:$E$1000,Observacion_Directa!$A$2:$A$1000,$A274,Observacion_Directa!$B$2:$B$1000,"&gt;="&amp;DATEVALUE($B274&amp;"-01"),Observacion_Directa!$B$2:$B$1000,"&lt;="&amp;EOMONTH(DATEVALUE($B274&amp;"-01"),0)))-1)/4*100,"")</f>
        <v/>
      </c>
      <c r="Q274" t="str">
        <f>IF(H274="","",MIN(100,100*H274/Parametros!$B$4))</f>
        <v/>
      </c>
      <c r="R274" t="str">
        <f>IF(I274="","",IF(I274=0,100,MIN(100,100*Parametros!$B$5/I274)))</f>
        <v/>
      </c>
      <c r="S274" t="str">
        <f>IF(J274="","",IF(J274=0,100,MIN(100,100*Parametros!$B$6/J274)))</f>
        <v/>
      </c>
      <c r="T274" t="str">
        <f>IF(L274="","",MIN(100,100*L274/Parametros!$B$7))</f>
        <v/>
      </c>
      <c r="U274" t="str">
        <f>IF(K274="","",MIN(100,100*K274/Parametros!$B$8))</f>
        <v/>
      </c>
      <c r="V274" t="str">
        <f ca="1">IFERROR(((AVERAGEIFS(Documentacion!$C$2:$C$1000,Documentacion!$A$2:$A$1000,$A274,Documentacion!$B$2:$B$1000,"&gt;="&amp;DATEVALUE($B274&amp;"-01"),Documentacion!$B$2:$B$1000,"&lt;="&amp;EOMONTH(DATEVALUE($B274&amp;"-01"),0)))-1)/4*100,"")</f>
        <v/>
      </c>
      <c r="W274" t="str">
        <f ca="1">IFERROR(((AVERAGEIFS(Feedback_360!$D$2:$D$1000,Feedback_360!$A$2:$A$1000,$A274,Feedback_360!$B$2:$B$1000,"&gt;="&amp;DATEVALUE($B274&amp;"-01"),Feedback_360!$B$2:$B$1000,"&lt;="&amp;EOMONTH(DATEVALUE($B274&amp;"-01"),0)))-1)/4*100,"")</f>
        <v/>
      </c>
      <c r="X274" t="str">
        <f ca="1">IFERROR(((AVERAGEIFS(Observacion_Directa!$D$2:$D$1000,Observacion_Directa!$A$2:$A$1000,$A274,Observacion_Directa!$B$2:$B$1000,"&gt;="&amp;DATEVALUE($B274&amp;"-01"),Observacion_Directa!$B$2:$B$1000,"&lt;="&amp;EOMONTH(DATEVALUE($B274&amp;"-01"),0)))-1)/4*100,"")</f>
        <v/>
      </c>
      <c r="Y274" t="e">
        <f t="shared" ca="1" si="9"/>
        <v>#DIV/0!</v>
      </c>
    </row>
    <row r="275" spans="12:25" x14ac:dyDescent="0.2">
      <c r="L275" t="str">
        <f t="shared" si="8"/>
        <v/>
      </c>
      <c r="M275" t="str">
        <f>IFERROR(AVERAGEIFS(Prod_5dias!$H$2:$H$1000,Prod_5dias!$A$2:$A$1000,$A275,Prod_5dias!$B$2:$B$1000,$B275),"")</f>
        <v/>
      </c>
      <c r="N275" t="str">
        <f>IF(M275="","",MIN(100,100*M275/Parametros!$B$7))</f>
        <v/>
      </c>
      <c r="O275" t="str">
        <f>IF(F275="","",IF(F275=0,100,MIN(100,100*Parametros!$B$3/F275)))</f>
        <v/>
      </c>
      <c r="P275" t="str">
        <f ca="1">IFERROR(((AVERAGEIFS(Observacion_Directa!$E$2:$E$1000,Observacion_Directa!$A$2:$A$1000,$A275,Observacion_Directa!$B$2:$B$1000,"&gt;="&amp;DATEVALUE($B275&amp;"-01"),Observacion_Directa!$B$2:$B$1000,"&lt;="&amp;EOMONTH(DATEVALUE($B275&amp;"-01"),0)))-1)/4*100,"")</f>
        <v/>
      </c>
      <c r="Q275" t="str">
        <f>IF(H275="","",MIN(100,100*H275/Parametros!$B$4))</f>
        <v/>
      </c>
      <c r="R275" t="str">
        <f>IF(I275="","",IF(I275=0,100,MIN(100,100*Parametros!$B$5/I275)))</f>
        <v/>
      </c>
      <c r="S275" t="str">
        <f>IF(J275="","",IF(J275=0,100,MIN(100,100*Parametros!$B$6/J275)))</f>
        <v/>
      </c>
      <c r="T275" t="str">
        <f>IF(L275="","",MIN(100,100*L275/Parametros!$B$7))</f>
        <v/>
      </c>
      <c r="U275" t="str">
        <f>IF(K275="","",MIN(100,100*K275/Parametros!$B$8))</f>
        <v/>
      </c>
      <c r="V275" t="str">
        <f ca="1">IFERROR(((AVERAGEIFS(Documentacion!$C$2:$C$1000,Documentacion!$A$2:$A$1000,$A275,Documentacion!$B$2:$B$1000,"&gt;="&amp;DATEVALUE($B275&amp;"-01"),Documentacion!$B$2:$B$1000,"&lt;="&amp;EOMONTH(DATEVALUE($B275&amp;"-01"),0)))-1)/4*100,"")</f>
        <v/>
      </c>
      <c r="W275" t="str">
        <f ca="1">IFERROR(((AVERAGEIFS(Feedback_360!$D$2:$D$1000,Feedback_360!$A$2:$A$1000,$A275,Feedback_360!$B$2:$B$1000,"&gt;="&amp;DATEVALUE($B275&amp;"-01"),Feedback_360!$B$2:$B$1000,"&lt;="&amp;EOMONTH(DATEVALUE($B275&amp;"-01"),0)))-1)/4*100,"")</f>
        <v/>
      </c>
      <c r="X275" t="str">
        <f ca="1">IFERROR(((AVERAGEIFS(Observacion_Directa!$D$2:$D$1000,Observacion_Directa!$A$2:$A$1000,$A275,Observacion_Directa!$B$2:$B$1000,"&gt;="&amp;DATEVALUE($B275&amp;"-01"),Observacion_Directa!$B$2:$B$1000,"&lt;="&amp;EOMONTH(DATEVALUE($B275&amp;"-01"),0)))-1)/4*100,"")</f>
        <v/>
      </c>
      <c r="Y275" t="e">
        <f t="shared" ca="1" si="9"/>
        <v>#DIV/0!</v>
      </c>
    </row>
    <row r="276" spans="12:25" x14ac:dyDescent="0.2">
      <c r="L276" t="str">
        <f t="shared" si="8"/>
        <v/>
      </c>
      <c r="M276" t="str">
        <f>IFERROR(AVERAGEIFS(Prod_5dias!$H$2:$H$1000,Prod_5dias!$A$2:$A$1000,$A276,Prod_5dias!$B$2:$B$1000,$B276),"")</f>
        <v/>
      </c>
      <c r="N276" t="str">
        <f>IF(M276="","",MIN(100,100*M276/Parametros!$B$7))</f>
        <v/>
      </c>
      <c r="O276" t="str">
        <f>IF(F276="","",IF(F276=0,100,MIN(100,100*Parametros!$B$3/F276)))</f>
        <v/>
      </c>
      <c r="P276" t="str">
        <f ca="1">IFERROR(((AVERAGEIFS(Observacion_Directa!$E$2:$E$1000,Observacion_Directa!$A$2:$A$1000,$A276,Observacion_Directa!$B$2:$B$1000,"&gt;="&amp;DATEVALUE($B276&amp;"-01"),Observacion_Directa!$B$2:$B$1000,"&lt;="&amp;EOMONTH(DATEVALUE($B276&amp;"-01"),0)))-1)/4*100,"")</f>
        <v/>
      </c>
      <c r="Q276" t="str">
        <f>IF(H276="","",MIN(100,100*H276/Parametros!$B$4))</f>
        <v/>
      </c>
      <c r="R276" t="str">
        <f>IF(I276="","",IF(I276=0,100,MIN(100,100*Parametros!$B$5/I276)))</f>
        <v/>
      </c>
      <c r="S276" t="str">
        <f>IF(J276="","",IF(J276=0,100,MIN(100,100*Parametros!$B$6/J276)))</f>
        <v/>
      </c>
      <c r="T276" t="str">
        <f>IF(L276="","",MIN(100,100*L276/Parametros!$B$7))</f>
        <v/>
      </c>
      <c r="U276" t="str">
        <f>IF(K276="","",MIN(100,100*K276/Parametros!$B$8))</f>
        <v/>
      </c>
      <c r="V276" t="str">
        <f ca="1">IFERROR(((AVERAGEIFS(Documentacion!$C$2:$C$1000,Documentacion!$A$2:$A$1000,$A276,Documentacion!$B$2:$B$1000,"&gt;="&amp;DATEVALUE($B276&amp;"-01"),Documentacion!$B$2:$B$1000,"&lt;="&amp;EOMONTH(DATEVALUE($B276&amp;"-01"),0)))-1)/4*100,"")</f>
        <v/>
      </c>
      <c r="W276" t="str">
        <f ca="1">IFERROR(((AVERAGEIFS(Feedback_360!$D$2:$D$1000,Feedback_360!$A$2:$A$1000,$A276,Feedback_360!$B$2:$B$1000,"&gt;="&amp;DATEVALUE($B276&amp;"-01"),Feedback_360!$B$2:$B$1000,"&lt;="&amp;EOMONTH(DATEVALUE($B276&amp;"-01"),0)))-1)/4*100,"")</f>
        <v/>
      </c>
      <c r="X276" t="str">
        <f ca="1">IFERROR(((AVERAGEIFS(Observacion_Directa!$D$2:$D$1000,Observacion_Directa!$A$2:$A$1000,$A276,Observacion_Directa!$B$2:$B$1000,"&gt;="&amp;DATEVALUE($B276&amp;"-01"),Observacion_Directa!$B$2:$B$1000,"&lt;="&amp;EOMONTH(DATEVALUE($B276&amp;"-01"),0)))-1)/4*100,"")</f>
        <v/>
      </c>
      <c r="Y276" t="e">
        <f t="shared" ca="1" si="9"/>
        <v>#DIV/0!</v>
      </c>
    </row>
    <row r="277" spans="12:25" x14ac:dyDescent="0.2">
      <c r="L277" t="str">
        <f t="shared" si="8"/>
        <v/>
      </c>
      <c r="M277" t="str">
        <f>IFERROR(AVERAGEIFS(Prod_5dias!$H$2:$H$1000,Prod_5dias!$A$2:$A$1000,$A277,Prod_5dias!$B$2:$B$1000,$B277),"")</f>
        <v/>
      </c>
      <c r="N277" t="str">
        <f>IF(M277="","",MIN(100,100*M277/Parametros!$B$7))</f>
        <v/>
      </c>
      <c r="O277" t="str">
        <f>IF(F277="","",IF(F277=0,100,MIN(100,100*Parametros!$B$3/F277)))</f>
        <v/>
      </c>
      <c r="P277" t="str">
        <f ca="1">IFERROR(((AVERAGEIFS(Observacion_Directa!$E$2:$E$1000,Observacion_Directa!$A$2:$A$1000,$A277,Observacion_Directa!$B$2:$B$1000,"&gt;="&amp;DATEVALUE($B277&amp;"-01"),Observacion_Directa!$B$2:$B$1000,"&lt;="&amp;EOMONTH(DATEVALUE($B277&amp;"-01"),0)))-1)/4*100,"")</f>
        <v/>
      </c>
      <c r="Q277" t="str">
        <f>IF(H277="","",MIN(100,100*H277/Parametros!$B$4))</f>
        <v/>
      </c>
      <c r="R277" t="str">
        <f>IF(I277="","",IF(I277=0,100,MIN(100,100*Parametros!$B$5/I277)))</f>
        <v/>
      </c>
      <c r="S277" t="str">
        <f>IF(J277="","",IF(J277=0,100,MIN(100,100*Parametros!$B$6/J277)))</f>
        <v/>
      </c>
      <c r="T277" t="str">
        <f>IF(L277="","",MIN(100,100*L277/Parametros!$B$7))</f>
        <v/>
      </c>
      <c r="U277" t="str">
        <f>IF(K277="","",MIN(100,100*K277/Parametros!$B$8))</f>
        <v/>
      </c>
      <c r="V277" t="str">
        <f ca="1">IFERROR(((AVERAGEIFS(Documentacion!$C$2:$C$1000,Documentacion!$A$2:$A$1000,$A277,Documentacion!$B$2:$B$1000,"&gt;="&amp;DATEVALUE($B277&amp;"-01"),Documentacion!$B$2:$B$1000,"&lt;="&amp;EOMONTH(DATEVALUE($B277&amp;"-01"),0)))-1)/4*100,"")</f>
        <v/>
      </c>
      <c r="W277" t="str">
        <f ca="1">IFERROR(((AVERAGEIFS(Feedback_360!$D$2:$D$1000,Feedback_360!$A$2:$A$1000,$A277,Feedback_360!$B$2:$B$1000,"&gt;="&amp;DATEVALUE($B277&amp;"-01"),Feedback_360!$B$2:$B$1000,"&lt;="&amp;EOMONTH(DATEVALUE($B277&amp;"-01"),0)))-1)/4*100,"")</f>
        <v/>
      </c>
      <c r="X277" t="str">
        <f ca="1">IFERROR(((AVERAGEIFS(Observacion_Directa!$D$2:$D$1000,Observacion_Directa!$A$2:$A$1000,$A277,Observacion_Directa!$B$2:$B$1000,"&gt;="&amp;DATEVALUE($B277&amp;"-01"),Observacion_Directa!$B$2:$B$1000,"&lt;="&amp;EOMONTH(DATEVALUE($B277&amp;"-01"),0)))-1)/4*100,"")</f>
        <v/>
      </c>
      <c r="Y277" t="e">
        <f t="shared" ca="1" si="9"/>
        <v>#DIV/0!</v>
      </c>
    </row>
    <row r="278" spans="12:25" x14ac:dyDescent="0.2">
      <c r="L278" t="str">
        <f t="shared" si="8"/>
        <v/>
      </c>
      <c r="M278" t="str">
        <f>IFERROR(AVERAGEIFS(Prod_5dias!$H$2:$H$1000,Prod_5dias!$A$2:$A$1000,$A278,Prod_5dias!$B$2:$B$1000,$B278),"")</f>
        <v/>
      </c>
      <c r="N278" t="str">
        <f>IF(M278="","",MIN(100,100*M278/Parametros!$B$7))</f>
        <v/>
      </c>
      <c r="O278" t="str">
        <f>IF(F278="","",IF(F278=0,100,MIN(100,100*Parametros!$B$3/F278)))</f>
        <v/>
      </c>
      <c r="P278" t="str">
        <f ca="1">IFERROR(((AVERAGEIFS(Observacion_Directa!$E$2:$E$1000,Observacion_Directa!$A$2:$A$1000,$A278,Observacion_Directa!$B$2:$B$1000,"&gt;="&amp;DATEVALUE($B278&amp;"-01"),Observacion_Directa!$B$2:$B$1000,"&lt;="&amp;EOMONTH(DATEVALUE($B278&amp;"-01"),0)))-1)/4*100,"")</f>
        <v/>
      </c>
      <c r="Q278" t="str">
        <f>IF(H278="","",MIN(100,100*H278/Parametros!$B$4))</f>
        <v/>
      </c>
      <c r="R278" t="str">
        <f>IF(I278="","",IF(I278=0,100,MIN(100,100*Parametros!$B$5/I278)))</f>
        <v/>
      </c>
      <c r="S278" t="str">
        <f>IF(J278="","",IF(J278=0,100,MIN(100,100*Parametros!$B$6/J278)))</f>
        <v/>
      </c>
      <c r="T278" t="str">
        <f>IF(L278="","",MIN(100,100*L278/Parametros!$B$7))</f>
        <v/>
      </c>
      <c r="U278" t="str">
        <f>IF(K278="","",MIN(100,100*K278/Parametros!$B$8))</f>
        <v/>
      </c>
      <c r="V278" t="str">
        <f ca="1">IFERROR(((AVERAGEIFS(Documentacion!$C$2:$C$1000,Documentacion!$A$2:$A$1000,$A278,Documentacion!$B$2:$B$1000,"&gt;="&amp;DATEVALUE($B278&amp;"-01"),Documentacion!$B$2:$B$1000,"&lt;="&amp;EOMONTH(DATEVALUE($B278&amp;"-01"),0)))-1)/4*100,"")</f>
        <v/>
      </c>
      <c r="W278" t="str">
        <f ca="1">IFERROR(((AVERAGEIFS(Feedback_360!$D$2:$D$1000,Feedback_360!$A$2:$A$1000,$A278,Feedback_360!$B$2:$B$1000,"&gt;="&amp;DATEVALUE($B278&amp;"-01"),Feedback_360!$B$2:$B$1000,"&lt;="&amp;EOMONTH(DATEVALUE($B278&amp;"-01"),0)))-1)/4*100,"")</f>
        <v/>
      </c>
      <c r="X278" t="str">
        <f ca="1">IFERROR(((AVERAGEIFS(Observacion_Directa!$D$2:$D$1000,Observacion_Directa!$A$2:$A$1000,$A278,Observacion_Directa!$B$2:$B$1000,"&gt;="&amp;DATEVALUE($B278&amp;"-01"),Observacion_Directa!$B$2:$B$1000,"&lt;="&amp;EOMONTH(DATEVALUE($B278&amp;"-01"),0)))-1)/4*100,"")</f>
        <v/>
      </c>
      <c r="Y278" t="e">
        <f t="shared" ca="1" si="9"/>
        <v>#DIV/0!</v>
      </c>
    </row>
    <row r="279" spans="12:25" x14ac:dyDescent="0.2">
      <c r="L279" t="str">
        <f t="shared" si="8"/>
        <v/>
      </c>
      <c r="M279" t="str">
        <f>IFERROR(AVERAGEIFS(Prod_5dias!$H$2:$H$1000,Prod_5dias!$A$2:$A$1000,$A279,Prod_5dias!$B$2:$B$1000,$B279),"")</f>
        <v/>
      </c>
      <c r="N279" t="str">
        <f>IF(M279="","",MIN(100,100*M279/Parametros!$B$7))</f>
        <v/>
      </c>
      <c r="O279" t="str">
        <f>IF(F279="","",IF(F279=0,100,MIN(100,100*Parametros!$B$3/F279)))</f>
        <v/>
      </c>
      <c r="P279" t="str">
        <f ca="1">IFERROR(((AVERAGEIFS(Observacion_Directa!$E$2:$E$1000,Observacion_Directa!$A$2:$A$1000,$A279,Observacion_Directa!$B$2:$B$1000,"&gt;="&amp;DATEVALUE($B279&amp;"-01"),Observacion_Directa!$B$2:$B$1000,"&lt;="&amp;EOMONTH(DATEVALUE($B279&amp;"-01"),0)))-1)/4*100,"")</f>
        <v/>
      </c>
      <c r="Q279" t="str">
        <f>IF(H279="","",MIN(100,100*H279/Parametros!$B$4))</f>
        <v/>
      </c>
      <c r="R279" t="str">
        <f>IF(I279="","",IF(I279=0,100,MIN(100,100*Parametros!$B$5/I279)))</f>
        <v/>
      </c>
      <c r="S279" t="str">
        <f>IF(J279="","",IF(J279=0,100,MIN(100,100*Parametros!$B$6/J279)))</f>
        <v/>
      </c>
      <c r="T279" t="str">
        <f>IF(L279="","",MIN(100,100*L279/Parametros!$B$7))</f>
        <v/>
      </c>
      <c r="U279" t="str">
        <f>IF(K279="","",MIN(100,100*K279/Parametros!$B$8))</f>
        <v/>
      </c>
      <c r="V279" t="str">
        <f ca="1">IFERROR(((AVERAGEIFS(Documentacion!$C$2:$C$1000,Documentacion!$A$2:$A$1000,$A279,Documentacion!$B$2:$B$1000,"&gt;="&amp;DATEVALUE($B279&amp;"-01"),Documentacion!$B$2:$B$1000,"&lt;="&amp;EOMONTH(DATEVALUE($B279&amp;"-01"),0)))-1)/4*100,"")</f>
        <v/>
      </c>
      <c r="W279" t="str">
        <f ca="1">IFERROR(((AVERAGEIFS(Feedback_360!$D$2:$D$1000,Feedback_360!$A$2:$A$1000,$A279,Feedback_360!$B$2:$B$1000,"&gt;="&amp;DATEVALUE($B279&amp;"-01"),Feedback_360!$B$2:$B$1000,"&lt;="&amp;EOMONTH(DATEVALUE($B279&amp;"-01"),0)))-1)/4*100,"")</f>
        <v/>
      </c>
      <c r="X279" t="str">
        <f ca="1">IFERROR(((AVERAGEIFS(Observacion_Directa!$D$2:$D$1000,Observacion_Directa!$A$2:$A$1000,$A279,Observacion_Directa!$B$2:$B$1000,"&gt;="&amp;DATEVALUE($B279&amp;"-01"),Observacion_Directa!$B$2:$B$1000,"&lt;="&amp;EOMONTH(DATEVALUE($B279&amp;"-01"),0)))-1)/4*100,"")</f>
        <v/>
      </c>
      <c r="Y279" t="e">
        <f t="shared" ca="1" si="9"/>
        <v>#DIV/0!</v>
      </c>
    </row>
    <row r="280" spans="12:25" x14ac:dyDescent="0.2">
      <c r="L280" t="str">
        <f t="shared" si="8"/>
        <v/>
      </c>
      <c r="M280" t="str">
        <f>IFERROR(AVERAGEIFS(Prod_5dias!$H$2:$H$1000,Prod_5dias!$A$2:$A$1000,$A280,Prod_5dias!$B$2:$B$1000,$B280),"")</f>
        <v/>
      </c>
      <c r="N280" t="str">
        <f>IF(M280="","",MIN(100,100*M280/Parametros!$B$7))</f>
        <v/>
      </c>
      <c r="O280" t="str">
        <f>IF(F280="","",IF(F280=0,100,MIN(100,100*Parametros!$B$3/F280)))</f>
        <v/>
      </c>
      <c r="P280" t="str">
        <f ca="1">IFERROR(((AVERAGEIFS(Observacion_Directa!$E$2:$E$1000,Observacion_Directa!$A$2:$A$1000,$A280,Observacion_Directa!$B$2:$B$1000,"&gt;="&amp;DATEVALUE($B280&amp;"-01"),Observacion_Directa!$B$2:$B$1000,"&lt;="&amp;EOMONTH(DATEVALUE($B280&amp;"-01"),0)))-1)/4*100,"")</f>
        <v/>
      </c>
      <c r="Q280" t="str">
        <f>IF(H280="","",MIN(100,100*H280/Parametros!$B$4))</f>
        <v/>
      </c>
      <c r="R280" t="str">
        <f>IF(I280="","",IF(I280=0,100,MIN(100,100*Parametros!$B$5/I280)))</f>
        <v/>
      </c>
      <c r="S280" t="str">
        <f>IF(J280="","",IF(J280=0,100,MIN(100,100*Parametros!$B$6/J280)))</f>
        <v/>
      </c>
      <c r="T280" t="str">
        <f>IF(L280="","",MIN(100,100*L280/Parametros!$B$7))</f>
        <v/>
      </c>
      <c r="U280" t="str">
        <f>IF(K280="","",MIN(100,100*K280/Parametros!$B$8))</f>
        <v/>
      </c>
      <c r="V280" t="str">
        <f ca="1">IFERROR(((AVERAGEIFS(Documentacion!$C$2:$C$1000,Documentacion!$A$2:$A$1000,$A280,Documentacion!$B$2:$B$1000,"&gt;="&amp;DATEVALUE($B280&amp;"-01"),Documentacion!$B$2:$B$1000,"&lt;="&amp;EOMONTH(DATEVALUE($B280&amp;"-01"),0)))-1)/4*100,"")</f>
        <v/>
      </c>
      <c r="W280" t="str">
        <f ca="1">IFERROR(((AVERAGEIFS(Feedback_360!$D$2:$D$1000,Feedback_360!$A$2:$A$1000,$A280,Feedback_360!$B$2:$B$1000,"&gt;="&amp;DATEVALUE($B280&amp;"-01"),Feedback_360!$B$2:$B$1000,"&lt;="&amp;EOMONTH(DATEVALUE($B280&amp;"-01"),0)))-1)/4*100,"")</f>
        <v/>
      </c>
      <c r="X280" t="str">
        <f ca="1">IFERROR(((AVERAGEIFS(Observacion_Directa!$D$2:$D$1000,Observacion_Directa!$A$2:$A$1000,$A280,Observacion_Directa!$B$2:$B$1000,"&gt;="&amp;DATEVALUE($B280&amp;"-01"),Observacion_Directa!$B$2:$B$1000,"&lt;="&amp;EOMONTH(DATEVALUE($B280&amp;"-01"),0)))-1)/4*100,"")</f>
        <v/>
      </c>
      <c r="Y280" t="e">
        <f t="shared" ca="1" si="9"/>
        <v>#DIV/0!</v>
      </c>
    </row>
    <row r="281" spans="12:25" x14ac:dyDescent="0.2">
      <c r="L281" t="str">
        <f t="shared" si="8"/>
        <v/>
      </c>
      <c r="M281" t="str">
        <f>IFERROR(AVERAGEIFS(Prod_5dias!$H$2:$H$1000,Prod_5dias!$A$2:$A$1000,$A281,Prod_5dias!$B$2:$B$1000,$B281),"")</f>
        <v/>
      </c>
      <c r="N281" t="str">
        <f>IF(M281="","",MIN(100,100*M281/Parametros!$B$7))</f>
        <v/>
      </c>
      <c r="O281" t="str">
        <f>IF(F281="","",IF(F281=0,100,MIN(100,100*Parametros!$B$3/F281)))</f>
        <v/>
      </c>
      <c r="P281" t="str">
        <f ca="1">IFERROR(((AVERAGEIFS(Observacion_Directa!$E$2:$E$1000,Observacion_Directa!$A$2:$A$1000,$A281,Observacion_Directa!$B$2:$B$1000,"&gt;="&amp;DATEVALUE($B281&amp;"-01"),Observacion_Directa!$B$2:$B$1000,"&lt;="&amp;EOMONTH(DATEVALUE($B281&amp;"-01"),0)))-1)/4*100,"")</f>
        <v/>
      </c>
      <c r="Q281" t="str">
        <f>IF(H281="","",MIN(100,100*H281/Parametros!$B$4))</f>
        <v/>
      </c>
      <c r="R281" t="str">
        <f>IF(I281="","",IF(I281=0,100,MIN(100,100*Parametros!$B$5/I281)))</f>
        <v/>
      </c>
      <c r="S281" t="str">
        <f>IF(J281="","",IF(J281=0,100,MIN(100,100*Parametros!$B$6/J281)))</f>
        <v/>
      </c>
      <c r="T281" t="str">
        <f>IF(L281="","",MIN(100,100*L281/Parametros!$B$7))</f>
        <v/>
      </c>
      <c r="U281" t="str">
        <f>IF(K281="","",MIN(100,100*K281/Parametros!$B$8))</f>
        <v/>
      </c>
      <c r="V281" t="str">
        <f ca="1">IFERROR(((AVERAGEIFS(Documentacion!$C$2:$C$1000,Documentacion!$A$2:$A$1000,$A281,Documentacion!$B$2:$B$1000,"&gt;="&amp;DATEVALUE($B281&amp;"-01"),Documentacion!$B$2:$B$1000,"&lt;="&amp;EOMONTH(DATEVALUE($B281&amp;"-01"),0)))-1)/4*100,"")</f>
        <v/>
      </c>
      <c r="W281" t="str">
        <f ca="1">IFERROR(((AVERAGEIFS(Feedback_360!$D$2:$D$1000,Feedback_360!$A$2:$A$1000,$A281,Feedback_360!$B$2:$B$1000,"&gt;="&amp;DATEVALUE($B281&amp;"-01"),Feedback_360!$B$2:$B$1000,"&lt;="&amp;EOMONTH(DATEVALUE($B281&amp;"-01"),0)))-1)/4*100,"")</f>
        <v/>
      </c>
      <c r="X281" t="str">
        <f ca="1">IFERROR(((AVERAGEIFS(Observacion_Directa!$D$2:$D$1000,Observacion_Directa!$A$2:$A$1000,$A281,Observacion_Directa!$B$2:$B$1000,"&gt;="&amp;DATEVALUE($B281&amp;"-01"),Observacion_Directa!$B$2:$B$1000,"&lt;="&amp;EOMONTH(DATEVALUE($B281&amp;"-01"),0)))-1)/4*100,"")</f>
        <v/>
      </c>
      <c r="Y281" t="e">
        <f t="shared" ca="1" si="9"/>
        <v>#DIV/0!</v>
      </c>
    </row>
    <row r="282" spans="12:25" x14ac:dyDescent="0.2">
      <c r="L282" t="str">
        <f t="shared" si="8"/>
        <v/>
      </c>
      <c r="M282" t="str">
        <f>IFERROR(AVERAGEIFS(Prod_5dias!$H$2:$H$1000,Prod_5dias!$A$2:$A$1000,$A282,Prod_5dias!$B$2:$B$1000,$B282),"")</f>
        <v/>
      </c>
      <c r="N282" t="str">
        <f>IF(M282="","",MIN(100,100*M282/Parametros!$B$7))</f>
        <v/>
      </c>
      <c r="O282" t="str">
        <f>IF(F282="","",IF(F282=0,100,MIN(100,100*Parametros!$B$3/F282)))</f>
        <v/>
      </c>
      <c r="P282" t="str">
        <f ca="1">IFERROR(((AVERAGEIFS(Observacion_Directa!$E$2:$E$1000,Observacion_Directa!$A$2:$A$1000,$A282,Observacion_Directa!$B$2:$B$1000,"&gt;="&amp;DATEVALUE($B282&amp;"-01"),Observacion_Directa!$B$2:$B$1000,"&lt;="&amp;EOMONTH(DATEVALUE($B282&amp;"-01"),0)))-1)/4*100,"")</f>
        <v/>
      </c>
      <c r="Q282" t="str">
        <f>IF(H282="","",MIN(100,100*H282/Parametros!$B$4))</f>
        <v/>
      </c>
      <c r="R282" t="str">
        <f>IF(I282="","",IF(I282=0,100,MIN(100,100*Parametros!$B$5/I282)))</f>
        <v/>
      </c>
      <c r="S282" t="str">
        <f>IF(J282="","",IF(J282=0,100,MIN(100,100*Parametros!$B$6/J282)))</f>
        <v/>
      </c>
      <c r="T282" t="str">
        <f>IF(L282="","",MIN(100,100*L282/Parametros!$B$7))</f>
        <v/>
      </c>
      <c r="U282" t="str">
        <f>IF(K282="","",MIN(100,100*K282/Parametros!$B$8))</f>
        <v/>
      </c>
      <c r="V282" t="str">
        <f ca="1">IFERROR(((AVERAGEIFS(Documentacion!$C$2:$C$1000,Documentacion!$A$2:$A$1000,$A282,Documentacion!$B$2:$B$1000,"&gt;="&amp;DATEVALUE($B282&amp;"-01"),Documentacion!$B$2:$B$1000,"&lt;="&amp;EOMONTH(DATEVALUE($B282&amp;"-01"),0)))-1)/4*100,"")</f>
        <v/>
      </c>
      <c r="W282" t="str">
        <f ca="1">IFERROR(((AVERAGEIFS(Feedback_360!$D$2:$D$1000,Feedback_360!$A$2:$A$1000,$A282,Feedback_360!$B$2:$B$1000,"&gt;="&amp;DATEVALUE($B282&amp;"-01"),Feedback_360!$B$2:$B$1000,"&lt;="&amp;EOMONTH(DATEVALUE($B282&amp;"-01"),0)))-1)/4*100,"")</f>
        <v/>
      </c>
      <c r="X282" t="str">
        <f ca="1">IFERROR(((AVERAGEIFS(Observacion_Directa!$D$2:$D$1000,Observacion_Directa!$A$2:$A$1000,$A282,Observacion_Directa!$B$2:$B$1000,"&gt;="&amp;DATEVALUE($B282&amp;"-01"),Observacion_Directa!$B$2:$B$1000,"&lt;="&amp;EOMONTH(DATEVALUE($B282&amp;"-01"),0)))-1)/4*100,"")</f>
        <v/>
      </c>
      <c r="Y282" t="e">
        <f t="shared" ca="1" si="9"/>
        <v>#DIV/0!</v>
      </c>
    </row>
    <row r="283" spans="12:25" x14ac:dyDescent="0.2">
      <c r="L283" t="str">
        <f t="shared" si="8"/>
        <v/>
      </c>
      <c r="M283" t="str">
        <f>IFERROR(AVERAGEIFS(Prod_5dias!$H$2:$H$1000,Prod_5dias!$A$2:$A$1000,$A283,Prod_5dias!$B$2:$B$1000,$B283),"")</f>
        <v/>
      </c>
      <c r="N283" t="str">
        <f>IF(M283="","",MIN(100,100*M283/Parametros!$B$7))</f>
        <v/>
      </c>
      <c r="O283" t="str">
        <f>IF(F283="","",IF(F283=0,100,MIN(100,100*Parametros!$B$3/F283)))</f>
        <v/>
      </c>
      <c r="P283" t="str">
        <f ca="1">IFERROR(((AVERAGEIFS(Observacion_Directa!$E$2:$E$1000,Observacion_Directa!$A$2:$A$1000,$A283,Observacion_Directa!$B$2:$B$1000,"&gt;="&amp;DATEVALUE($B283&amp;"-01"),Observacion_Directa!$B$2:$B$1000,"&lt;="&amp;EOMONTH(DATEVALUE($B283&amp;"-01"),0)))-1)/4*100,"")</f>
        <v/>
      </c>
      <c r="Q283" t="str">
        <f>IF(H283="","",MIN(100,100*H283/Parametros!$B$4))</f>
        <v/>
      </c>
      <c r="R283" t="str">
        <f>IF(I283="","",IF(I283=0,100,MIN(100,100*Parametros!$B$5/I283)))</f>
        <v/>
      </c>
      <c r="S283" t="str">
        <f>IF(J283="","",IF(J283=0,100,MIN(100,100*Parametros!$B$6/J283)))</f>
        <v/>
      </c>
      <c r="T283" t="str">
        <f>IF(L283="","",MIN(100,100*L283/Parametros!$B$7))</f>
        <v/>
      </c>
      <c r="U283" t="str">
        <f>IF(K283="","",MIN(100,100*K283/Parametros!$B$8))</f>
        <v/>
      </c>
      <c r="V283" t="str">
        <f ca="1">IFERROR(((AVERAGEIFS(Documentacion!$C$2:$C$1000,Documentacion!$A$2:$A$1000,$A283,Documentacion!$B$2:$B$1000,"&gt;="&amp;DATEVALUE($B283&amp;"-01"),Documentacion!$B$2:$B$1000,"&lt;="&amp;EOMONTH(DATEVALUE($B283&amp;"-01"),0)))-1)/4*100,"")</f>
        <v/>
      </c>
      <c r="W283" t="str">
        <f ca="1">IFERROR(((AVERAGEIFS(Feedback_360!$D$2:$D$1000,Feedback_360!$A$2:$A$1000,$A283,Feedback_360!$B$2:$B$1000,"&gt;="&amp;DATEVALUE($B283&amp;"-01"),Feedback_360!$B$2:$B$1000,"&lt;="&amp;EOMONTH(DATEVALUE($B283&amp;"-01"),0)))-1)/4*100,"")</f>
        <v/>
      </c>
      <c r="X283" t="str">
        <f ca="1">IFERROR(((AVERAGEIFS(Observacion_Directa!$D$2:$D$1000,Observacion_Directa!$A$2:$A$1000,$A283,Observacion_Directa!$B$2:$B$1000,"&gt;="&amp;DATEVALUE($B283&amp;"-01"),Observacion_Directa!$B$2:$B$1000,"&lt;="&amp;EOMONTH(DATEVALUE($B283&amp;"-01"),0)))-1)/4*100,"")</f>
        <v/>
      </c>
      <c r="Y283" t="e">
        <f t="shared" ca="1" si="9"/>
        <v>#DIV/0!</v>
      </c>
    </row>
    <row r="284" spans="12:25" x14ac:dyDescent="0.2">
      <c r="L284" t="str">
        <f t="shared" si="8"/>
        <v/>
      </c>
      <c r="M284" t="str">
        <f>IFERROR(AVERAGEIFS(Prod_5dias!$H$2:$H$1000,Prod_5dias!$A$2:$A$1000,$A284,Prod_5dias!$B$2:$B$1000,$B284),"")</f>
        <v/>
      </c>
      <c r="N284" t="str">
        <f>IF(M284="","",MIN(100,100*M284/Parametros!$B$7))</f>
        <v/>
      </c>
      <c r="O284" t="str">
        <f>IF(F284="","",IF(F284=0,100,MIN(100,100*Parametros!$B$3/F284)))</f>
        <v/>
      </c>
      <c r="P284" t="str">
        <f ca="1">IFERROR(((AVERAGEIFS(Observacion_Directa!$E$2:$E$1000,Observacion_Directa!$A$2:$A$1000,$A284,Observacion_Directa!$B$2:$B$1000,"&gt;="&amp;DATEVALUE($B284&amp;"-01"),Observacion_Directa!$B$2:$B$1000,"&lt;="&amp;EOMONTH(DATEVALUE($B284&amp;"-01"),0)))-1)/4*100,"")</f>
        <v/>
      </c>
      <c r="Q284" t="str">
        <f>IF(H284="","",MIN(100,100*H284/Parametros!$B$4))</f>
        <v/>
      </c>
      <c r="R284" t="str">
        <f>IF(I284="","",IF(I284=0,100,MIN(100,100*Parametros!$B$5/I284)))</f>
        <v/>
      </c>
      <c r="S284" t="str">
        <f>IF(J284="","",IF(J284=0,100,MIN(100,100*Parametros!$B$6/J284)))</f>
        <v/>
      </c>
      <c r="T284" t="str">
        <f>IF(L284="","",MIN(100,100*L284/Parametros!$B$7))</f>
        <v/>
      </c>
      <c r="U284" t="str">
        <f>IF(K284="","",MIN(100,100*K284/Parametros!$B$8))</f>
        <v/>
      </c>
      <c r="V284" t="str">
        <f ca="1">IFERROR(((AVERAGEIFS(Documentacion!$C$2:$C$1000,Documentacion!$A$2:$A$1000,$A284,Documentacion!$B$2:$B$1000,"&gt;="&amp;DATEVALUE($B284&amp;"-01"),Documentacion!$B$2:$B$1000,"&lt;="&amp;EOMONTH(DATEVALUE($B284&amp;"-01"),0)))-1)/4*100,"")</f>
        <v/>
      </c>
      <c r="W284" t="str">
        <f ca="1">IFERROR(((AVERAGEIFS(Feedback_360!$D$2:$D$1000,Feedback_360!$A$2:$A$1000,$A284,Feedback_360!$B$2:$B$1000,"&gt;="&amp;DATEVALUE($B284&amp;"-01"),Feedback_360!$B$2:$B$1000,"&lt;="&amp;EOMONTH(DATEVALUE($B284&amp;"-01"),0)))-1)/4*100,"")</f>
        <v/>
      </c>
      <c r="X284" t="str">
        <f ca="1">IFERROR(((AVERAGEIFS(Observacion_Directa!$D$2:$D$1000,Observacion_Directa!$A$2:$A$1000,$A284,Observacion_Directa!$B$2:$B$1000,"&gt;="&amp;DATEVALUE($B284&amp;"-01"),Observacion_Directa!$B$2:$B$1000,"&lt;="&amp;EOMONTH(DATEVALUE($B284&amp;"-01"),0)))-1)/4*100,"")</f>
        <v/>
      </c>
      <c r="Y284" t="e">
        <f t="shared" ca="1" si="9"/>
        <v>#DIV/0!</v>
      </c>
    </row>
    <row r="285" spans="12:25" x14ac:dyDescent="0.2">
      <c r="L285" t="str">
        <f t="shared" si="8"/>
        <v/>
      </c>
      <c r="M285" t="str">
        <f>IFERROR(AVERAGEIFS(Prod_5dias!$H$2:$H$1000,Prod_5dias!$A$2:$A$1000,$A285,Prod_5dias!$B$2:$B$1000,$B285),"")</f>
        <v/>
      </c>
      <c r="N285" t="str">
        <f>IF(M285="","",MIN(100,100*M285/Parametros!$B$7))</f>
        <v/>
      </c>
      <c r="O285" t="str">
        <f>IF(F285="","",IF(F285=0,100,MIN(100,100*Parametros!$B$3/F285)))</f>
        <v/>
      </c>
      <c r="P285" t="str">
        <f ca="1">IFERROR(((AVERAGEIFS(Observacion_Directa!$E$2:$E$1000,Observacion_Directa!$A$2:$A$1000,$A285,Observacion_Directa!$B$2:$B$1000,"&gt;="&amp;DATEVALUE($B285&amp;"-01"),Observacion_Directa!$B$2:$B$1000,"&lt;="&amp;EOMONTH(DATEVALUE($B285&amp;"-01"),0)))-1)/4*100,"")</f>
        <v/>
      </c>
      <c r="Q285" t="str">
        <f>IF(H285="","",MIN(100,100*H285/Parametros!$B$4))</f>
        <v/>
      </c>
      <c r="R285" t="str">
        <f>IF(I285="","",IF(I285=0,100,MIN(100,100*Parametros!$B$5/I285)))</f>
        <v/>
      </c>
      <c r="S285" t="str">
        <f>IF(J285="","",IF(J285=0,100,MIN(100,100*Parametros!$B$6/J285)))</f>
        <v/>
      </c>
      <c r="T285" t="str">
        <f>IF(L285="","",MIN(100,100*L285/Parametros!$B$7))</f>
        <v/>
      </c>
      <c r="U285" t="str">
        <f>IF(K285="","",MIN(100,100*K285/Parametros!$B$8))</f>
        <v/>
      </c>
      <c r="V285" t="str">
        <f ca="1">IFERROR(((AVERAGEIFS(Documentacion!$C$2:$C$1000,Documentacion!$A$2:$A$1000,$A285,Documentacion!$B$2:$B$1000,"&gt;="&amp;DATEVALUE($B285&amp;"-01"),Documentacion!$B$2:$B$1000,"&lt;="&amp;EOMONTH(DATEVALUE($B285&amp;"-01"),0)))-1)/4*100,"")</f>
        <v/>
      </c>
      <c r="W285" t="str">
        <f ca="1">IFERROR(((AVERAGEIFS(Feedback_360!$D$2:$D$1000,Feedback_360!$A$2:$A$1000,$A285,Feedback_360!$B$2:$B$1000,"&gt;="&amp;DATEVALUE($B285&amp;"-01"),Feedback_360!$B$2:$B$1000,"&lt;="&amp;EOMONTH(DATEVALUE($B285&amp;"-01"),0)))-1)/4*100,"")</f>
        <v/>
      </c>
      <c r="X285" t="str">
        <f ca="1">IFERROR(((AVERAGEIFS(Observacion_Directa!$D$2:$D$1000,Observacion_Directa!$A$2:$A$1000,$A285,Observacion_Directa!$B$2:$B$1000,"&gt;="&amp;DATEVALUE($B285&amp;"-01"),Observacion_Directa!$B$2:$B$1000,"&lt;="&amp;EOMONTH(DATEVALUE($B285&amp;"-01"),0)))-1)/4*100,"")</f>
        <v/>
      </c>
      <c r="Y285" t="e">
        <f t="shared" ca="1" si="9"/>
        <v>#DIV/0!</v>
      </c>
    </row>
    <row r="286" spans="12:25" x14ac:dyDescent="0.2">
      <c r="L286" t="str">
        <f t="shared" si="8"/>
        <v/>
      </c>
      <c r="M286" t="str">
        <f>IFERROR(AVERAGEIFS(Prod_5dias!$H$2:$H$1000,Prod_5dias!$A$2:$A$1000,$A286,Prod_5dias!$B$2:$B$1000,$B286),"")</f>
        <v/>
      </c>
      <c r="N286" t="str">
        <f>IF(M286="","",MIN(100,100*M286/Parametros!$B$7))</f>
        <v/>
      </c>
      <c r="O286" t="str">
        <f>IF(F286="","",IF(F286=0,100,MIN(100,100*Parametros!$B$3/F286)))</f>
        <v/>
      </c>
      <c r="P286" t="str">
        <f ca="1">IFERROR(((AVERAGEIFS(Observacion_Directa!$E$2:$E$1000,Observacion_Directa!$A$2:$A$1000,$A286,Observacion_Directa!$B$2:$B$1000,"&gt;="&amp;DATEVALUE($B286&amp;"-01"),Observacion_Directa!$B$2:$B$1000,"&lt;="&amp;EOMONTH(DATEVALUE($B286&amp;"-01"),0)))-1)/4*100,"")</f>
        <v/>
      </c>
      <c r="Q286" t="str">
        <f>IF(H286="","",MIN(100,100*H286/Parametros!$B$4))</f>
        <v/>
      </c>
      <c r="R286" t="str">
        <f>IF(I286="","",IF(I286=0,100,MIN(100,100*Parametros!$B$5/I286)))</f>
        <v/>
      </c>
      <c r="S286" t="str">
        <f>IF(J286="","",IF(J286=0,100,MIN(100,100*Parametros!$B$6/J286)))</f>
        <v/>
      </c>
      <c r="T286" t="str">
        <f>IF(L286="","",MIN(100,100*L286/Parametros!$B$7))</f>
        <v/>
      </c>
      <c r="U286" t="str">
        <f>IF(K286="","",MIN(100,100*K286/Parametros!$B$8))</f>
        <v/>
      </c>
      <c r="V286" t="str">
        <f ca="1">IFERROR(((AVERAGEIFS(Documentacion!$C$2:$C$1000,Documentacion!$A$2:$A$1000,$A286,Documentacion!$B$2:$B$1000,"&gt;="&amp;DATEVALUE($B286&amp;"-01"),Documentacion!$B$2:$B$1000,"&lt;="&amp;EOMONTH(DATEVALUE($B286&amp;"-01"),0)))-1)/4*100,"")</f>
        <v/>
      </c>
      <c r="W286" t="str">
        <f ca="1">IFERROR(((AVERAGEIFS(Feedback_360!$D$2:$D$1000,Feedback_360!$A$2:$A$1000,$A286,Feedback_360!$B$2:$B$1000,"&gt;="&amp;DATEVALUE($B286&amp;"-01"),Feedback_360!$B$2:$B$1000,"&lt;="&amp;EOMONTH(DATEVALUE($B286&amp;"-01"),0)))-1)/4*100,"")</f>
        <v/>
      </c>
      <c r="X286" t="str">
        <f ca="1">IFERROR(((AVERAGEIFS(Observacion_Directa!$D$2:$D$1000,Observacion_Directa!$A$2:$A$1000,$A286,Observacion_Directa!$B$2:$B$1000,"&gt;="&amp;DATEVALUE($B286&amp;"-01"),Observacion_Directa!$B$2:$B$1000,"&lt;="&amp;EOMONTH(DATEVALUE($B286&amp;"-01"),0)))-1)/4*100,"")</f>
        <v/>
      </c>
      <c r="Y286" t="e">
        <f t="shared" ca="1" si="9"/>
        <v>#DIV/0!</v>
      </c>
    </row>
    <row r="287" spans="12:25" x14ac:dyDescent="0.2">
      <c r="L287" t="str">
        <f t="shared" si="8"/>
        <v/>
      </c>
      <c r="M287" t="str">
        <f>IFERROR(AVERAGEIFS(Prod_5dias!$H$2:$H$1000,Prod_5dias!$A$2:$A$1000,$A287,Prod_5dias!$B$2:$B$1000,$B287),"")</f>
        <v/>
      </c>
      <c r="N287" t="str">
        <f>IF(M287="","",MIN(100,100*M287/Parametros!$B$7))</f>
        <v/>
      </c>
      <c r="O287" t="str">
        <f>IF(F287="","",IF(F287=0,100,MIN(100,100*Parametros!$B$3/F287)))</f>
        <v/>
      </c>
      <c r="P287" t="str">
        <f ca="1">IFERROR(((AVERAGEIFS(Observacion_Directa!$E$2:$E$1000,Observacion_Directa!$A$2:$A$1000,$A287,Observacion_Directa!$B$2:$B$1000,"&gt;="&amp;DATEVALUE($B287&amp;"-01"),Observacion_Directa!$B$2:$B$1000,"&lt;="&amp;EOMONTH(DATEVALUE($B287&amp;"-01"),0)))-1)/4*100,"")</f>
        <v/>
      </c>
      <c r="Q287" t="str">
        <f>IF(H287="","",MIN(100,100*H287/Parametros!$B$4))</f>
        <v/>
      </c>
      <c r="R287" t="str">
        <f>IF(I287="","",IF(I287=0,100,MIN(100,100*Parametros!$B$5/I287)))</f>
        <v/>
      </c>
      <c r="S287" t="str">
        <f>IF(J287="","",IF(J287=0,100,MIN(100,100*Parametros!$B$6/J287)))</f>
        <v/>
      </c>
      <c r="T287" t="str">
        <f>IF(L287="","",MIN(100,100*L287/Parametros!$B$7))</f>
        <v/>
      </c>
      <c r="U287" t="str">
        <f>IF(K287="","",MIN(100,100*K287/Parametros!$B$8))</f>
        <v/>
      </c>
      <c r="V287" t="str">
        <f ca="1">IFERROR(((AVERAGEIFS(Documentacion!$C$2:$C$1000,Documentacion!$A$2:$A$1000,$A287,Documentacion!$B$2:$B$1000,"&gt;="&amp;DATEVALUE($B287&amp;"-01"),Documentacion!$B$2:$B$1000,"&lt;="&amp;EOMONTH(DATEVALUE($B287&amp;"-01"),0)))-1)/4*100,"")</f>
        <v/>
      </c>
      <c r="W287" t="str">
        <f ca="1">IFERROR(((AVERAGEIFS(Feedback_360!$D$2:$D$1000,Feedback_360!$A$2:$A$1000,$A287,Feedback_360!$B$2:$B$1000,"&gt;="&amp;DATEVALUE($B287&amp;"-01"),Feedback_360!$B$2:$B$1000,"&lt;="&amp;EOMONTH(DATEVALUE($B287&amp;"-01"),0)))-1)/4*100,"")</f>
        <v/>
      </c>
      <c r="X287" t="str">
        <f ca="1">IFERROR(((AVERAGEIFS(Observacion_Directa!$D$2:$D$1000,Observacion_Directa!$A$2:$A$1000,$A287,Observacion_Directa!$B$2:$B$1000,"&gt;="&amp;DATEVALUE($B287&amp;"-01"),Observacion_Directa!$B$2:$B$1000,"&lt;="&amp;EOMONTH(DATEVALUE($B287&amp;"-01"),0)))-1)/4*100,"")</f>
        <v/>
      </c>
      <c r="Y287" t="e">
        <f t="shared" ca="1" si="9"/>
        <v>#DIV/0!</v>
      </c>
    </row>
    <row r="288" spans="12:25" x14ac:dyDescent="0.2">
      <c r="L288" t="str">
        <f t="shared" si="8"/>
        <v/>
      </c>
      <c r="M288" t="str">
        <f>IFERROR(AVERAGEIFS(Prod_5dias!$H$2:$H$1000,Prod_5dias!$A$2:$A$1000,$A288,Prod_5dias!$B$2:$B$1000,$B288),"")</f>
        <v/>
      </c>
      <c r="N288" t="str">
        <f>IF(M288="","",MIN(100,100*M288/Parametros!$B$7))</f>
        <v/>
      </c>
      <c r="O288" t="str">
        <f>IF(F288="","",IF(F288=0,100,MIN(100,100*Parametros!$B$3/F288)))</f>
        <v/>
      </c>
      <c r="P288" t="str">
        <f ca="1">IFERROR(((AVERAGEIFS(Observacion_Directa!$E$2:$E$1000,Observacion_Directa!$A$2:$A$1000,$A288,Observacion_Directa!$B$2:$B$1000,"&gt;="&amp;DATEVALUE($B288&amp;"-01"),Observacion_Directa!$B$2:$B$1000,"&lt;="&amp;EOMONTH(DATEVALUE($B288&amp;"-01"),0)))-1)/4*100,"")</f>
        <v/>
      </c>
      <c r="Q288" t="str">
        <f>IF(H288="","",MIN(100,100*H288/Parametros!$B$4))</f>
        <v/>
      </c>
      <c r="R288" t="str">
        <f>IF(I288="","",IF(I288=0,100,MIN(100,100*Parametros!$B$5/I288)))</f>
        <v/>
      </c>
      <c r="S288" t="str">
        <f>IF(J288="","",IF(J288=0,100,MIN(100,100*Parametros!$B$6/J288)))</f>
        <v/>
      </c>
      <c r="T288" t="str">
        <f>IF(L288="","",MIN(100,100*L288/Parametros!$B$7))</f>
        <v/>
      </c>
      <c r="U288" t="str">
        <f>IF(K288="","",MIN(100,100*K288/Parametros!$B$8))</f>
        <v/>
      </c>
      <c r="V288" t="str">
        <f ca="1">IFERROR(((AVERAGEIFS(Documentacion!$C$2:$C$1000,Documentacion!$A$2:$A$1000,$A288,Documentacion!$B$2:$B$1000,"&gt;="&amp;DATEVALUE($B288&amp;"-01"),Documentacion!$B$2:$B$1000,"&lt;="&amp;EOMONTH(DATEVALUE($B288&amp;"-01"),0)))-1)/4*100,"")</f>
        <v/>
      </c>
      <c r="W288" t="str">
        <f ca="1">IFERROR(((AVERAGEIFS(Feedback_360!$D$2:$D$1000,Feedback_360!$A$2:$A$1000,$A288,Feedback_360!$B$2:$B$1000,"&gt;="&amp;DATEVALUE($B288&amp;"-01"),Feedback_360!$B$2:$B$1000,"&lt;="&amp;EOMONTH(DATEVALUE($B288&amp;"-01"),0)))-1)/4*100,"")</f>
        <v/>
      </c>
      <c r="X288" t="str">
        <f ca="1">IFERROR(((AVERAGEIFS(Observacion_Directa!$D$2:$D$1000,Observacion_Directa!$A$2:$A$1000,$A288,Observacion_Directa!$B$2:$B$1000,"&gt;="&amp;DATEVALUE($B288&amp;"-01"),Observacion_Directa!$B$2:$B$1000,"&lt;="&amp;EOMONTH(DATEVALUE($B288&amp;"-01"),0)))-1)/4*100,"")</f>
        <v/>
      </c>
      <c r="Y288" t="e">
        <f t="shared" ca="1" si="9"/>
        <v>#DIV/0!</v>
      </c>
    </row>
    <row r="289" spans="12:25" x14ac:dyDescent="0.2">
      <c r="L289" t="str">
        <f t="shared" si="8"/>
        <v/>
      </c>
      <c r="M289" t="str">
        <f>IFERROR(AVERAGEIFS(Prod_5dias!$H$2:$H$1000,Prod_5dias!$A$2:$A$1000,$A289,Prod_5dias!$B$2:$B$1000,$B289),"")</f>
        <v/>
      </c>
      <c r="N289" t="str">
        <f>IF(M289="","",MIN(100,100*M289/Parametros!$B$7))</f>
        <v/>
      </c>
      <c r="O289" t="str">
        <f>IF(F289="","",IF(F289=0,100,MIN(100,100*Parametros!$B$3/F289)))</f>
        <v/>
      </c>
      <c r="P289" t="str">
        <f ca="1">IFERROR(((AVERAGEIFS(Observacion_Directa!$E$2:$E$1000,Observacion_Directa!$A$2:$A$1000,$A289,Observacion_Directa!$B$2:$B$1000,"&gt;="&amp;DATEVALUE($B289&amp;"-01"),Observacion_Directa!$B$2:$B$1000,"&lt;="&amp;EOMONTH(DATEVALUE($B289&amp;"-01"),0)))-1)/4*100,"")</f>
        <v/>
      </c>
      <c r="Q289" t="str">
        <f>IF(H289="","",MIN(100,100*H289/Parametros!$B$4))</f>
        <v/>
      </c>
      <c r="R289" t="str">
        <f>IF(I289="","",IF(I289=0,100,MIN(100,100*Parametros!$B$5/I289)))</f>
        <v/>
      </c>
      <c r="S289" t="str">
        <f>IF(J289="","",IF(J289=0,100,MIN(100,100*Parametros!$B$6/J289)))</f>
        <v/>
      </c>
      <c r="T289" t="str">
        <f>IF(L289="","",MIN(100,100*L289/Parametros!$B$7))</f>
        <v/>
      </c>
      <c r="U289" t="str">
        <f>IF(K289="","",MIN(100,100*K289/Parametros!$B$8))</f>
        <v/>
      </c>
      <c r="V289" t="str">
        <f ca="1">IFERROR(((AVERAGEIFS(Documentacion!$C$2:$C$1000,Documentacion!$A$2:$A$1000,$A289,Documentacion!$B$2:$B$1000,"&gt;="&amp;DATEVALUE($B289&amp;"-01"),Documentacion!$B$2:$B$1000,"&lt;="&amp;EOMONTH(DATEVALUE($B289&amp;"-01"),0)))-1)/4*100,"")</f>
        <v/>
      </c>
      <c r="W289" t="str">
        <f ca="1">IFERROR(((AVERAGEIFS(Feedback_360!$D$2:$D$1000,Feedback_360!$A$2:$A$1000,$A289,Feedback_360!$B$2:$B$1000,"&gt;="&amp;DATEVALUE($B289&amp;"-01"),Feedback_360!$B$2:$B$1000,"&lt;="&amp;EOMONTH(DATEVALUE($B289&amp;"-01"),0)))-1)/4*100,"")</f>
        <v/>
      </c>
      <c r="X289" t="str">
        <f ca="1">IFERROR(((AVERAGEIFS(Observacion_Directa!$D$2:$D$1000,Observacion_Directa!$A$2:$A$1000,$A289,Observacion_Directa!$B$2:$B$1000,"&gt;="&amp;DATEVALUE($B289&amp;"-01"),Observacion_Directa!$B$2:$B$1000,"&lt;="&amp;EOMONTH(DATEVALUE($B289&amp;"-01"),0)))-1)/4*100,"")</f>
        <v/>
      </c>
      <c r="Y289" t="e">
        <f t="shared" ca="1" si="9"/>
        <v>#DIV/0!</v>
      </c>
    </row>
    <row r="290" spans="12:25" x14ac:dyDescent="0.2">
      <c r="L290" t="str">
        <f t="shared" si="8"/>
        <v/>
      </c>
      <c r="M290" t="str">
        <f>IFERROR(AVERAGEIFS(Prod_5dias!$H$2:$H$1000,Prod_5dias!$A$2:$A$1000,$A290,Prod_5dias!$B$2:$B$1000,$B290),"")</f>
        <v/>
      </c>
      <c r="N290" t="str">
        <f>IF(M290="","",MIN(100,100*M290/Parametros!$B$7))</f>
        <v/>
      </c>
      <c r="O290" t="str">
        <f>IF(F290="","",IF(F290=0,100,MIN(100,100*Parametros!$B$3/F290)))</f>
        <v/>
      </c>
      <c r="P290" t="str">
        <f ca="1">IFERROR(((AVERAGEIFS(Observacion_Directa!$E$2:$E$1000,Observacion_Directa!$A$2:$A$1000,$A290,Observacion_Directa!$B$2:$B$1000,"&gt;="&amp;DATEVALUE($B290&amp;"-01"),Observacion_Directa!$B$2:$B$1000,"&lt;="&amp;EOMONTH(DATEVALUE($B290&amp;"-01"),0)))-1)/4*100,"")</f>
        <v/>
      </c>
      <c r="Q290" t="str">
        <f>IF(H290="","",MIN(100,100*H290/Parametros!$B$4))</f>
        <v/>
      </c>
      <c r="R290" t="str">
        <f>IF(I290="","",IF(I290=0,100,MIN(100,100*Parametros!$B$5/I290)))</f>
        <v/>
      </c>
      <c r="S290" t="str">
        <f>IF(J290="","",IF(J290=0,100,MIN(100,100*Parametros!$B$6/J290)))</f>
        <v/>
      </c>
      <c r="T290" t="str">
        <f>IF(L290="","",MIN(100,100*L290/Parametros!$B$7))</f>
        <v/>
      </c>
      <c r="U290" t="str">
        <f>IF(K290="","",MIN(100,100*K290/Parametros!$B$8))</f>
        <v/>
      </c>
      <c r="V290" t="str">
        <f ca="1">IFERROR(((AVERAGEIFS(Documentacion!$C$2:$C$1000,Documentacion!$A$2:$A$1000,$A290,Documentacion!$B$2:$B$1000,"&gt;="&amp;DATEVALUE($B290&amp;"-01"),Documentacion!$B$2:$B$1000,"&lt;="&amp;EOMONTH(DATEVALUE($B290&amp;"-01"),0)))-1)/4*100,"")</f>
        <v/>
      </c>
      <c r="W290" t="str">
        <f ca="1">IFERROR(((AVERAGEIFS(Feedback_360!$D$2:$D$1000,Feedback_360!$A$2:$A$1000,$A290,Feedback_360!$B$2:$B$1000,"&gt;="&amp;DATEVALUE($B290&amp;"-01"),Feedback_360!$B$2:$B$1000,"&lt;="&amp;EOMONTH(DATEVALUE($B290&amp;"-01"),0)))-1)/4*100,"")</f>
        <v/>
      </c>
      <c r="X290" t="str">
        <f ca="1">IFERROR(((AVERAGEIFS(Observacion_Directa!$D$2:$D$1000,Observacion_Directa!$A$2:$A$1000,$A290,Observacion_Directa!$B$2:$B$1000,"&gt;="&amp;DATEVALUE($B290&amp;"-01"),Observacion_Directa!$B$2:$B$1000,"&lt;="&amp;EOMONTH(DATEVALUE($B290&amp;"-01"),0)))-1)/4*100,"")</f>
        <v/>
      </c>
      <c r="Y290" t="e">
        <f t="shared" ca="1" si="9"/>
        <v>#DIV/0!</v>
      </c>
    </row>
    <row r="291" spans="12:25" x14ac:dyDescent="0.2">
      <c r="L291" t="str">
        <f t="shared" si="8"/>
        <v/>
      </c>
      <c r="M291" t="str">
        <f>IFERROR(AVERAGEIFS(Prod_5dias!$H$2:$H$1000,Prod_5dias!$A$2:$A$1000,$A291,Prod_5dias!$B$2:$B$1000,$B291),"")</f>
        <v/>
      </c>
      <c r="N291" t="str">
        <f>IF(M291="","",MIN(100,100*M291/Parametros!$B$7))</f>
        <v/>
      </c>
      <c r="O291" t="str">
        <f>IF(F291="","",IF(F291=0,100,MIN(100,100*Parametros!$B$3/F291)))</f>
        <v/>
      </c>
      <c r="P291" t="str">
        <f ca="1">IFERROR(((AVERAGEIFS(Observacion_Directa!$E$2:$E$1000,Observacion_Directa!$A$2:$A$1000,$A291,Observacion_Directa!$B$2:$B$1000,"&gt;="&amp;DATEVALUE($B291&amp;"-01"),Observacion_Directa!$B$2:$B$1000,"&lt;="&amp;EOMONTH(DATEVALUE($B291&amp;"-01"),0)))-1)/4*100,"")</f>
        <v/>
      </c>
      <c r="Q291" t="str">
        <f>IF(H291="","",MIN(100,100*H291/Parametros!$B$4))</f>
        <v/>
      </c>
      <c r="R291" t="str">
        <f>IF(I291="","",IF(I291=0,100,MIN(100,100*Parametros!$B$5/I291)))</f>
        <v/>
      </c>
      <c r="S291" t="str">
        <f>IF(J291="","",IF(J291=0,100,MIN(100,100*Parametros!$B$6/J291)))</f>
        <v/>
      </c>
      <c r="T291" t="str">
        <f>IF(L291="","",MIN(100,100*L291/Parametros!$B$7))</f>
        <v/>
      </c>
      <c r="U291" t="str">
        <f>IF(K291="","",MIN(100,100*K291/Parametros!$B$8))</f>
        <v/>
      </c>
      <c r="V291" t="str">
        <f ca="1">IFERROR(((AVERAGEIFS(Documentacion!$C$2:$C$1000,Documentacion!$A$2:$A$1000,$A291,Documentacion!$B$2:$B$1000,"&gt;="&amp;DATEVALUE($B291&amp;"-01"),Documentacion!$B$2:$B$1000,"&lt;="&amp;EOMONTH(DATEVALUE($B291&amp;"-01"),0)))-1)/4*100,"")</f>
        <v/>
      </c>
      <c r="W291" t="str">
        <f ca="1">IFERROR(((AVERAGEIFS(Feedback_360!$D$2:$D$1000,Feedback_360!$A$2:$A$1000,$A291,Feedback_360!$B$2:$B$1000,"&gt;="&amp;DATEVALUE($B291&amp;"-01"),Feedback_360!$B$2:$B$1000,"&lt;="&amp;EOMONTH(DATEVALUE($B291&amp;"-01"),0)))-1)/4*100,"")</f>
        <v/>
      </c>
      <c r="X291" t="str">
        <f ca="1">IFERROR(((AVERAGEIFS(Observacion_Directa!$D$2:$D$1000,Observacion_Directa!$A$2:$A$1000,$A291,Observacion_Directa!$B$2:$B$1000,"&gt;="&amp;DATEVALUE($B291&amp;"-01"),Observacion_Directa!$B$2:$B$1000,"&lt;="&amp;EOMONTH(DATEVALUE($B291&amp;"-01"),0)))-1)/4*100,"")</f>
        <v/>
      </c>
      <c r="Y291" t="e">
        <f t="shared" ca="1" si="9"/>
        <v>#DIV/0!</v>
      </c>
    </row>
    <row r="292" spans="12:25" x14ac:dyDescent="0.2">
      <c r="L292" t="str">
        <f t="shared" si="8"/>
        <v/>
      </c>
      <c r="M292" t="str">
        <f>IFERROR(AVERAGEIFS(Prod_5dias!$H$2:$H$1000,Prod_5dias!$A$2:$A$1000,$A292,Prod_5dias!$B$2:$B$1000,$B292),"")</f>
        <v/>
      </c>
      <c r="N292" t="str">
        <f>IF(M292="","",MIN(100,100*M292/Parametros!$B$7))</f>
        <v/>
      </c>
      <c r="O292" t="str">
        <f>IF(F292="","",IF(F292=0,100,MIN(100,100*Parametros!$B$3/F292)))</f>
        <v/>
      </c>
      <c r="P292" t="str">
        <f ca="1">IFERROR(((AVERAGEIFS(Observacion_Directa!$E$2:$E$1000,Observacion_Directa!$A$2:$A$1000,$A292,Observacion_Directa!$B$2:$B$1000,"&gt;="&amp;DATEVALUE($B292&amp;"-01"),Observacion_Directa!$B$2:$B$1000,"&lt;="&amp;EOMONTH(DATEVALUE($B292&amp;"-01"),0)))-1)/4*100,"")</f>
        <v/>
      </c>
      <c r="Q292" t="str">
        <f>IF(H292="","",MIN(100,100*H292/Parametros!$B$4))</f>
        <v/>
      </c>
      <c r="R292" t="str">
        <f>IF(I292="","",IF(I292=0,100,MIN(100,100*Parametros!$B$5/I292)))</f>
        <v/>
      </c>
      <c r="S292" t="str">
        <f>IF(J292="","",IF(J292=0,100,MIN(100,100*Parametros!$B$6/J292)))</f>
        <v/>
      </c>
      <c r="T292" t="str">
        <f>IF(L292="","",MIN(100,100*L292/Parametros!$B$7))</f>
        <v/>
      </c>
      <c r="U292" t="str">
        <f>IF(K292="","",MIN(100,100*K292/Parametros!$B$8))</f>
        <v/>
      </c>
      <c r="V292" t="str">
        <f ca="1">IFERROR(((AVERAGEIFS(Documentacion!$C$2:$C$1000,Documentacion!$A$2:$A$1000,$A292,Documentacion!$B$2:$B$1000,"&gt;="&amp;DATEVALUE($B292&amp;"-01"),Documentacion!$B$2:$B$1000,"&lt;="&amp;EOMONTH(DATEVALUE($B292&amp;"-01"),0)))-1)/4*100,"")</f>
        <v/>
      </c>
      <c r="W292" t="str">
        <f ca="1">IFERROR(((AVERAGEIFS(Feedback_360!$D$2:$D$1000,Feedback_360!$A$2:$A$1000,$A292,Feedback_360!$B$2:$B$1000,"&gt;="&amp;DATEVALUE($B292&amp;"-01"),Feedback_360!$B$2:$B$1000,"&lt;="&amp;EOMONTH(DATEVALUE($B292&amp;"-01"),0)))-1)/4*100,"")</f>
        <v/>
      </c>
      <c r="X292" t="str">
        <f ca="1">IFERROR(((AVERAGEIFS(Observacion_Directa!$D$2:$D$1000,Observacion_Directa!$A$2:$A$1000,$A292,Observacion_Directa!$B$2:$B$1000,"&gt;="&amp;DATEVALUE($B292&amp;"-01"),Observacion_Directa!$B$2:$B$1000,"&lt;="&amp;EOMONTH(DATEVALUE($B292&amp;"-01"),0)))-1)/4*100,"")</f>
        <v/>
      </c>
      <c r="Y292" t="e">
        <f t="shared" ca="1" si="9"/>
        <v>#DIV/0!</v>
      </c>
    </row>
    <row r="293" spans="12:25" x14ac:dyDescent="0.2">
      <c r="L293" t="str">
        <f t="shared" si="8"/>
        <v/>
      </c>
      <c r="M293" t="str">
        <f>IFERROR(AVERAGEIFS(Prod_5dias!$H$2:$H$1000,Prod_5dias!$A$2:$A$1000,$A293,Prod_5dias!$B$2:$B$1000,$B293),"")</f>
        <v/>
      </c>
      <c r="N293" t="str">
        <f>IF(M293="","",MIN(100,100*M293/Parametros!$B$7))</f>
        <v/>
      </c>
      <c r="O293" t="str">
        <f>IF(F293="","",IF(F293=0,100,MIN(100,100*Parametros!$B$3/F293)))</f>
        <v/>
      </c>
      <c r="P293" t="str">
        <f ca="1">IFERROR(((AVERAGEIFS(Observacion_Directa!$E$2:$E$1000,Observacion_Directa!$A$2:$A$1000,$A293,Observacion_Directa!$B$2:$B$1000,"&gt;="&amp;DATEVALUE($B293&amp;"-01"),Observacion_Directa!$B$2:$B$1000,"&lt;="&amp;EOMONTH(DATEVALUE($B293&amp;"-01"),0)))-1)/4*100,"")</f>
        <v/>
      </c>
      <c r="Q293" t="str">
        <f>IF(H293="","",MIN(100,100*H293/Parametros!$B$4))</f>
        <v/>
      </c>
      <c r="R293" t="str">
        <f>IF(I293="","",IF(I293=0,100,MIN(100,100*Parametros!$B$5/I293)))</f>
        <v/>
      </c>
      <c r="S293" t="str">
        <f>IF(J293="","",IF(J293=0,100,MIN(100,100*Parametros!$B$6/J293)))</f>
        <v/>
      </c>
      <c r="T293" t="str">
        <f>IF(L293="","",MIN(100,100*L293/Parametros!$B$7))</f>
        <v/>
      </c>
      <c r="U293" t="str">
        <f>IF(K293="","",MIN(100,100*K293/Parametros!$B$8))</f>
        <v/>
      </c>
      <c r="V293" t="str">
        <f ca="1">IFERROR(((AVERAGEIFS(Documentacion!$C$2:$C$1000,Documentacion!$A$2:$A$1000,$A293,Documentacion!$B$2:$B$1000,"&gt;="&amp;DATEVALUE($B293&amp;"-01"),Documentacion!$B$2:$B$1000,"&lt;="&amp;EOMONTH(DATEVALUE($B293&amp;"-01"),0)))-1)/4*100,"")</f>
        <v/>
      </c>
      <c r="W293" t="str">
        <f ca="1">IFERROR(((AVERAGEIFS(Feedback_360!$D$2:$D$1000,Feedback_360!$A$2:$A$1000,$A293,Feedback_360!$B$2:$B$1000,"&gt;="&amp;DATEVALUE($B293&amp;"-01"),Feedback_360!$B$2:$B$1000,"&lt;="&amp;EOMONTH(DATEVALUE($B293&amp;"-01"),0)))-1)/4*100,"")</f>
        <v/>
      </c>
      <c r="X293" t="str">
        <f ca="1">IFERROR(((AVERAGEIFS(Observacion_Directa!$D$2:$D$1000,Observacion_Directa!$A$2:$A$1000,$A293,Observacion_Directa!$B$2:$B$1000,"&gt;="&amp;DATEVALUE($B293&amp;"-01"),Observacion_Directa!$B$2:$B$1000,"&lt;="&amp;EOMONTH(DATEVALUE($B293&amp;"-01"),0)))-1)/4*100,"")</f>
        <v/>
      </c>
      <c r="Y293" t="e">
        <f t="shared" ca="1" si="9"/>
        <v>#DIV/0!</v>
      </c>
    </row>
    <row r="294" spans="12:25" x14ac:dyDescent="0.2">
      <c r="L294" t="str">
        <f t="shared" si="8"/>
        <v/>
      </c>
      <c r="M294" t="str">
        <f>IFERROR(AVERAGEIFS(Prod_5dias!$H$2:$H$1000,Prod_5dias!$A$2:$A$1000,$A294,Prod_5dias!$B$2:$B$1000,$B294),"")</f>
        <v/>
      </c>
      <c r="N294" t="str">
        <f>IF(M294="","",MIN(100,100*M294/Parametros!$B$7))</f>
        <v/>
      </c>
      <c r="O294" t="str">
        <f>IF(F294="","",IF(F294=0,100,MIN(100,100*Parametros!$B$3/F294)))</f>
        <v/>
      </c>
      <c r="P294" t="str">
        <f ca="1">IFERROR(((AVERAGEIFS(Observacion_Directa!$E$2:$E$1000,Observacion_Directa!$A$2:$A$1000,$A294,Observacion_Directa!$B$2:$B$1000,"&gt;="&amp;DATEVALUE($B294&amp;"-01"),Observacion_Directa!$B$2:$B$1000,"&lt;="&amp;EOMONTH(DATEVALUE($B294&amp;"-01"),0)))-1)/4*100,"")</f>
        <v/>
      </c>
      <c r="Q294" t="str">
        <f>IF(H294="","",MIN(100,100*H294/Parametros!$B$4))</f>
        <v/>
      </c>
      <c r="R294" t="str">
        <f>IF(I294="","",IF(I294=0,100,MIN(100,100*Parametros!$B$5/I294)))</f>
        <v/>
      </c>
      <c r="S294" t="str">
        <f>IF(J294="","",IF(J294=0,100,MIN(100,100*Parametros!$B$6/J294)))</f>
        <v/>
      </c>
      <c r="T294" t="str">
        <f>IF(L294="","",MIN(100,100*L294/Parametros!$B$7))</f>
        <v/>
      </c>
      <c r="U294" t="str">
        <f>IF(K294="","",MIN(100,100*K294/Parametros!$B$8))</f>
        <v/>
      </c>
      <c r="V294" t="str">
        <f ca="1">IFERROR(((AVERAGEIFS(Documentacion!$C$2:$C$1000,Documentacion!$A$2:$A$1000,$A294,Documentacion!$B$2:$B$1000,"&gt;="&amp;DATEVALUE($B294&amp;"-01"),Documentacion!$B$2:$B$1000,"&lt;="&amp;EOMONTH(DATEVALUE($B294&amp;"-01"),0)))-1)/4*100,"")</f>
        <v/>
      </c>
      <c r="W294" t="str">
        <f ca="1">IFERROR(((AVERAGEIFS(Feedback_360!$D$2:$D$1000,Feedback_360!$A$2:$A$1000,$A294,Feedback_360!$B$2:$B$1000,"&gt;="&amp;DATEVALUE($B294&amp;"-01"),Feedback_360!$B$2:$B$1000,"&lt;="&amp;EOMONTH(DATEVALUE($B294&amp;"-01"),0)))-1)/4*100,"")</f>
        <v/>
      </c>
      <c r="X294" t="str">
        <f ca="1">IFERROR(((AVERAGEIFS(Observacion_Directa!$D$2:$D$1000,Observacion_Directa!$A$2:$A$1000,$A294,Observacion_Directa!$B$2:$B$1000,"&gt;="&amp;DATEVALUE($B294&amp;"-01"),Observacion_Directa!$B$2:$B$1000,"&lt;="&amp;EOMONTH(DATEVALUE($B294&amp;"-01"),0)))-1)/4*100,"")</f>
        <v/>
      </c>
      <c r="Y294" t="e">
        <f t="shared" ca="1" si="9"/>
        <v>#DIV/0!</v>
      </c>
    </row>
    <row r="295" spans="12:25" x14ac:dyDescent="0.2">
      <c r="L295" t="str">
        <f t="shared" si="8"/>
        <v/>
      </c>
      <c r="M295" t="str">
        <f>IFERROR(AVERAGEIFS(Prod_5dias!$H$2:$H$1000,Prod_5dias!$A$2:$A$1000,$A295,Prod_5dias!$B$2:$B$1000,$B295),"")</f>
        <v/>
      </c>
      <c r="N295" t="str">
        <f>IF(M295="","",MIN(100,100*M295/Parametros!$B$7))</f>
        <v/>
      </c>
      <c r="O295" t="str">
        <f>IF(F295="","",IF(F295=0,100,MIN(100,100*Parametros!$B$3/F295)))</f>
        <v/>
      </c>
      <c r="P295" t="str">
        <f ca="1">IFERROR(((AVERAGEIFS(Observacion_Directa!$E$2:$E$1000,Observacion_Directa!$A$2:$A$1000,$A295,Observacion_Directa!$B$2:$B$1000,"&gt;="&amp;DATEVALUE($B295&amp;"-01"),Observacion_Directa!$B$2:$B$1000,"&lt;="&amp;EOMONTH(DATEVALUE($B295&amp;"-01"),0)))-1)/4*100,"")</f>
        <v/>
      </c>
      <c r="Q295" t="str">
        <f>IF(H295="","",MIN(100,100*H295/Parametros!$B$4))</f>
        <v/>
      </c>
      <c r="R295" t="str">
        <f>IF(I295="","",IF(I295=0,100,MIN(100,100*Parametros!$B$5/I295)))</f>
        <v/>
      </c>
      <c r="S295" t="str">
        <f>IF(J295="","",IF(J295=0,100,MIN(100,100*Parametros!$B$6/J295)))</f>
        <v/>
      </c>
      <c r="T295" t="str">
        <f>IF(L295="","",MIN(100,100*L295/Parametros!$B$7))</f>
        <v/>
      </c>
      <c r="U295" t="str">
        <f>IF(K295="","",MIN(100,100*K295/Parametros!$B$8))</f>
        <v/>
      </c>
      <c r="V295" t="str">
        <f ca="1">IFERROR(((AVERAGEIFS(Documentacion!$C$2:$C$1000,Documentacion!$A$2:$A$1000,$A295,Documentacion!$B$2:$B$1000,"&gt;="&amp;DATEVALUE($B295&amp;"-01"),Documentacion!$B$2:$B$1000,"&lt;="&amp;EOMONTH(DATEVALUE($B295&amp;"-01"),0)))-1)/4*100,"")</f>
        <v/>
      </c>
      <c r="W295" t="str">
        <f ca="1">IFERROR(((AVERAGEIFS(Feedback_360!$D$2:$D$1000,Feedback_360!$A$2:$A$1000,$A295,Feedback_360!$B$2:$B$1000,"&gt;="&amp;DATEVALUE($B295&amp;"-01"),Feedback_360!$B$2:$B$1000,"&lt;="&amp;EOMONTH(DATEVALUE($B295&amp;"-01"),0)))-1)/4*100,"")</f>
        <v/>
      </c>
      <c r="X295" t="str">
        <f ca="1">IFERROR(((AVERAGEIFS(Observacion_Directa!$D$2:$D$1000,Observacion_Directa!$A$2:$A$1000,$A295,Observacion_Directa!$B$2:$B$1000,"&gt;="&amp;DATEVALUE($B295&amp;"-01"),Observacion_Directa!$B$2:$B$1000,"&lt;="&amp;EOMONTH(DATEVALUE($B295&amp;"-01"),0)))-1)/4*100,"")</f>
        <v/>
      </c>
      <c r="Y295" t="e">
        <f t="shared" ca="1" si="9"/>
        <v>#DIV/0!</v>
      </c>
    </row>
    <row r="296" spans="12:25" x14ac:dyDescent="0.2">
      <c r="L296" t="str">
        <f t="shared" si="8"/>
        <v/>
      </c>
      <c r="M296" t="str">
        <f>IFERROR(AVERAGEIFS(Prod_5dias!$H$2:$H$1000,Prod_5dias!$A$2:$A$1000,$A296,Prod_5dias!$B$2:$B$1000,$B296),"")</f>
        <v/>
      </c>
      <c r="N296" t="str">
        <f>IF(M296="","",MIN(100,100*M296/Parametros!$B$7))</f>
        <v/>
      </c>
      <c r="O296" t="str">
        <f>IF(F296="","",IF(F296=0,100,MIN(100,100*Parametros!$B$3/F296)))</f>
        <v/>
      </c>
      <c r="P296" t="str">
        <f ca="1">IFERROR(((AVERAGEIFS(Observacion_Directa!$E$2:$E$1000,Observacion_Directa!$A$2:$A$1000,$A296,Observacion_Directa!$B$2:$B$1000,"&gt;="&amp;DATEVALUE($B296&amp;"-01"),Observacion_Directa!$B$2:$B$1000,"&lt;="&amp;EOMONTH(DATEVALUE($B296&amp;"-01"),0)))-1)/4*100,"")</f>
        <v/>
      </c>
      <c r="Q296" t="str">
        <f>IF(H296="","",MIN(100,100*H296/Parametros!$B$4))</f>
        <v/>
      </c>
      <c r="R296" t="str">
        <f>IF(I296="","",IF(I296=0,100,MIN(100,100*Parametros!$B$5/I296)))</f>
        <v/>
      </c>
      <c r="S296" t="str">
        <f>IF(J296="","",IF(J296=0,100,MIN(100,100*Parametros!$B$6/J296)))</f>
        <v/>
      </c>
      <c r="T296" t="str">
        <f>IF(L296="","",MIN(100,100*L296/Parametros!$B$7))</f>
        <v/>
      </c>
      <c r="U296" t="str">
        <f>IF(K296="","",MIN(100,100*K296/Parametros!$B$8))</f>
        <v/>
      </c>
      <c r="V296" t="str">
        <f ca="1">IFERROR(((AVERAGEIFS(Documentacion!$C$2:$C$1000,Documentacion!$A$2:$A$1000,$A296,Documentacion!$B$2:$B$1000,"&gt;="&amp;DATEVALUE($B296&amp;"-01"),Documentacion!$B$2:$B$1000,"&lt;="&amp;EOMONTH(DATEVALUE($B296&amp;"-01"),0)))-1)/4*100,"")</f>
        <v/>
      </c>
      <c r="W296" t="str">
        <f ca="1">IFERROR(((AVERAGEIFS(Feedback_360!$D$2:$D$1000,Feedback_360!$A$2:$A$1000,$A296,Feedback_360!$B$2:$B$1000,"&gt;="&amp;DATEVALUE($B296&amp;"-01"),Feedback_360!$B$2:$B$1000,"&lt;="&amp;EOMONTH(DATEVALUE($B296&amp;"-01"),0)))-1)/4*100,"")</f>
        <v/>
      </c>
      <c r="X296" t="str">
        <f ca="1">IFERROR(((AVERAGEIFS(Observacion_Directa!$D$2:$D$1000,Observacion_Directa!$A$2:$A$1000,$A296,Observacion_Directa!$B$2:$B$1000,"&gt;="&amp;DATEVALUE($B296&amp;"-01"),Observacion_Directa!$B$2:$B$1000,"&lt;="&amp;EOMONTH(DATEVALUE($B296&amp;"-01"),0)))-1)/4*100,"")</f>
        <v/>
      </c>
      <c r="Y296" t="e">
        <f t="shared" ca="1" si="9"/>
        <v>#DIV/0!</v>
      </c>
    </row>
    <row r="297" spans="12:25" x14ac:dyDescent="0.2">
      <c r="L297" t="str">
        <f t="shared" si="8"/>
        <v/>
      </c>
      <c r="M297" t="str">
        <f>IFERROR(AVERAGEIFS(Prod_5dias!$H$2:$H$1000,Prod_5dias!$A$2:$A$1000,$A297,Prod_5dias!$B$2:$B$1000,$B297),"")</f>
        <v/>
      </c>
      <c r="N297" t="str">
        <f>IF(M297="","",MIN(100,100*M297/Parametros!$B$7))</f>
        <v/>
      </c>
      <c r="O297" t="str">
        <f>IF(F297="","",IF(F297=0,100,MIN(100,100*Parametros!$B$3/F297)))</f>
        <v/>
      </c>
      <c r="P297" t="str">
        <f ca="1">IFERROR(((AVERAGEIFS(Observacion_Directa!$E$2:$E$1000,Observacion_Directa!$A$2:$A$1000,$A297,Observacion_Directa!$B$2:$B$1000,"&gt;="&amp;DATEVALUE($B297&amp;"-01"),Observacion_Directa!$B$2:$B$1000,"&lt;="&amp;EOMONTH(DATEVALUE($B297&amp;"-01"),0)))-1)/4*100,"")</f>
        <v/>
      </c>
      <c r="Q297" t="str">
        <f>IF(H297="","",MIN(100,100*H297/Parametros!$B$4))</f>
        <v/>
      </c>
      <c r="R297" t="str">
        <f>IF(I297="","",IF(I297=0,100,MIN(100,100*Parametros!$B$5/I297)))</f>
        <v/>
      </c>
      <c r="S297" t="str">
        <f>IF(J297="","",IF(J297=0,100,MIN(100,100*Parametros!$B$6/J297)))</f>
        <v/>
      </c>
      <c r="T297" t="str">
        <f>IF(L297="","",MIN(100,100*L297/Parametros!$B$7))</f>
        <v/>
      </c>
      <c r="U297" t="str">
        <f>IF(K297="","",MIN(100,100*K297/Parametros!$B$8))</f>
        <v/>
      </c>
      <c r="V297" t="str">
        <f ca="1">IFERROR(((AVERAGEIFS(Documentacion!$C$2:$C$1000,Documentacion!$A$2:$A$1000,$A297,Documentacion!$B$2:$B$1000,"&gt;="&amp;DATEVALUE($B297&amp;"-01"),Documentacion!$B$2:$B$1000,"&lt;="&amp;EOMONTH(DATEVALUE($B297&amp;"-01"),0)))-1)/4*100,"")</f>
        <v/>
      </c>
      <c r="W297" t="str">
        <f ca="1">IFERROR(((AVERAGEIFS(Feedback_360!$D$2:$D$1000,Feedback_360!$A$2:$A$1000,$A297,Feedback_360!$B$2:$B$1000,"&gt;="&amp;DATEVALUE($B297&amp;"-01"),Feedback_360!$B$2:$B$1000,"&lt;="&amp;EOMONTH(DATEVALUE($B297&amp;"-01"),0)))-1)/4*100,"")</f>
        <v/>
      </c>
      <c r="X297" t="str">
        <f ca="1">IFERROR(((AVERAGEIFS(Observacion_Directa!$D$2:$D$1000,Observacion_Directa!$A$2:$A$1000,$A297,Observacion_Directa!$B$2:$B$1000,"&gt;="&amp;DATEVALUE($B297&amp;"-01"),Observacion_Directa!$B$2:$B$1000,"&lt;="&amp;EOMONTH(DATEVALUE($B297&amp;"-01"),0)))-1)/4*100,"")</f>
        <v/>
      </c>
      <c r="Y297" t="e">
        <f t="shared" ca="1" si="9"/>
        <v>#DIV/0!</v>
      </c>
    </row>
    <row r="298" spans="12:25" x14ac:dyDescent="0.2">
      <c r="L298" t="str">
        <f t="shared" si="8"/>
        <v/>
      </c>
      <c r="M298" t="str">
        <f>IFERROR(AVERAGEIFS(Prod_5dias!$H$2:$H$1000,Prod_5dias!$A$2:$A$1000,$A298,Prod_5dias!$B$2:$B$1000,$B298),"")</f>
        <v/>
      </c>
      <c r="N298" t="str">
        <f>IF(M298="","",MIN(100,100*M298/Parametros!$B$7))</f>
        <v/>
      </c>
      <c r="O298" t="str">
        <f>IF(F298="","",IF(F298=0,100,MIN(100,100*Parametros!$B$3/F298)))</f>
        <v/>
      </c>
      <c r="P298" t="str">
        <f ca="1">IFERROR(((AVERAGEIFS(Observacion_Directa!$E$2:$E$1000,Observacion_Directa!$A$2:$A$1000,$A298,Observacion_Directa!$B$2:$B$1000,"&gt;="&amp;DATEVALUE($B298&amp;"-01"),Observacion_Directa!$B$2:$B$1000,"&lt;="&amp;EOMONTH(DATEVALUE($B298&amp;"-01"),0)))-1)/4*100,"")</f>
        <v/>
      </c>
      <c r="Q298" t="str">
        <f>IF(H298="","",MIN(100,100*H298/Parametros!$B$4))</f>
        <v/>
      </c>
      <c r="R298" t="str">
        <f>IF(I298="","",IF(I298=0,100,MIN(100,100*Parametros!$B$5/I298)))</f>
        <v/>
      </c>
      <c r="S298" t="str">
        <f>IF(J298="","",IF(J298=0,100,MIN(100,100*Parametros!$B$6/J298)))</f>
        <v/>
      </c>
      <c r="T298" t="str">
        <f>IF(L298="","",MIN(100,100*L298/Parametros!$B$7))</f>
        <v/>
      </c>
      <c r="U298" t="str">
        <f>IF(K298="","",MIN(100,100*K298/Parametros!$B$8))</f>
        <v/>
      </c>
      <c r="V298" t="str">
        <f ca="1">IFERROR(((AVERAGEIFS(Documentacion!$C$2:$C$1000,Documentacion!$A$2:$A$1000,$A298,Documentacion!$B$2:$B$1000,"&gt;="&amp;DATEVALUE($B298&amp;"-01"),Documentacion!$B$2:$B$1000,"&lt;="&amp;EOMONTH(DATEVALUE($B298&amp;"-01"),0)))-1)/4*100,"")</f>
        <v/>
      </c>
      <c r="W298" t="str">
        <f ca="1">IFERROR(((AVERAGEIFS(Feedback_360!$D$2:$D$1000,Feedback_360!$A$2:$A$1000,$A298,Feedback_360!$B$2:$B$1000,"&gt;="&amp;DATEVALUE($B298&amp;"-01"),Feedback_360!$B$2:$B$1000,"&lt;="&amp;EOMONTH(DATEVALUE($B298&amp;"-01"),0)))-1)/4*100,"")</f>
        <v/>
      </c>
      <c r="X298" t="str">
        <f ca="1">IFERROR(((AVERAGEIFS(Observacion_Directa!$D$2:$D$1000,Observacion_Directa!$A$2:$A$1000,$A298,Observacion_Directa!$B$2:$B$1000,"&gt;="&amp;DATEVALUE($B298&amp;"-01"),Observacion_Directa!$B$2:$B$1000,"&lt;="&amp;EOMONTH(DATEVALUE($B298&amp;"-01"),0)))-1)/4*100,"")</f>
        <v/>
      </c>
      <c r="Y298" t="e">
        <f t="shared" ca="1" si="9"/>
        <v>#DIV/0!</v>
      </c>
    </row>
    <row r="299" spans="12:25" x14ac:dyDescent="0.2">
      <c r="L299" t="str">
        <f t="shared" si="8"/>
        <v/>
      </c>
      <c r="M299" t="str">
        <f>IFERROR(AVERAGEIFS(Prod_5dias!$H$2:$H$1000,Prod_5dias!$A$2:$A$1000,$A299,Prod_5dias!$B$2:$B$1000,$B299),"")</f>
        <v/>
      </c>
      <c r="N299" t="str">
        <f>IF(M299="","",MIN(100,100*M299/Parametros!$B$7))</f>
        <v/>
      </c>
      <c r="O299" t="str">
        <f>IF(F299="","",IF(F299=0,100,MIN(100,100*Parametros!$B$3/F299)))</f>
        <v/>
      </c>
      <c r="P299" t="str">
        <f ca="1">IFERROR(((AVERAGEIFS(Observacion_Directa!$E$2:$E$1000,Observacion_Directa!$A$2:$A$1000,$A299,Observacion_Directa!$B$2:$B$1000,"&gt;="&amp;DATEVALUE($B299&amp;"-01"),Observacion_Directa!$B$2:$B$1000,"&lt;="&amp;EOMONTH(DATEVALUE($B299&amp;"-01"),0)))-1)/4*100,"")</f>
        <v/>
      </c>
      <c r="Q299" t="str">
        <f>IF(H299="","",MIN(100,100*H299/Parametros!$B$4))</f>
        <v/>
      </c>
      <c r="R299" t="str">
        <f>IF(I299="","",IF(I299=0,100,MIN(100,100*Parametros!$B$5/I299)))</f>
        <v/>
      </c>
      <c r="S299" t="str">
        <f>IF(J299="","",IF(J299=0,100,MIN(100,100*Parametros!$B$6/J299)))</f>
        <v/>
      </c>
      <c r="T299" t="str">
        <f>IF(L299="","",MIN(100,100*L299/Parametros!$B$7))</f>
        <v/>
      </c>
      <c r="U299" t="str">
        <f>IF(K299="","",MIN(100,100*K299/Parametros!$B$8))</f>
        <v/>
      </c>
      <c r="V299" t="str">
        <f ca="1">IFERROR(((AVERAGEIFS(Documentacion!$C$2:$C$1000,Documentacion!$A$2:$A$1000,$A299,Documentacion!$B$2:$B$1000,"&gt;="&amp;DATEVALUE($B299&amp;"-01"),Documentacion!$B$2:$B$1000,"&lt;="&amp;EOMONTH(DATEVALUE($B299&amp;"-01"),0)))-1)/4*100,"")</f>
        <v/>
      </c>
      <c r="W299" t="str">
        <f ca="1">IFERROR(((AVERAGEIFS(Feedback_360!$D$2:$D$1000,Feedback_360!$A$2:$A$1000,$A299,Feedback_360!$B$2:$B$1000,"&gt;="&amp;DATEVALUE($B299&amp;"-01"),Feedback_360!$B$2:$B$1000,"&lt;="&amp;EOMONTH(DATEVALUE($B299&amp;"-01"),0)))-1)/4*100,"")</f>
        <v/>
      </c>
      <c r="X299" t="str">
        <f ca="1">IFERROR(((AVERAGEIFS(Observacion_Directa!$D$2:$D$1000,Observacion_Directa!$A$2:$A$1000,$A299,Observacion_Directa!$B$2:$B$1000,"&gt;="&amp;DATEVALUE($B299&amp;"-01"),Observacion_Directa!$B$2:$B$1000,"&lt;="&amp;EOMONTH(DATEVALUE($B299&amp;"-01"),0)))-1)/4*100,"")</f>
        <v/>
      </c>
      <c r="Y299" t="e">
        <f t="shared" ca="1" si="9"/>
        <v>#DIV/0!</v>
      </c>
    </row>
    <row r="300" spans="12:25" x14ac:dyDescent="0.2">
      <c r="L300" t="str">
        <f t="shared" si="8"/>
        <v/>
      </c>
      <c r="M300" t="str">
        <f>IFERROR(AVERAGEIFS(Prod_5dias!$H$2:$H$1000,Prod_5dias!$A$2:$A$1000,$A300,Prod_5dias!$B$2:$B$1000,$B300),"")</f>
        <v/>
      </c>
      <c r="N300" t="str">
        <f>IF(M300="","",MIN(100,100*M300/Parametros!$B$7))</f>
        <v/>
      </c>
      <c r="O300" t="str">
        <f>IF(F300="","",IF(F300=0,100,MIN(100,100*Parametros!$B$3/F300)))</f>
        <v/>
      </c>
      <c r="P300" t="str">
        <f ca="1">IFERROR(((AVERAGEIFS(Observacion_Directa!$E$2:$E$1000,Observacion_Directa!$A$2:$A$1000,$A300,Observacion_Directa!$B$2:$B$1000,"&gt;="&amp;DATEVALUE($B300&amp;"-01"),Observacion_Directa!$B$2:$B$1000,"&lt;="&amp;EOMONTH(DATEVALUE($B300&amp;"-01"),0)))-1)/4*100,"")</f>
        <v/>
      </c>
      <c r="Q300" t="str">
        <f>IF(H300="","",MIN(100,100*H300/Parametros!$B$4))</f>
        <v/>
      </c>
      <c r="R300" t="str">
        <f>IF(I300="","",IF(I300=0,100,MIN(100,100*Parametros!$B$5/I300)))</f>
        <v/>
      </c>
      <c r="S300" t="str">
        <f>IF(J300="","",IF(J300=0,100,MIN(100,100*Parametros!$B$6/J300)))</f>
        <v/>
      </c>
      <c r="T300" t="str">
        <f>IF(L300="","",MIN(100,100*L300/Parametros!$B$7))</f>
        <v/>
      </c>
      <c r="U300" t="str">
        <f>IF(K300="","",MIN(100,100*K300/Parametros!$B$8))</f>
        <v/>
      </c>
      <c r="V300" t="str">
        <f ca="1">IFERROR(((AVERAGEIFS(Documentacion!$C$2:$C$1000,Documentacion!$A$2:$A$1000,$A300,Documentacion!$B$2:$B$1000,"&gt;="&amp;DATEVALUE($B300&amp;"-01"),Documentacion!$B$2:$B$1000,"&lt;="&amp;EOMONTH(DATEVALUE($B300&amp;"-01"),0)))-1)/4*100,"")</f>
        <v/>
      </c>
      <c r="W300" t="str">
        <f ca="1">IFERROR(((AVERAGEIFS(Feedback_360!$D$2:$D$1000,Feedback_360!$A$2:$A$1000,$A300,Feedback_360!$B$2:$B$1000,"&gt;="&amp;DATEVALUE($B300&amp;"-01"),Feedback_360!$B$2:$B$1000,"&lt;="&amp;EOMONTH(DATEVALUE($B300&amp;"-01"),0)))-1)/4*100,"")</f>
        <v/>
      </c>
      <c r="X300" t="str">
        <f ca="1">IFERROR(((AVERAGEIFS(Observacion_Directa!$D$2:$D$1000,Observacion_Directa!$A$2:$A$1000,$A300,Observacion_Directa!$B$2:$B$1000,"&gt;="&amp;DATEVALUE($B300&amp;"-01"),Observacion_Directa!$B$2:$B$1000,"&lt;="&amp;EOMONTH(DATEVALUE($B300&amp;"-01"),0)))-1)/4*100,"")</f>
        <v/>
      </c>
      <c r="Y300" t="e">
        <f t="shared" ca="1" si="9"/>
        <v>#DIV/0!</v>
      </c>
    </row>
    <row r="301" spans="12:25" x14ac:dyDescent="0.2">
      <c r="L301" t="str">
        <f t="shared" si="8"/>
        <v/>
      </c>
      <c r="M301" t="str">
        <f>IFERROR(AVERAGEIFS(Prod_5dias!$H$2:$H$1000,Prod_5dias!$A$2:$A$1000,$A301,Prod_5dias!$B$2:$B$1000,$B301),"")</f>
        <v/>
      </c>
      <c r="N301" t="str">
        <f>IF(M301="","",MIN(100,100*M301/Parametros!$B$7))</f>
        <v/>
      </c>
      <c r="O301" t="str">
        <f>IF(F301="","",IF(F301=0,100,MIN(100,100*Parametros!$B$3/F301)))</f>
        <v/>
      </c>
      <c r="P301" t="str">
        <f ca="1">IFERROR(((AVERAGEIFS(Observacion_Directa!$E$2:$E$1000,Observacion_Directa!$A$2:$A$1000,$A301,Observacion_Directa!$B$2:$B$1000,"&gt;="&amp;DATEVALUE($B301&amp;"-01"),Observacion_Directa!$B$2:$B$1000,"&lt;="&amp;EOMONTH(DATEVALUE($B301&amp;"-01"),0)))-1)/4*100,"")</f>
        <v/>
      </c>
      <c r="Q301" t="str">
        <f>IF(H301="","",MIN(100,100*H301/Parametros!$B$4))</f>
        <v/>
      </c>
      <c r="R301" t="str">
        <f>IF(I301="","",IF(I301=0,100,MIN(100,100*Parametros!$B$5/I301)))</f>
        <v/>
      </c>
      <c r="S301" t="str">
        <f>IF(J301="","",IF(J301=0,100,MIN(100,100*Parametros!$B$6/J301)))</f>
        <v/>
      </c>
      <c r="T301" t="str">
        <f>IF(L301="","",MIN(100,100*L301/Parametros!$B$7))</f>
        <v/>
      </c>
      <c r="U301" t="str">
        <f>IF(K301="","",MIN(100,100*K301/Parametros!$B$8))</f>
        <v/>
      </c>
      <c r="V301" t="str">
        <f ca="1">IFERROR(((AVERAGEIFS(Documentacion!$C$2:$C$1000,Documentacion!$A$2:$A$1000,$A301,Documentacion!$B$2:$B$1000,"&gt;="&amp;DATEVALUE($B301&amp;"-01"),Documentacion!$B$2:$B$1000,"&lt;="&amp;EOMONTH(DATEVALUE($B301&amp;"-01"),0)))-1)/4*100,"")</f>
        <v/>
      </c>
      <c r="W301" t="str">
        <f ca="1">IFERROR(((AVERAGEIFS(Feedback_360!$D$2:$D$1000,Feedback_360!$A$2:$A$1000,$A301,Feedback_360!$B$2:$B$1000,"&gt;="&amp;DATEVALUE($B301&amp;"-01"),Feedback_360!$B$2:$B$1000,"&lt;="&amp;EOMONTH(DATEVALUE($B301&amp;"-01"),0)))-1)/4*100,"")</f>
        <v/>
      </c>
      <c r="X301" t="str">
        <f ca="1">IFERROR(((AVERAGEIFS(Observacion_Directa!$D$2:$D$1000,Observacion_Directa!$A$2:$A$1000,$A301,Observacion_Directa!$B$2:$B$1000,"&gt;="&amp;DATEVALUE($B301&amp;"-01"),Observacion_Directa!$B$2:$B$1000,"&lt;="&amp;EOMONTH(DATEVALUE($B301&amp;"-01"),0)))-1)/4*100,"")</f>
        <v/>
      </c>
      <c r="Y301" t="e">
        <f t="shared" ca="1" si="9"/>
        <v>#DIV/0!</v>
      </c>
    </row>
    <row r="302" spans="12:25" x14ac:dyDescent="0.2">
      <c r="L302" t="str">
        <f t="shared" si="8"/>
        <v/>
      </c>
      <c r="M302" t="str">
        <f>IFERROR(AVERAGEIFS(Prod_5dias!$H$2:$H$1000,Prod_5dias!$A$2:$A$1000,$A302,Prod_5dias!$B$2:$B$1000,$B302),"")</f>
        <v/>
      </c>
      <c r="N302" t="str">
        <f>IF(M302="","",MIN(100,100*M302/Parametros!$B$7))</f>
        <v/>
      </c>
      <c r="O302" t="str">
        <f>IF(F302="","",IF(F302=0,100,MIN(100,100*Parametros!$B$3/F302)))</f>
        <v/>
      </c>
      <c r="P302" t="str">
        <f ca="1">IFERROR(((AVERAGEIFS(Observacion_Directa!$E$2:$E$1000,Observacion_Directa!$A$2:$A$1000,$A302,Observacion_Directa!$B$2:$B$1000,"&gt;="&amp;DATEVALUE($B302&amp;"-01"),Observacion_Directa!$B$2:$B$1000,"&lt;="&amp;EOMONTH(DATEVALUE($B302&amp;"-01"),0)))-1)/4*100,"")</f>
        <v/>
      </c>
      <c r="Q302" t="str">
        <f>IF(H302="","",MIN(100,100*H302/Parametros!$B$4))</f>
        <v/>
      </c>
      <c r="R302" t="str">
        <f>IF(I302="","",IF(I302=0,100,MIN(100,100*Parametros!$B$5/I302)))</f>
        <v/>
      </c>
      <c r="S302" t="str">
        <f>IF(J302="","",IF(J302=0,100,MIN(100,100*Parametros!$B$6/J302)))</f>
        <v/>
      </c>
      <c r="T302" t="str">
        <f>IF(L302="","",MIN(100,100*L302/Parametros!$B$7))</f>
        <v/>
      </c>
      <c r="U302" t="str">
        <f>IF(K302="","",MIN(100,100*K302/Parametros!$B$8))</f>
        <v/>
      </c>
      <c r="V302" t="str">
        <f ca="1">IFERROR(((AVERAGEIFS(Documentacion!$C$2:$C$1000,Documentacion!$A$2:$A$1000,$A302,Documentacion!$B$2:$B$1000,"&gt;="&amp;DATEVALUE($B302&amp;"-01"),Documentacion!$B$2:$B$1000,"&lt;="&amp;EOMONTH(DATEVALUE($B302&amp;"-01"),0)))-1)/4*100,"")</f>
        <v/>
      </c>
      <c r="W302" t="str">
        <f ca="1">IFERROR(((AVERAGEIFS(Feedback_360!$D$2:$D$1000,Feedback_360!$A$2:$A$1000,$A302,Feedback_360!$B$2:$B$1000,"&gt;="&amp;DATEVALUE($B302&amp;"-01"),Feedback_360!$B$2:$B$1000,"&lt;="&amp;EOMONTH(DATEVALUE($B302&amp;"-01"),0)))-1)/4*100,"")</f>
        <v/>
      </c>
      <c r="X302" t="str">
        <f ca="1">IFERROR(((AVERAGEIFS(Observacion_Directa!$D$2:$D$1000,Observacion_Directa!$A$2:$A$1000,$A302,Observacion_Directa!$B$2:$B$1000,"&gt;="&amp;DATEVALUE($B302&amp;"-01"),Observacion_Directa!$B$2:$B$1000,"&lt;="&amp;EOMONTH(DATEVALUE($B302&amp;"-01"),0)))-1)/4*100,"")</f>
        <v/>
      </c>
      <c r="Y302" t="e">
        <f t="shared" ca="1" si="9"/>
        <v>#DIV/0!</v>
      </c>
    </row>
    <row r="303" spans="12:25" x14ac:dyDescent="0.2">
      <c r="L303" t="str">
        <f t="shared" si="8"/>
        <v/>
      </c>
      <c r="M303" t="str">
        <f>IFERROR(AVERAGEIFS(Prod_5dias!$H$2:$H$1000,Prod_5dias!$A$2:$A$1000,$A303,Prod_5dias!$B$2:$B$1000,$B303),"")</f>
        <v/>
      </c>
      <c r="N303" t="str">
        <f>IF(M303="","",MIN(100,100*M303/Parametros!$B$7))</f>
        <v/>
      </c>
      <c r="O303" t="str">
        <f>IF(F303="","",IF(F303=0,100,MIN(100,100*Parametros!$B$3/F303)))</f>
        <v/>
      </c>
      <c r="P303" t="str">
        <f ca="1">IFERROR(((AVERAGEIFS(Observacion_Directa!$E$2:$E$1000,Observacion_Directa!$A$2:$A$1000,$A303,Observacion_Directa!$B$2:$B$1000,"&gt;="&amp;DATEVALUE($B303&amp;"-01"),Observacion_Directa!$B$2:$B$1000,"&lt;="&amp;EOMONTH(DATEVALUE($B303&amp;"-01"),0)))-1)/4*100,"")</f>
        <v/>
      </c>
      <c r="Q303" t="str">
        <f>IF(H303="","",MIN(100,100*H303/Parametros!$B$4))</f>
        <v/>
      </c>
      <c r="R303" t="str">
        <f>IF(I303="","",IF(I303=0,100,MIN(100,100*Parametros!$B$5/I303)))</f>
        <v/>
      </c>
      <c r="S303" t="str">
        <f>IF(J303="","",IF(J303=0,100,MIN(100,100*Parametros!$B$6/J303)))</f>
        <v/>
      </c>
      <c r="T303" t="str">
        <f>IF(L303="","",MIN(100,100*L303/Parametros!$B$7))</f>
        <v/>
      </c>
      <c r="U303" t="str">
        <f>IF(K303="","",MIN(100,100*K303/Parametros!$B$8))</f>
        <v/>
      </c>
      <c r="V303" t="str">
        <f ca="1">IFERROR(((AVERAGEIFS(Documentacion!$C$2:$C$1000,Documentacion!$A$2:$A$1000,$A303,Documentacion!$B$2:$B$1000,"&gt;="&amp;DATEVALUE($B303&amp;"-01"),Documentacion!$B$2:$B$1000,"&lt;="&amp;EOMONTH(DATEVALUE($B303&amp;"-01"),0)))-1)/4*100,"")</f>
        <v/>
      </c>
      <c r="W303" t="str">
        <f ca="1">IFERROR(((AVERAGEIFS(Feedback_360!$D$2:$D$1000,Feedback_360!$A$2:$A$1000,$A303,Feedback_360!$B$2:$B$1000,"&gt;="&amp;DATEVALUE($B303&amp;"-01"),Feedback_360!$B$2:$B$1000,"&lt;="&amp;EOMONTH(DATEVALUE($B303&amp;"-01"),0)))-1)/4*100,"")</f>
        <v/>
      </c>
      <c r="X303" t="str">
        <f ca="1">IFERROR(((AVERAGEIFS(Observacion_Directa!$D$2:$D$1000,Observacion_Directa!$A$2:$A$1000,$A303,Observacion_Directa!$B$2:$B$1000,"&gt;="&amp;DATEVALUE($B303&amp;"-01"),Observacion_Directa!$B$2:$B$1000,"&lt;="&amp;EOMONTH(DATEVALUE($B303&amp;"-01"),0)))-1)/4*100,"")</f>
        <v/>
      </c>
      <c r="Y303" t="e">
        <f t="shared" ca="1" si="9"/>
        <v>#DIV/0!</v>
      </c>
    </row>
    <row r="304" spans="12:25" x14ac:dyDescent="0.2">
      <c r="L304" t="str">
        <f t="shared" si="8"/>
        <v/>
      </c>
      <c r="M304" t="str">
        <f>IFERROR(AVERAGEIFS(Prod_5dias!$H$2:$H$1000,Prod_5dias!$A$2:$A$1000,$A304,Prod_5dias!$B$2:$B$1000,$B304),"")</f>
        <v/>
      </c>
      <c r="N304" t="str">
        <f>IF(M304="","",MIN(100,100*M304/Parametros!$B$7))</f>
        <v/>
      </c>
      <c r="O304" t="str">
        <f>IF(F304="","",IF(F304=0,100,MIN(100,100*Parametros!$B$3/F304)))</f>
        <v/>
      </c>
      <c r="P304" t="str">
        <f ca="1">IFERROR(((AVERAGEIFS(Observacion_Directa!$E$2:$E$1000,Observacion_Directa!$A$2:$A$1000,$A304,Observacion_Directa!$B$2:$B$1000,"&gt;="&amp;DATEVALUE($B304&amp;"-01"),Observacion_Directa!$B$2:$B$1000,"&lt;="&amp;EOMONTH(DATEVALUE($B304&amp;"-01"),0)))-1)/4*100,"")</f>
        <v/>
      </c>
      <c r="Q304" t="str">
        <f>IF(H304="","",MIN(100,100*H304/Parametros!$B$4))</f>
        <v/>
      </c>
      <c r="R304" t="str">
        <f>IF(I304="","",IF(I304=0,100,MIN(100,100*Parametros!$B$5/I304)))</f>
        <v/>
      </c>
      <c r="S304" t="str">
        <f>IF(J304="","",IF(J304=0,100,MIN(100,100*Parametros!$B$6/J304)))</f>
        <v/>
      </c>
      <c r="T304" t="str">
        <f>IF(L304="","",MIN(100,100*L304/Parametros!$B$7))</f>
        <v/>
      </c>
      <c r="U304" t="str">
        <f>IF(K304="","",MIN(100,100*K304/Parametros!$B$8))</f>
        <v/>
      </c>
      <c r="V304" t="str">
        <f ca="1">IFERROR(((AVERAGEIFS(Documentacion!$C$2:$C$1000,Documentacion!$A$2:$A$1000,$A304,Documentacion!$B$2:$B$1000,"&gt;="&amp;DATEVALUE($B304&amp;"-01"),Documentacion!$B$2:$B$1000,"&lt;="&amp;EOMONTH(DATEVALUE($B304&amp;"-01"),0)))-1)/4*100,"")</f>
        <v/>
      </c>
      <c r="W304" t="str">
        <f ca="1">IFERROR(((AVERAGEIFS(Feedback_360!$D$2:$D$1000,Feedback_360!$A$2:$A$1000,$A304,Feedback_360!$B$2:$B$1000,"&gt;="&amp;DATEVALUE($B304&amp;"-01"),Feedback_360!$B$2:$B$1000,"&lt;="&amp;EOMONTH(DATEVALUE($B304&amp;"-01"),0)))-1)/4*100,"")</f>
        <v/>
      </c>
      <c r="X304" t="str">
        <f ca="1">IFERROR(((AVERAGEIFS(Observacion_Directa!$D$2:$D$1000,Observacion_Directa!$A$2:$A$1000,$A304,Observacion_Directa!$B$2:$B$1000,"&gt;="&amp;DATEVALUE($B304&amp;"-01"),Observacion_Directa!$B$2:$B$1000,"&lt;="&amp;EOMONTH(DATEVALUE($B304&amp;"-01"),0)))-1)/4*100,"")</f>
        <v/>
      </c>
      <c r="Y304" t="e">
        <f t="shared" ca="1" si="9"/>
        <v>#DIV/0!</v>
      </c>
    </row>
    <row r="305" spans="12:25" x14ac:dyDescent="0.2">
      <c r="L305" t="str">
        <f t="shared" si="8"/>
        <v/>
      </c>
      <c r="M305" t="str">
        <f>IFERROR(AVERAGEIFS(Prod_5dias!$H$2:$H$1000,Prod_5dias!$A$2:$A$1000,$A305,Prod_5dias!$B$2:$B$1000,$B305),"")</f>
        <v/>
      </c>
      <c r="N305" t="str">
        <f>IF(M305="","",MIN(100,100*M305/Parametros!$B$7))</f>
        <v/>
      </c>
      <c r="O305" t="str">
        <f>IF(F305="","",IF(F305=0,100,MIN(100,100*Parametros!$B$3/F305)))</f>
        <v/>
      </c>
      <c r="P305" t="str">
        <f ca="1">IFERROR(((AVERAGEIFS(Observacion_Directa!$E$2:$E$1000,Observacion_Directa!$A$2:$A$1000,$A305,Observacion_Directa!$B$2:$B$1000,"&gt;="&amp;DATEVALUE($B305&amp;"-01"),Observacion_Directa!$B$2:$B$1000,"&lt;="&amp;EOMONTH(DATEVALUE($B305&amp;"-01"),0)))-1)/4*100,"")</f>
        <v/>
      </c>
      <c r="Q305" t="str">
        <f>IF(H305="","",MIN(100,100*H305/Parametros!$B$4))</f>
        <v/>
      </c>
      <c r="R305" t="str">
        <f>IF(I305="","",IF(I305=0,100,MIN(100,100*Parametros!$B$5/I305)))</f>
        <v/>
      </c>
      <c r="S305" t="str">
        <f>IF(J305="","",IF(J305=0,100,MIN(100,100*Parametros!$B$6/J305)))</f>
        <v/>
      </c>
      <c r="T305" t="str">
        <f>IF(L305="","",MIN(100,100*L305/Parametros!$B$7))</f>
        <v/>
      </c>
      <c r="U305" t="str">
        <f>IF(K305="","",MIN(100,100*K305/Parametros!$B$8))</f>
        <v/>
      </c>
      <c r="V305" t="str">
        <f ca="1">IFERROR(((AVERAGEIFS(Documentacion!$C$2:$C$1000,Documentacion!$A$2:$A$1000,$A305,Documentacion!$B$2:$B$1000,"&gt;="&amp;DATEVALUE($B305&amp;"-01"),Documentacion!$B$2:$B$1000,"&lt;="&amp;EOMONTH(DATEVALUE($B305&amp;"-01"),0)))-1)/4*100,"")</f>
        <v/>
      </c>
      <c r="W305" t="str">
        <f ca="1">IFERROR(((AVERAGEIFS(Feedback_360!$D$2:$D$1000,Feedback_360!$A$2:$A$1000,$A305,Feedback_360!$B$2:$B$1000,"&gt;="&amp;DATEVALUE($B305&amp;"-01"),Feedback_360!$B$2:$B$1000,"&lt;="&amp;EOMONTH(DATEVALUE($B305&amp;"-01"),0)))-1)/4*100,"")</f>
        <v/>
      </c>
      <c r="X305" t="str">
        <f ca="1">IFERROR(((AVERAGEIFS(Observacion_Directa!$D$2:$D$1000,Observacion_Directa!$A$2:$A$1000,$A305,Observacion_Directa!$B$2:$B$1000,"&gt;="&amp;DATEVALUE($B305&amp;"-01"),Observacion_Directa!$B$2:$B$1000,"&lt;="&amp;EOMONTH(DATEVALUE($B305&amp;"-01"),0)))-1)/4*100,"")</f>
        <v/>
      </c>
      <c r="Y305" t="e">
        <f t="shared" ca="1" si="9"/>
        <v>#DIV/0!</v>
      </c>
    </row>
    <row r="306" spans="12:25" x14ac:dyDescent="0.2">
      <c r="L306" t="str">
        <f t="shared" si="8"/>
        <v/>
      </c>
      <c r="M306" t="str">
        <f>IFERROR(AVERAGEIFS(Prod_5dias!$H$2:$H$1000,Prod_5dias!$A$2:$A$1000,$A306,Prod_5dias!$B$2:$B$1000,$B306),"")</f>
        <v/>
      </c>
      <c r="N306" t="str">
        <f>IF(M306="","",MIN(100,100*M306/Parametros!$B$7))</f>
        <v/>
      </c>
      <c r="O306" t="str">
        <f>IF(F306="","",IF(F306=0,100,MIN(100,100*Parametros!$B$3/F306)))</f>
        <v/>
      </c>
      <c r="P306" t="str">
        <f ca="1">IFERROR(((AVERAGEIFS(Observacion_Directa!$E$2:$E$1000,Observacion_Directa!$A$2:$A$1000,$A306,Observacion_Directa!$B$2:$B$1000,"&gt;="&amp;DATEVALUE($B306&amp;"-01"),Observacion_Directa!$B$2:$B$1000,"&lt;="&amp;EOMONTH(DATEVALUE($B306&amp;"-01"),0)))-1)/4*100,"")</f>
        <v/>
      </c>
      <c r="Q306" t="str">
        <f>IF(H306="","",MIN(100,100*H306/Parametros!$B$4))</f>
        <v/>
      </c>
      <c r="R306" t="str">
        <f>IF(I306="","",IF(I306=0,100,MIN(100,100*Parametros!$B$5/I306)))</f>
        <v/>
      </c>
      <c r="S306" t="str">
        <f>IF(J306="","",IF(J306=0,100,MIN(100,100*Parametros!$B$6/J306)))</f>
        <v/>
      </c>
      <c r="T306" t="str">
        <f>IF(L306="","",MIN(100,100*L306/Parametros!$B$7))</f>
        <v/>
      </c>
      <c r="U306" t="str">
        <f>IF(K306="","",MIN(100,100*K306/Parametros!$B$8))</f>
        <v/>
      </c>
      <c r="V306" t="str">
        <f ca="1">IFERROR(((AVERAGEIFS(Documentacion!$C$2:$C$1000,Documentacion!$A$2:$A$1000,$A306,Documentacion!$B$2:$B$1000,"&gt;="&amp;DATEVALUE($B306&amp;"-01"),Documentacion!$B$2:$B$1000,"&lt;="&amp;EOMONTH(DATEVALUE($B306&amp;"-01"),0)))-1)/4*100,"")</f>
        <v/>
      </c>
      <c r="W306" t="str">
        <f ca="1">IFERROR(((AVERAGEIFS(Feedback_360!$D$2:$D$1000,Feedback_360!$A$2:$A$1000,$A306,Feedback_360!$B$2:$B$1000,"&gt;="&amp;DATEVALUE($B306&amp;"-01"),Feedback_360!$B$2:$B$1000,"&lt;="&amp;EOMONTH(DATEVALUE($B306&amp;"-01"),0)))-1)/4*100,"")</f>
        <v/>
      </c>
      <c r="X306" t="str">
        <f ca="1">IFERROR(((AVERAGEIFS(Observacion_Directa!$D$2:$D$1000,Observacion_Directa!$A$2:$A$1000,$A306,Observacion_Directa!$B$2:$B$1000,"&gt;="&amp;DATEVALUE($B306&amp;"-01"),Observacion_Directa!$B$2:$B$1000,"&lt;="&amp;EOMONTH(DATEVALUE($B306&amp;"-01"),0)))-1)/4*100,"")</f>
        <v/>
      </c>
      <c r="Y306" t="e">
        <f t="shared" ca="1" si="9"/>
        <v>#DIV/0!</v>
      </c>
    </row>
    <row r="307" spans="12:25" x14ac:dyDescent="0.2">
      <c r="L307" t="str">
        <f t="shared" si="8"/>
        <v/>
      </c>
      <c r="M307" t="str">
        <f>IFERROR(AVERAGEIFS(Prod_5dias!$H$2:$H$1000,Prod_5dias!$A$2:$A$1000,$A307,Prod_5dias!$B$2:$B$1000,$B307),"")</f>
        <v/>
      </c>
      <c r="N307" t="str">
        <f>IF(M307="","",MIN(100,100*M307/Parametros!$B$7))</f>
        <v/>
      </c>
      <c r="O307" t="str">
        <f>IF(F307="","",IF(F307=0,100,MIN(100,100*Parametros!$B$3/F307)))</f>
        <v/>
      </c>
      <c r="P307" t="str">
        <f ca="1">IFERROR(((AVERAGEIFS(Observacion_Directa!$E$2:$E$1000,Observacion_Directa!$A$2:$A$1000,$A307,Observacion_Directa!$B$2:$B$1000,"&gt;="&amp;DATEVALUE($B307&amp;"-01"),Observacion_Directa!$B$2:$B$1000,"&lt;="&amp;EOMONTH(DATEVALUE($B307&amp;"-01"),0)))-1)/4*100,"")</f>
        <v/>
      </c>
      <c r="Q307" t="str">
        <f>IF(H307="","",MIN(100,100*H307/Parametros!$B$4))</f>
        <v/>
      </c>
      <c r="R307" t="str">
        <f>IF(I307="","",IF(I307=0,100,MIN(100,100*Parametros!$B$5/I307)))</f>
        <v/>
      </c>
      <c r="S307" t="str">
        <f>IF(J307="","",IF(J307=0,100,MIN(100,100*Parametros!$B$6/J307)))</f>
        <v/>
      </c>
      <c r="T307" t="str">
        <f>IF(L307="","",MIN(100,100*L307/Parametros!$B$7))</f>
        <v/>
      </c>
      <c r="U307" t="str">
        <f>IF(K307="","",MIN(100,100*K307/Parametros!$B$8))</f>
        <v/>
      </c>
      <c r="V307" t="str">
        <f ca="1">IFERROR(((AVERAGEIFS(Documentacion!$C$2:$C$1000,Documentacion!$A$2:$A$1000,$A307,Documentacion!$B$2:$B$1000,"&gt;="&amp;DATEVALUE($B307&amp;"-01"),Documentacion!$B$2:$B$1000,"&lt;="&amp;EOMONTH(DATEVALUE($B307&amp;"-01"),0)))-1)/4*100,"")</f>
        <v/>
      </c>
      <c r="W307" t="str">
        <f ca="1">IFERROR(((AVERAGEIFS(Feedback_360!$D$2:$D$1000,Feedback_360!$A$2:$A$1000,$A307,Feedback_360!$B$2:$B$1000,"&gt;="&amp;DATEVALUE($B307&amp;"-01"),Feedback_360!$B$2:$B$1000,"&lt;="&amp;EOMONTH(DATEVALUE($B307&amp;"-01"),0)))-1)/4*100,"")</f>
        <v/>
      </c>
      <c r="X307" t="str">
        <f ca="1">IFERROR(((AVERAGEIFS(Observacion_Directa!$D$2:$D$1000,Observacion_Directa!$A$2:$A$1000,$A307,Observacion_Directa!$B$2:$B$1000,"&gt;="&amp;DATEVALUE($B307&amp;"-01"),Observacion_Directa!$B$2:$B$1000,"&lt;="&amp;EOMONTH(DATEVALUE($B307&amp;"-01"),0)))-1)/4*100,"")</f>
        <v/>
      </c>
      <c r="Y307" t="e">
        <f t="shared" ca="1" si="9"/>
        <v>#DIV/0!</v>
      </c>
    </row>
    <row r="308" spans="12:25" x14ac:dyDescent="0.2">
      <c r="L308" t="str">
        <f t="shared" si="8"/>
        <v/>
      </c>
      <c r="M308" t="str">
        <f>IFERROR(AVERAGEIFS(Prod_5dias!$H$2:$H$1000,Prod_5dias!$A$2:$A$1000,$A308,Prod_5dias!$B$2:$B$1000,$B308),"")</f>
        <v/>
      </c>
      <c r="N308" t="str">
        <f>IF(M308="","",MIN(100,100*M308/Parametros!$B$7))</f>
        <v/>
      </c>
      <c r="O308" t="str">
        <f>IF(F308="","",IF(F308=0,100,MIN(100,100*Parametros!$B$3/F308)))</f>
        <v/>
      </c>
      <c r="P308" t="str">
        <f ca="1">IFERROR(((AVERAGEIFS(Observacion_Directa!$E$2:$E$1000,Observacion_Directa!$A$2:$A$1000,$A308,Observacion_Directa!$B$2:$B$1000,"&gt;="&amp;DATEVALUE($B308&amp;"-01"),Observacion_Directa!$B$2:$B$1000,"&lt;="&amp;EOMONTH(DATEVALUE($B308&amp;"-01"),0)))-1)/4*100,"")</f>
        <v/>
      </c>
      <c r="Q308" t="str">
        <f>IF(H308="","",MIN(100,100*H308/Parametros!$B$4))</f>
        <v/>
      </c>
      <c r="R308" t="str">
        <f>IF(I308="","",IF(I308=0,100,MIN(100,100*Parametros!$B$5/I308)))</f>
        <v/>
      </c>
      <c r="S308" t="str">
        <f>IF(J308="","",IF(J308=0,100,MIN(100,100*Parametros!$B$6/J308)))</f>
        <v/>
      </c>
      <c r="T308" t="str">
        <f>IF(L308="","",MIN(100,100*L308/Parametros!$B$7))</f>
        <v/>
      </c>
      <c r="U308" t="str">
        <f>IF(K308="","",MIN(100,100*K308/Parametros!$B$8))</f>
        <v/>
      </c>
      <c r="V308" t="str">
        <f ca="1">IFERROR(((AVERAGEIFS(Documentacion!$C$2:$C$1000,Documentacion!$A$2:$A$1000,$A308,Documentacion!$B$2:$B$1000,"&gt;="&amp;DATEVALUE($B308&amp;"-01"),Documentacion!$B$2:$B$1000,"&lt;="&amp;EOMONTH(DATEVALUE($B308&amp;"-01"),0)))-1)/4*100,"")</f>
        <v/>
      </c>
      <c r="W308" t="str">
        <f ca="1">IFERROR(((AVERAGEIFS(Feedback_360!$D$2:$D$1000,Feedback_360!$A$2:$A$1000,$A308,Feedback_360!$B$2:$B$1000,"&gt;="&amp;DATEVALUE($B308&amp;"-01"),Feedback_360!$B$2:$B$1000,"&lt;="&amp;EOMONTH(DATEVALUE($B308&amp;"-01"),0)))-1)/4*100,"")</f>
        <v/>
      </c>
      <c r="X308" t="str">
        <f ca="1">IFERROR(((AVERAGEIFS(Observacion_Directa!$D$2:$D$1000,Observacion_Directa!$A$2:$A$1000,$A308,Observacion_Directa!$B$2:$B$1000,"&gt;="&amp;DATEVALUE($B308&amp;"-01"),Observacion_Directa!$B$2:$B$1000,"&lt;="&amp;EOMONTH(DATEVALUE($B308&amp;"-01"),0)))-1)/4*100,"")</f>
        <v/>
      </c>
      <c r="Y308" t="e">
        <f t="shared" ca="1" si="9"/>
        <v>#DIV/0!</v>
      </c>
    </row>
    <row r="309" spans="12:25" x14ac:dyDescent="0.2">
      <c r="L309" t="str">
        <f t="shared" si="8"/>
        <v/>
      </c>
      <c r="M309" t="str">
        <f>IFERROR(AVERAGEIFS(Prod_5dias!$H$2:$H$1000,Prod_5dias!$A$2:$A$1000,$A309,Prod_5dias!$B$2:$B$1000,$B309),"")</f>
        <v/>
      </c>
      <c r="N309" t="str">
        <f>IF(M309="","",MIN(100,100*M309/Parametros!$B$7))</f>
        <v/>
      </c>
      <c r="O309" t="str">
        <f>IF(F309="","",IF(F309=0,100,MIN(100,100*Parametros!$B$3/F309)))</f>
        <v/>
      </c>
      <c r="P309" t="str">
        <f ca="1">IFERROR(((AVERAGEIFS(Observacion_Directa!$E$2:$E$1000,Observacion_Directa!$A$2:$A$1000,$A309,Observacion_Directa!$B$2:$B$1000,"&gt;="&amp;DATEVALUE($B309&amp;"-01"),Observacion_Directa!$B$2:$B$1000,"&lt;="&amp;EOMONTH(DATEVALUE($B309&amp;"-01"),0)))-1)/4*100,"")</f>
        <v/>
      </c>
      <c r="Q309" t="str">
        <f>IF(H309="","",MIN(100,100*H309/Parametros!$B$4))</f>
        <v/>
      </c>
      <c r="R309" t="str">
        <f>IF(I309="","",IF(I309=0,100,MIN(100,100*Parametros!$B$5/I309)))</f>
        <v/>
      </c>
      <c r="S309" t="str">
        <f>IF(J309="","",IF(J309=0,100,MIN(100,100*Parametros!$B$6/J309)))</f>
        <v/>
      </c>
      <c r="T309" t="str">
        <f>IF(L309="","",MIN(100,100*L309/Parametros!$B$7))</f>
        <v/>
      </c>
      <c r="U309" t="str">
        <f>IF(K309="","",MIN(100,100*K309/Parametros!$B$8))</f>
        <v/>
      </c>
      <c r="V309" t="str">
        <f ca="1">IFERROR(((AVERAGEIFS(Documentacion!$C$2:$C$1000,Documentacion!$A$2:$A$1000,$A309,Documentacion!$B$2:$B$1000,"&gt;="&amp;DATEVALUE($B309&amp;"-01"),Documentacion!$B$2:$B$1000,"&lt;="&amp;EOMONTH(DATEVALUE($B309&amp;"-01"),0)))-1)/4*100,"")</f>
        <v/>
      </c>
      <c r="W309" t="str">
        <f ca="1">IFERROR(((AVERAGEIFS(Feedback_360!$D$2:$D$1000,Feedback_360!$A$2:$A$1000,$A309,Feedback_360!$B$2:$B$1000,"&gt;="&amp;DATEVALUE($B309&amp;"-01"),Feedback_360!$B$2:$B$1000,"&lt;="&amp;EOMONTH(DATEVALUE($B309&amp;"-01"),0)))-1)/4*100,"")</f>
        <v/>
      </c>
      <c r="X309" t="str">
        <f ca="1">IFERROR(((AVERAGEIFS(Observacion_Directa!$D$2:$D$1000,Observacion_Directa!$A$2:$A$1000,$A309,Observacion_Directa!$B$2:$B$1000,"&gt;="&amp;DATEVALUE($B309&amp;"-01"),Observacion_Directa!$B$2:$B$1000,"&lt;="&amp;EOMONTH(DATEVALUE($B309&amp;"-01"),0)))-1)/4*100,"")</f>
        <v/>
      </c>
      <c r="Y309" t="e">
        <f t="shared" ca="1" si="9"/>
        <v>#DIV/0!</v>
      </c>
    </row>
    <row r="310" spans="12:25" x14ac:dyDescent="0.2">
      <c r="L310" t="str">
        <f t="shared" si="8"/>
        <v/>
      </c>
      <c r="M310" t="str">
        <f>IFERROR(AVERAGEIFS(Prod_5dias!$H$2:$H$1000,Prod_5dias!$A$2:$A$1000,$A310,Prod_5dias!$B$2:$B$1000,$B310),"")</f>
        <v/>
      </c>
      <c r="N310" t="str">
        <f>IF(M310="","",MIN(100,100*M310/Parametros!$B$7))</f>
        <v/>
      </c>
      <c r="O310" t="str">
        <f>IF(F310="","",IF(F310=0,100,MIN(100,100*Parametros!$B$3/F310)))</f>
        <v/>
      </c>
      <c r="P310" t="str">
        <f ca="1">IFERROR(((AVERAGEIFS(Observacion_Directa!$E$2:$E$1000,Observacion_Directa!$A$2:$A$1000,$A310,Observacion_Directa!$B$2:$B$1000,"&gt;="&amp;DATEVALUE($B310&amp;"-01"),Observacion_Directa!$B$2:$B$1000,"&lt;="&amp;EOMONTH(DATEVALUE($B310&amp;"-01"),0)))-1)/4*100,"")</f>
        <v/>
      </c>
      <c r="Q310" t="str">
        <f>IF(H310="","",MIN(100,100*H310/Parametros!$B$4))</f>
        <v/>
      </c>
      <c r="R310" t="str">
        <f>IF(I310="","",IF(I310=0,100,MIN(100,100*Parametros!$B$5/I310)))</f>
        <v/>
      </c>
      <c r="S310" t="str">
        <f>IF(J310="","",IF(J310=0,100,MIN(100,100*Parametros!$B$6/J310)))</f>
        <v/>
      </c>
      <c r="T310" t="str">
        <f>IF(L310="","",MIN(100,100*L310/Parametros!$B$7))</f>
        <v/>
      </c>
      <c r="U310" t="str">
        <f>IF(K310="","",MIN(100,100*K310/Parametros!$B$8))</f>
        <v/>
      </c>
      <c r="V310" t="str">
        <f ca="1">IFERROR(((AVERAGEIFS(Documentacion!$C$2:$C$1000,Documentacion!$A$2:$A$1000,$A310,Documentacion!$B$2:$B$1000,"&gt;="&amp;DATEVALUE($B310&amp;"-01"),Documentacion!$B$2:$B$1000,"&lt;="&amp;EOMONTH(DATEVALUE($B310&amp;"-01"),0)))-1)/4*100,"")</f>
        <v/>
      </c>
      <c r="W310" t="str">
        <f ca="1">IFERROR(((AVERAGEIFS(Feedback_360!$D$2:$D$1000,Feedback_360!$A$2:$A$1000,$A310,Feedback_360!$B$2:$B$1000,"&gt;="&amp;DATEVALUE($B310&amp;"-01"),Feedback_360!$B$2:$B$1000,"&lt;="&amp;EOMONTH(DATEVALUE($B310&amp;"-01"),0)))-1)/4*100,"")</f>
        <v/>
      </c>
      <c r="X310" t="str">
        <f ca="1">IFERROR(((AVERAGEIFS(Observacion_Directa!$D$2:$D$1000,Observacion_Directa!$A$2:$A$1000,$A310,Observacion_Directa!$B$2:$B$1000,"&gt;="&amp;DATEVALUE($B310&amp;"-01"),Observacion_Directa!$B$2:$B$1000,"&lt;="&amp;EOMONTH(DATEVALUE($B310&amp;"-01"),0)))-1)/4*100,"")</f>
        <v/>
      </c>
      <c r="Y310" t="e">
        <f t="shared" ca="1" si="9"/>
        <v>#DIV/0!</v>
      </c>
    </row>
    <row r="311" spans="12:25" x14ac:dyDescent="0.2">
      <c r="L311" t="str">
        <f t="shared" si="8"/>
        <v/>
      </c>
      <c r="M311" t="str">
        <f>IFERROR(AVERAGEIFS(Prod_5dias!$H$2:$H$1000,Prod_5dias!$A$2:$A$1000,$A311,Prod_5dias!$B$2:$B$1000,$B311),"")</f>
        <v/>
      </c>
      <c r="N311" t="str">
        <f>IF(M311="","",MIN(100,100*M311/Parametros!$B$7))</f>
        <v/>
      </c>
      <c r="O311" t="str">
        <f>IF(F311="","",IF(F311=0,100,MIN(100,100*Parametros!$B$3/F311)))</f>
        <v/>
      </c>
      <c r="P311" t="str">
        <f ca="1">IFERROR(((AVERAGEIFS(Observacion_Directa!$E$2:$E$1000,Observacion_Directa!$A$2:$A$1000,$A311,Observacion_Directa!$B$2:$B$1000,"&gt;="&amp;DATEVALUE($B311&amp;"-01"),Observacion_Directa!$B$2:$B$1000,"&lt;="&amp;EOMONTH(DATEVALUE($B311&amp;"-01"),0)))-1)/4*100,"")</f>
        <v/>
      </c>
      <c r="Q311" t="str">
        <f>IF(H311="","",MIN(100,100*H311/Parametros!$B$4))</f>
        <v/>
      </c>
      <c r="R311" t="str">
        <f>IF(I311="","",IF(I311=0,100,MIN(100,100*Parametros!$B$5/I311)))</f>
        <v/>
      </c>
      <c r="S311" t="str">
        <f>IF(J311="","",IF(J311=0,100,MIN(100,100*Parametros!$B$6/J311)))</f>
        <v/>
      </c>
      <c r="T311" t="str">
        <f>IF(L311="","",MIN(100,100*L311/Parametros!$B$7))</f>
        <v/>
      </c>
      <c r="U311" t="str">
        <f>IF(K311="","",MIN(100,100*K311/Parametros!$B$8))</f>
        <v/>
      </c>
      <c r="V311" t="str">
        <f ca="1">IFERROR(((AVERAGEIFS(Documentacion!$C$2:$C$1000,Documentacion!$A$2:$A$1000,$A311,Documentacion!$B$2:$B$1000,"&gt;="&amp;DATEVALUE($B311&amp;"-01"),Documentacion!$B$2:$B$1000,"&lt;="&amp;EOMONTH(DATEVALUE($B311&amp;"-01"),0)))-1)/4*100,"")</f>
        <v/>
      </c>
      <c r="W311" t="str">
        <f ca="1">IFERROR(((AVERAGEIFS(Feedback_360!$D$2:$D$1000,Feedback_360!$A$2:$A$1000,$A311,Feedback_360!$B$2:$B$1000,"&gt;="&amp;DATEVALUE($B311&amp;"-01"),Feedback_360!$B$2:$B$1000,"&lt;="&amp;EOMONTH(DATEVALUE($B311&amp;"-01"),0)))-1)/4*100,"")</f>
        <v/>
      </c>
      <c r="X311" t="str">
        <f ca="1">IFERROR(((AVERAGEIFS(Observacion_Directa!$D$2:$D$1000,Observacion_Directa!$A$2:$A$1000,$A311,Observacion_Directa!$B$2:$B$1000,"&gt;="&amp;DATEVALUE($B311&amp;"-01"),Observacion_Directa!$B$2:$B$1000,"&lt;="&amp;EOMONTH(DATEVALUE($B311&amp;"-01"),0)))-1)/4*100,"")</f>
        <v/>
      </c>
      <c r="Y311" t="e">
        <f t="shared" ca="1" si="9"/>
        <v>#DIV/0!</v>
      </c>
    </row>
    <row r="312" spans="12:25" x14ac:dyDescent="0.2">
      <c r="L312" t="str">
        <f t="shared" si="8"/>
        <v/>
      </c>
      <c r="M312" t="str">
        <f>IFERROR(AVERAGEIFS(Prod_5dias!$H$2:$H$1000,Prod_5dias!$A$2:$A$1000,$A312,Prod_5dias!$B$2:$B$1000,$B312),"")</f>
        <v/>
      </c>
      <c r="N312" t="str">
        <f>IF(M312="","",MIN(100,100*M312/Parametros!$B$7))</f>
        <v/>
      </c>
      <c r="O312" t="str">
        <f>IF(F312="","",IF(F312=0,100,MIN(100,100*Parametros!$B$3/F312)))</f>
        <v/>
      </c>
      <c r="P312" t="str">
        <f ca="1">IFERROR(((AVERAGEIFS(Observacion_Directa!$E$2:$E$1000,Observacion_Directa!$A$2:$A$1000,$A312,Observacion_Directa!$B$2:$B$1000,"&gt;="&amp;DATEVALUE($B312&amp;"-01"),Observacion_Directa!$B$2:$B$1000,"&lt;="&amp;EOMONTH(DATEVALUE($B312&amp;"-01"),0)))-1)/4*100,"")</f>
        <v/>
      </c>
      <c r="Q312" t="str">
        <f>IF(H312="","",MIN(100,100*H312/Parametros!$B$4))</f>
        <v/>
      </c>
      <c r="R312" t="str">
        <f>IF(I312="","",IF(I312=0,100,MIN(100,100*Parametros!$B$5/I312)))</f>
        <v/>
      </c>
      <c r="S312" t="str">
        <f>IF(J312="","",IF(J312=0,100,MIN(100,100*Parametros!$B$6/J312)))</f>
        <v/>
      </c>
      <c r="T312" t="str">
        <f>IF(L312="","",MIN(100,100*L312/Parametros!$B$7))</f>
        <v/>
      </c>
      <c r="U312" t="str">
        <f>IF(K312="","",MIN(100,100*K312/Parametros!$B$8))</f>
        <v/>
      </c>
      <c r="V312" t="str">
        <f ca="1">IFERROR(((AVERAGEIFS(Documentacion!$C$2:$C$1000,Documentacion!$A$2:$A$1000,$A312,Documentacion!$B$2:$B$1000,"&gt;="&amp;DATEVALUE($B312&amp;"-01"),Documentacion!$B$2:$B$1000,"&lt;="&amp;EOMONTH(DATEVALUE($B312&amp;"-01"),0)))-1)/4*100,"")</f>
        <v/>
      </c>
      <c r="W312" t="str">
        <f ca="1">IFERROR(((AVERAGEIFS(Feedback_360!$D$2:$D$1000,Feedback_360!$A$2:$A$1000,$A312,Feedback_360!$B$2:$B$1000,"&gt;="&amp;DATEVALUE($B312&amp;"-01"),Feedback_360!$B$2:$B$1000,"&lt;="&amp;EOMONTH(DATEVALUE($B312&amp;"-01"),0)))-1)/4*100,"")</f>
        <v/>
      </c>
      <c r="X312" t="str">
        <f ca="1">IFERROR(((AVERAGEIFS(Observacion_Directa!$D$2:$D$1000,Observacion_Directa!$A$2:$A$1000,$A312,Observacion_Directa!$B$2:$B$1000,"&gt;="&amp;DATEVALUE($B312&amp;"-01"),Observacion_Directa!$B$2:$B$1000,"&lt;="&amp;EOMONTH(DATEVALUE($B312&amp;"-01"),0)))-1)/4*100,"")</f>
        <v/>
      </c>
      <c r="Y312" t="e">
        <f t="shared" ca="1" si="9"/>
        <v>#DIV/0!</v>
      </c>
    </row>
    <row r="313" spans="12:25" x14ac:dyDescent="0.2">
      <c r="L313" t="str">
        <f t="shared" si="8"/>
        <v/>
      </c>
      <c r="M313" t="str">
        <f>IFERROR(AVERAGEIFS(Prod_5dias!$H$2:$H$1000,Prod_5dias!$A$2:$A$1000,$A313,Prod_5dias!$B$2:$B$1000,$B313),"")</f>
        <v/>
      </c>
      <c r="N313" t="str">
        <f>IF(M313="","",MIN(100,100*M313/Parametros!$B$7))</f>
        <v/>
      </c>
      <c r="O313" t="str">
        <f>IF(F313="","",IF(F313=0,100,MIN(100,100*Parametros!$B$3/F313)))</f>
        <v/>
      </c>
      <c r="P313" t="str">
        <f ca="1">IFERROR(((AVERAGEIFS(Observacion_Directa!$E$2:$E$1000,Observacion_Directa!$A$2:$A$1000,$A313,Observacion_Directa!$B$2:$B$1000,"&gt;="&amp;DATEVALUE($B313&amp;"-01"),Observacion_Directa!$B$2:$B$1000,"&lt;="&amp;EOMONTH(DATEVALUE($B313&amp;"-01"),0)))-1)/4*100,"")</f>
        <v/>
      </c>
      <c r="Q313" t="str">
        <f>IF(H313="","",MIN(100,100*H313/Parametros!$B$4))</f>
        <v/>
      </c>
      <c r="R313" t="str">
        <f>IF(I313="","",IF(I313=0,100,MIN(100,100*Parametros!$B$5/I313)))</f>
        <v/>
      </c>
      <c r="S313" t="str">
        <f>IF(J313="","",IF(J313=0,100,MIN(100,100*Parametros!$B$6/J313)))</f>
        <v/>
      </c>
      <c r="T313" t="str">
        <f>IF(L313="","",MIN(100,100*L313/Parametros!$B$7))</f>
        <v/>
      </c>
      <c r="U313" t="str">
        <f>IF(K313="","",MIN(100,100*K313/Parametros!$B$8))</f>
        <v/>
      </c>
      <c r="V313" t="str">
        <f ca="1">IFERROR(((AVERAGEIFS(Documentacion!$C$2:$C$1000,Documentacion!$A$2:$A$1000,$A313,Documentacion!$B$2:$B$1000,"&gt;="&amp;DATEVALUE($B313&amp;"-01"),Documentacion!$B$2:$B$1000,"&lt;="&amp;EOMONTH(DATEVALUE($B313&amp;"-01"),0)))-1)/4*100,"")</f>
        <v/>
      </c>
      <c r="W313" t="str">
        <f ca="1">IFERROR(((AVERAGEIFS(Feedback_360!$D$2:$D$1000,Feedback_360!$A$2:$A$1000,$A313,Feedback_360!$B$2:$B$1000,"&gt;="&amp;DATEVALUE($B313&amp;"-01"),Feedback_360!$B$2:$B$1000,"&lt;="&amp;EOMONTH(DATEVALUE($B313&amp;"-01"),0)))-1)/4*100,"")</f>
        <v/>
      </c>
      <c r="X313" t="str">
        <f ca="1">IFERROR(((AVERAGEIFS(Observacion_Directa!$D$2:$D$1000,Observacion_Directa!$A$2:$A$1000,$A313,Observacion_Directa!$B$2:$B$1000,"&gt;="&amp;DATEVALUE($B313&amp;"-01"),Observacion_Directa!$B$2:$B$1000,"&lt;="&amp;EOMONTH(DATEVALUE($B313&amp;"-01"),0)))-1)/4*100,"")</f>
        <v/>
      </c>
      <c r="Y313" t="e">
        <f t="shared" ca="1" si="9"/>
        <v>#DIV/0!</v>
      </c>
    </row>
    <row r="314" spans="12:25" x14ac:dyDescent="0.2">
      <c r="L314" t="str">
        <f t="shared" si="8"/>
        <v/>
      </c>
      <c r="M314" t="str">
        <f>IFERROR(AVERAGEIFS(Prod_5dias!$H$2:$H$1000,Prod_5dias!$A$2:$A$1000,$A314,Prod_5dias!$B$2:$B$1000,$B314),"")</f>
        <v/>
      </c>
      <c r="N314" t="str">
        <f>IF(M314="","",MIN(100,100*M314/Parametros!$B$7))</f>
        <v/>
      </c>
      <c r="O314" t="str">
        <f>IF(F314="","",IF(F314=0,100,MIN(100,100*Parametros!$B$3/F314)))</f>
        <v/>
      </c>
      <c r="P314" t="str">
        <f ca="1">IFERROR(((AVERAGEIFS(Observacion_Directa!$E$2:$E$1000,Observacion_Directa!$A$2:$A$1000,$A314,Observacion_Directa!$B$2:$B$1000,"&gt;="&amp;DATEVALUE($B314&amp;"-01"),Observacion_Directa!$B$2:$B$1000,"&lt;="&amp;EOMONTH(DATEVALUE($B314&amp;"-01"),0)))-1)/4*100,"")</f>
        <v/>
      </c>
      <c r="Q314" t="str">
        <f>IF(H314="","",MIN(100,100*H314/Parametros!$B$4))</f>
        <v/>
      </c>
      <c r="R314" t="str">
        <f>IF(I314="","",IF(I314=0,100,MIN(100,100*Parametros!$B$5/I314)))</f>
        <v/>
      </c>
      <c r="S314" t="str">
        <f>IF(J314="","",IF(J314=0,100,MIN(100,100*Parametros!$B$6/J314)))</f>
        <v/>
      </c>
      <c r="T314" t="str">
        <f>IF(L314="","",MIN(100,100*L314/Parametros!$B$7))</f>
        <v/>
      </c>
      <c r="U314" t="str">
        <f>IF(K314="","",MIN(100,100*K314/Parametros!$B$8))</f>
        <v/>
      </c>
      <c r="V314" t="str">
        <f ca="1">IFERROR(((AVERAGEIFS(Documentacion!$C$2:$C$1000,Documentacion!$A$2:$A$1000,$A314,Documentacion!$B$2:$B$1000,"&gt;="&amp;DATEVALUE($B314&amp;"-01"),Documentacion!$B$2:$B$1000,"&lt;="&amp;EOMONTH(DATEVALUE($B314&amp;"-01"),0)))-1)/4*100,"")</f>
        <v/>
      </c>
      <c r="W314" t="str">
        <f ca="1">IFERROR(((AVERAGEIFS(Feedback_360!$D$2:$D$1000,Feedback_360!$A$2:$A$1000,$A314,Feedback_360!$B$2:$B$1000,"&gt;="&amp;DATEVALUE($B314&amp;"-01"),Feedback_360!$B$2:$B$1000,"&lt;="&amp;EOMONTH(DATEVALUE($B314&amp;"-01"),0)))-1)/4*100,"")</f>
        <v/>
      </c>
      <c r="X314" t="str">
        <f ca="1">IFERROR(((AVERAGEIFS(Observacion_Directa!$D$2:$D$1000,Observacion_Directa!$A$2:$A$1000,$A314,Observacion_Directa!$B$2:$B$1000,"&gt;="&amp;DATEVALUE($B314&amp;"-01"),Observacion_Directa!$B$2:$B$1000,"&lt;="&amp;EOMONTH(DATEVALUE($B314&amp;"-01"),0)))-1)/4*100,"")</f>
        <v/>
      </c>
      <c r="Y314" t="e">
        <f t="shared" ca="1" si="9"/>
        <v>#DIV/0!</v>
      </c>
    </row>
    <row r="315" spans="12:25" x14ac:dyDescent="0.2">
      <c r="L315" t="str">
        <f t="shared" si="8"/>
        <v/>
      </c>
      <c r="M315" t="str">
        <f>IFERROR(AVERAGEIFS(Prod_5dias!$H$2:$H$1000,Prod_5dias!$A$2:$A$1000,$A315,Prod_5dias!$B$2:$B$1000,$B315),"")</f>
        <v/>
      </c>
      <c r="N315" t="str">
        <f>IF(M315="","",MIN(100,100*M315/Parametros!$B$7))</f>
        <v/>
      </c>
      <c r="O315" t="str">
        <f>IF(F315="","",IF(F315=0,100,MIN(100,100*Parametros!$B$3/F315)))</f>
        <v/>
      </c>
      <c r="P315" t="str">
        <f ca="1">IFERROR(((AVERAGEIFS(Observacion_Directa!$E$2:$E$1000,Observacion_Directa!$A$2:$A$1000,$A315,Observacion_Directa!$B$2:$B$1000,"&gt;="&amp;DATEVALUE($B315&amp;"-01"),Observacion_Directa!$B$2:$B$1000,"&lt;="&amp;EOMONTH(DATEVALUE($B315&amp;"-01"),0)))-1)/4*100,"")</f>
        <v/>
      </c>
      <c r="Q315" t="str">
        <f>IF(H315="","",MIN(100,100*H315/Parametros!$B$4))</f>
        <v/>
      </c>
      <c r="R315" t="str">
        <f>IF(I315="","",IF(I315=0,100,MIN(100,100*Parametros!$B$5/I315)))</f>
        <v/>
      </c>
      <c r="S315" t="str">
        <f>IF(J315="","",IF(J315=0,100,MIN(100,100*Parametros!$B$6/J315)))</f>
        <v/>
      </c>
      <c r="T315" t="str">
        <f>IF(L315="","",MIN(100,100*L315/Parametros!$B$7))</f>
        <v/>
      </c>
      <c r="U315" t="str">
        <f>IF(K315="","",MIN(100,100*K315/Parametros!$B$8))</f>
        <v/>
      </c>
      <c r="V315" t="str">
        <f ca="1">IFERROR(((AVERAGEIFS(Documentacion!$C$2:$C$1000,Documentacion!$A$2:$A$1000,$A315,Documentacion!$B$2:$B$1000,"&gt;="&amp;DATEVALUE($B315&amp;"-01"),Documentacion!$B$2:$B$1000,"&lt;="&amp;EOMONTH(DATEVALUE($B315&amp;"-01"),0)))-1)/4*100,"")</f>
        <v/>
      </c>
      <c r="W315" t="str">
        <f ca="1">IFERROR(((AVERAGEIFS(Feedback_360!$D$2:$D$1000,Feedback_360!$A$2:$A$1000,$A315,Feedback_360!$B$2:$B$1000,"&gt;="&amp;DATEVALUE($B315&amp;"-01"),Feedback_360!$B$2:$B$1000,"&lt;="&amp;EOMONTH(DATEVALUE($B315&amp;"-01"),0)))-1)/4*100,"")</f>
        <v/>
      </c>
      <c r="X315" t="str">
        <f ca="1">IFERROR(((AVERAGEIFS(Observacion_Directa!$D$2:$D$1000,Observacion_Directa!$A$2:$A$1000,$A315,Observacion_Directa!$B$2:$B$1000,"&gt;="&amp;DATEVALUE($B315&amp;"-01"),Observacion_Directa!$B$2:$B$1000,"&lt;="&amp;EOMONTH(DATEVALUE($B315&amp;"-01"),0)))-1)/4*100,"")</f>
        <v/>
      </c>
      <c r="Y315" t="e">
        <f t="shared" ca="1" si="9"/>
        <v>#DIV/0!</v>
      </c>
    </row>
    <row r="316" spans="12:25" x14ac:dyDescent="0.2">
      <c r="L316" t="str">
        <f t="shared" si="8"/>
        <v/>
      </c>
      <c r="M316" t="str">
        <f>IFERROR(AVERAGEIFS(Prod_5dias!$H$2:$H$1000,Prod_5dias!$A$2:$A$1000,$A316,Prod_5dias!$B$2:$B$1000,$B316),"")</f>
        <v/>
      </c>
      <c r="N316" t="str">
        <f>IF(M316="","",MIN(100,100*M316/Parametros!$B$7))</f>
        <v/>
      </c>
      <c r="O316" t="str">
        <f>IF(F316="","",IF(F316=0,100,MIN(100,100*Parametros!$B$3/F316)))</f>
        <v/>
      </c>
      <c r="P316" t="str">
        <f ca="1">IFERROR(((AVERAGEIFS(Observacion_Directa!$E$2:$E$1000,Observacion_Directa!$A$2:$A$1000,$A316,Observacion_Directa!$B$2:$B$1000,"&gt;="&amp;DATEVALUE($B316&amp;"-01"),Observacion_Directa!$B$2:$B$1000,"&lt;="&amp;EOMONTH(DATEVALUE($B316&amp;"-01"),0)))-1)/4*100,"")</f>
        <v/>
      </c>
      <c r="Q316" t="str">
        <f>IF(H316="","",MIN(100,100*H316/Parametros!$B$4))</f>
        <v/>
      </c>
      <c r="R316" t="str">
        <f>IF(I316="","",IF(I316=0,100,MIN(100,100*Parametros!$B$5/I316)))</f>
        <v/>
      </c>
      <c r="S316" t="str">
        <f>IF(J316="","",IF(J316=0,100,MIN(100,100*Parametros!$B$6/J316)))</f>
        <v/>
      </c>
      <c r="T316" t="str">
        <f>IF(L316="","",MIN(100,100*L316/Parametros!$B$7))</f>
        <v/>
      </c>
      <c r="U316" t="str">
        <f>IF(K316="","",MIN(100,100*K316/Parametros!$B$8))</f>
        <v/>
      </c>
      <c r="V316" t="str">
        <f ca="1">IFERROR(((AVERAGEIFS(Documentacion!$C$2:$C$1000,Documentacion!$A$2:$A$1000,$A316,Documentacion!$B$2:$B$1000,"&gt;="&amp;DATEVALUE($B316&amp;"-01"),Documentacion!$B$2:$B$1000,"&lt;="&amp;EOMONTH(DATEVALUE($B316&amp;"-01"),0)))-1)/4*100,"")</f>
        <v/>
      </c>
      <c r="W316" t="str">
        <f ca="1">IFERROR(((AVERAGEIFS(Feedback_360!$D$2:$D$1000,Feedback_360!$A$2:$A$1000,$A316,Feedback_360!$B$2:$B$1000,"&gt;="&amp;DATEVALUE($B316&amp;"-01"),Feedback_360!$B$2:$B$1000,"&lt;="&amp;EOMONTH(DATEVALUE($B316&amp;"-01"),0)))-1)/4*100,"")</f>
        <v/>
      </c>
      <c r="X316" t="str">
        <f ca="1">IFERROR(((AVERAGEIFS(Observacion_Directa!$D$2:$D$1000,Observacion_Directa!$A$2:$A$1000,$A316,Observacion_Directa!$B$2:$B$1000,"&gt;="&amp;DATEVALUE($B316&amp;"-01"),Observacion_Directa!$B$2:$B$1000,"&lt;="&amp;EOMONTH(DATEVALUE($B316&amp;"-01"),0)))-1)/4*100,"")</f>
        <v/>
      </c>
      <c r="Y316" t="e">
        <f t="shared" ca="1" si="9"/>
        <v>#DIV/0!</v>
      </c>
    </row>
    <row r="317" spans="12:25" x14ac:dyDescent="0.2">
      <c r="L317" t="str">
        <f t="shared" si="8"/>
        <v/>
      </c>
      <c r="M317" t="str">
        <f>IFERROR(AVERAGEIFS(Prod_5dias!$H$2:$H$1000,Prod_5dias!$A$2:$A$1000,$A317,Prod_5dias!$B$2:$B$1000,$B317),"")</f>
        <v/>
      </c>
      <c r="N317" t="str">
        <f>IF(M317="","",MIN(100,100*M317/Parametros!$B$7))</f>
        <v/>
      </c>
      <c r="O317" t="str">
        <f>IF(F317="","",IF(F317=0,100,MIN(100,100*Parametros!$B$3/F317)))</f>
        <v/>
      </c>
      <c r="P317" t="str">
        <f ca="1">IFERROR(((AVERAGEIFS(Observacion_Directa!$E$2:$E$1000,Observacion_Directa!$A$2:$A$1000,$A317,Observacion_Directa!$B$2:$B$1000,"&gt;="&amp;DATEVALUE($B317&amp;"-01"),Observacion_Directa!$B$2:$B$1000,"&lt;="&amp;EOMONTH(DATEVALUE($B317&amp;"-01"),0)))-1)/4*100,"")</f>
        <v/>
      </c>
      <c r="Q317" t="str">
        <f>IF(H317="","",MIN(100,100*H317/Parametros!$B$4))</f>
        <v/>
      </c>
      <c r="R317" t="str">
        <f>IF(I317="","",IF(I317=0,100,MIN(100,100*Parametros!$B$5/I317)))</f>
        <v/>
      </c>
      <c r="S317" t="str">
        <f>IF(J317="","",IF(J317=0,100,MIN(100,100*Parametros!$B$6/J317)))</f>
        <v/>
      </c>
      <c r="T317" t="str">
        <f>IF(L317="","",MIN(100,100*L317/Parametros!$B$7))</f>
        <v/>
      </c>
      <c r="U317" t="str">
        <f>IF(K317="","",MIN(100,100*K317/Parametros!$B$8))</f>
        <v/>
      </c>
      <c r="V317" t="str">
        <f ca="1">IFERROR(((AVERAGEIFS(Documentacion!$C$2:$C$1000,Documentacion!$A$2:$A$1000,$A317,Documentacion!$B$2:$B$1000,"&gt;="&amp;DATEVALUE($B317&amp;"-01"),Documentacion!$B$2:$B$1000,"&lt;="&amp;EOMONTH(DATEVALUE($B317&amp;"-01"),0)))-1)/4*100,"")</f>
        <v/>
      </c>
      <c r="W317" t="str">
        <f ca="1">IFERROR(((AVERAGEIFS(Feedback_360!$D$2:$D$1000,Feedback_360!$A$2:$A$1000,$A317,Feedback_360!$B$2:$B$1000,"&gt;="&amp;DATEVALUE($B317&amp;"-01"),Feedback_360!$B$2:$B$1000,"&lt;="&amp;EOMONTH(DATEVALUE($B317&amp;"-01"),0)))-1)/4*100,"")</f>
        <v/>
      </c>
      <c r="X317" t="str">
        <f ca="1">IFERROR(((AVERAGEIFS(Observacion_Directa!$D$2:$D$1000,Observacion_Directa!$A$2:$A$1000,$A317,Observacion_Directa!$B$2:$B$1000,"&gt;="&amp;DATEVALUE($B317&amp;"-01"),Observacion_Directa!$B$2:$B$1000,"&lt;="&amp;EOMONTH(DATEVALUE($B317&amp;"-01"),0)))-1)/4*100,"")</f>
        <v/>
      </c>
      <c r="Y317" t="e">
        <f t="shared" ca="1" si="9"/>
        <v>#DIV/0!</v>
      </c>
    </row>
    <row r="318" spans="12:25" x14ac:dyDescent="0.2">
      <c r="L318" t="str">
        <f t="shared" si="8"/>
        <v/>
      </c>
      <c r="M318" t="str">
        <f>IFERROR(AVERAGEIFS(Prod_5dias!$H$2:$H$1000,Prod_5dias!$A$2:$A$1000,$A318,Prod_5dias!$B$2:$B$1000,$B318),"")</f>
        <v/>
      </c>
      <c r="N318" t="str">
        <f>IF(M318="","",MIN(100,100*M318/Parametros!$B$7))</f>
        <v/>
      </c>
      <c r="O318" t="str">
        <f>IF(F318="","",IF(F318=0,100,MIN(100,100*Parametros!$B$3/F318)))</f>
        <v/>
      </c>
      <c r="P318" t="str">
        <f ca="1">IFERROR(((AVERAGEIFS(Observacion_Directa!$E$2:$E$1000,Observacion_Directa!$A$2:$A$1000,$A318,Observacion_Directa!$B$2:$B$1000,"&gt;="&amp;DATEVALUE($B318&amp;"-01"),Observacion_Directa!$B$2:$B$1000,"&lt;="&amp;EOMONTH(DATEVALUE($B318&amp;"-01"),0)))-1)/4*100,"")</f>
        <v/>
      </c>
      <c r="Q318" t="str">
        <f>IF(H318="","",MIN(100,100*H318/Parametros!$B$4))</f>
        <v/>
      </c>
      <c r="R318" t="str">
        <f>IF(I318="","",IF(I318=0,100,MIN(100,100*Parametros!$B$5/I318)))</f>
        <v/>
      </c>
      <c r="S318" t="str">
        <f>IF(J318="","",IF(J318=0,100,MIN(100,100*Parametros!$B$6/J318)))</f>
        <v/>
      </c>
      <c r="T318" t="str">
        <f>IF(L318="","",MIN(100,100*L318/Parametros!$B$7))</f>
        <v/>
      </c>
      <c r="U318" t="str">
        <f>IF(K318="","",MIN(100,100*K318/Parametros!$B$8))</f>
        <v/>
      </c>
      <c r="V318" t="str">
        <f ca="1">IFERROR(((AVERAGEIFS(Documentacion!$C$2:$C$1000,Documentacion!$A$2:$A$1000,$A318,Documentacion!$B$2:$B$1000,"&gt;="&amp;DATEVALUE($B318&amp;"-01"),Documentacion!$B$2:$B$1000,"&lt;="&amp;EOMONTH(DATEVALUE($B318&amp;"-01"),0)))-1)/4*100,"")</f>
        <v/>
      </c>
      <c r="W318" t="str">
        <f ca="1">IFERROR(((AVERAGEIFS(Feedback_360!$D$2:$D$1000,Feedback_360!$A$2:$A$1000,$A318,Feedback_360!$B$2:$B$1000,"&gt;="&amp;DATEVALUE($B318&amp;"-01"),Feedback_360!$B$2:$B$1000,"&lt;="&amp;EOMONTH(DATEVALUE($B318&amp;"-01"),0)))-1)/4*100,"")</f>
        <v/>
      </c>
      <c r="X318" t="str">
        <f ca="1">IFERROR(((AVERAGEIFS(Observacion_Directa!$D$2:$D$1000,Observacion_Directa!$A$2:$A$1000,$A318,Observacion_Directa!$B$2:$B$1000,"&gt;="&amp;DATEVALUE($B318&amp;"-01"),Observacion_Directa!$B$2:$B$1000,"&lt;="&amp;EOMONTH(DATEVALUE($B318&amp;"-01"),0)))-1)/4*100,"")</f>
        <v/>
      </c>
      <c r="Y318" t="e">
        <f t="shared" ca="1" si="9"/>
        <v>#DIV/0!</v>
      </c>
    </row>
    <row r="319" spans="12:25" x14ac:dyDescent="0.2">
      <c r="L319" t="str">
        <f t="shared" si="8"/>
        <v/>
      </c>
      <c r="M319" t="str">
        <f>IFERROR(AVERAGEIFS(Prod_5dias!$H$2:$H$1000,Prod_5dias!$A$2:$A$1000,$A319,Prod_5dias!$B$2:$B$1000,$B319),"")</f>
        <v/>
      </c>
      <c r="N319" t="str">
        <f>IF(M319="","",MIN(100,100*M319/Parametros!$B$7))</f>
        <v/>
      </c>
      <c r="O319" t="str">
        <f>IF(F319="","",IF(F319=0,100,MIN(100,100*Parametros!$B$3/F319)))</f>
        <v/>
      </c>
      <c r="P319" t="str">
        <f ca="1">IFERROR(((AVERAGEIFS(Observacion_Directa!$E$2:$E$1000,Observacion_Directa!$A$2:$A$1000,$A319,Observacion_Directa!$B$2:$B$1000,"&gt;="&amp;DATEVALUE($B319&amp;"-01"),Observacion_Directa!$B$2:$B$1000,"&lt;="&amp;EOMONTH(DATEVALUE($B319&amp;"-01"),0)))-1)/4*100,"")</f>
        <v/>
      </c>
      <c r="Q319" t="str">
        <f>IF(H319="","",MIN(100,100*H319/Parametros!$B$4))</f>
        <v/>
      </c>
      <c r="R319" t="str">
        <f>IF(I319="","",IF(I319=0,100,MIN(100,100*Parametros!$B$5/I319)))</f>
        <v/>
      </c>
      <c r="S319" t="str">
        <f>IF(J319="","",IF(J319=0,100,MIN(100,100*Parametros!$B$6/J319)))</f>
        <v/>
      </c>
      <c r="T319" t="str">
        <f>IF(L319="","",MIN(100,100*L319/Parametros!$B$7))</f>
        <v/>
      </c>
      <c r="U319" t="str">
        <f>IF(K319="","",MIN(100,100*K319/Parametros!$B$8))</f>
        <v/>
      </c>
      <c r="V319" t="str">
        <f ca="1">IFERROR(((AVERAGEIFS(Documentacion!$C$2:$C$1000,Documentacion!$A$2:$A$1000,$A319,Documentacion!$B$2:$B$1000,"&gt;="&amp;DATEVALUE($B319&amp;"-01"),Documentacion!$B$2:$B$1000,"&lt;="&amp;EOMONTH(DATEVALUE($B319&amp;"-01"),0)))-1)/4*100,"")</f>
        <v/>
      </c>
      <c r="W319" t="str">
        <f ca="1">IFERROR(((AVERAGEIFS(Feedback_360!$D$2:$D$1000,Feedback_360!$A$2:$A$1000,$A319,Feedback_360!$B$2:$B$1000,"&gt;="&amp;DATEVALUE($B319&amp;"-01"),Feedback_360!$B$2:$B$1000,"&lt;="&amp;EOMONTH(DATEVALUE($B319&amp;"-01"),0)))-1)/4*100,"")</f>
        <v/>
      </c>
      <c r="X319" t="str">
        <f ca="1">IFERROR(((AVERAGEIFS(Observacion_Directa!$D$2:$D$1000,Observacion_Directa!$A$2:$A$1000,$A319,Observacion_Directa!$B$2:$B$1000,"&gt;="&amp;DATEVALUE($B319&amp;"-01"),Observacion_Directa!$B$2:$B$1000,"&lt;="&amp;EOMONTH(DATEVALUE($B319&amp;"-01"),0)))-1)/4*100,"")</f>
        <v/>
      </c>
      <c r="Y319" t="e">
        <f t="shared" ca="1" si="9"/>
        <v>#DIV/0!</v>
      </c>
    </row>
    <row r="320" spans="12:25" x14ac:dyDescent="0.2">
      <c r="L320" t="str">
        <f t="shared" si="8"/>
        <v/>
      </c>
      <c r="M320" t="str">
        <f>IFERROR(AVERAGEIFS(Prod_5dias!$H$2:$H$1000,Prod_5dias!$A$2:$A$1000,$A320,Prod_5dias!$B$2:$B$1000,$B320),"")</f>
        <v/>
      </c>
      <c r="N320" t="str">
        <f>IF(M320="","",MIN(100,100*M320/Parametros!$B$7))</f>
        <v/>
      </c>
      <c r="O320" t="str">
        <f>IF(F320="","",IF(F320=0,100,MIN(100,100*Parametros!$B$3/F320)))</f>
        <v/>
      </c>
      <c r="P320" t="str">
        <f ca="1">IFERROR(((AVERAGEIFS(Observacion_Directa!$E$2:$E$1000,Observacion_Directa!$A$2:$A$1000,$A320,Observacion_Directa!$B$2:$B$1000,"&gt;="&amp;DATEVALUE($B320&amp;"-01"),Observacion_Directa!$B$2:$B$1000,"&lt;="&amp;EOMONTH(DATEVALUE($B320&amp;"-01"),0)))-1)/4*100,"")</f>
        <v/>
      </c>
      <c r="Q320" t="str">
        <f>IF(H320="","",MIN(100,100*H320/Parametros!$B$4))</f>
        <v/>
      </c>
      <c r="R320" t="str">
        <f>IF(I320="","",IF(I320=0,100,MIN(100,100*Parametros!$B$5/I320)))</f>
        <v/>
      </c>
      <c r="S320" t="str">
        <f>IF(J320="","",IF(J320=0,100,MIN(100,100*Parametros!$B$6/J320)))</f>
        <v/>
      </c>
      <c r="T320" t="str">
        <f>IF(L320="","",MIN(100,100*L320/Parametros!$B$7))</f>
        <v/>
      </c>
      <c r="U320" t="str">
        <f>IF(K320="","",MIN(100,100*K320/Parametros!$B$8))</f>
        <v/>
      </c>
      <c r="V320" t="str">
        <f ca="1">IFERROR(((AVERAGEIFS(Documentacion!$C$2:$C$1000,Documentacion!$A$2:$A$1000,$A320,Documentacion!$B$2:$B$1000,"&gt;="&amp;DATEVALUE($B320&amp;"-01"),Documentacion!$B$2:$B$1000,"&lt;="&amp;EOMONTH(DATEVALUE($B320&amp;"-01"),0)))-1)/4*100,"")</f>
        <v/>
      </c>
      <c r="W320" t="str">
        <f ca="1">IFERROR(((AVERAGEIFS(Feedback_360!$D$2:$D$1000,Feedback_360!$A$2:$A$1000,$A320,Feedback_360!$B$2:$B$1000,"&gt;="&amp;DATEVALUE($B320&amp;"-01"),Feedback_360!$B$2:$B$1000,"&lt;="&amp;EOMONTH(DATEVALUE($B320&amp;"-01"),0)))-1)/4*100,"")</f>
        <v/>
      </c>
      <c r="X320" t="str">
        <f ca="1">IFERROR(((AVERAGEIFS(Observacion_Directa!$D$2:$D$1000,Observacion_Directa!$A$2:$A$1000,$A320,Observacion_Directa!$B$2:$B$1000,"&gt;="&amp;DATEVALUE($B320&amp;"-01"),Observacion_Directa!$B$2:$B$1000,"&lt;="&amp;EOMONTH(DATEVALUE($B320&amp;"-01"),0)))-1)/4*100,"")</f>
        <v/>
      </c>
      <c r="Y320" t="e">
        <f t="shared" ca="1" si="9"/>
        <v>#DIV/0!</v>
      </c>
    </row>
    <row r="321" spans="12:25" x14ac:dyDescent="0.2">
      <c r="L321" t="str">
        <f t="shared" si="8"/>
        <v/>
      </c>
      <c r="M321" t="str">
        <f>IFERROR(AVERAGEIFS(Prod_5dias!$H$2:$H$1000,Prod_5dias!$A$2:$A$1000,$A321,Prod_5dias!$B$2:$B$1000,$B321),"")</f>
        <v/>
      </c>
      <c r="N321" t="str">
        <f>IF(M321="","",MIN(100,100*M321/Parametros!$B$7))</f>
        <v/>
      </c>
      <c r="O321" t="str">
        <f>IF(F321="","",IF(F321=0,100,MIN(100,100*Parametros!$B$3/F321)))</f>
        <v/>
      </c>
      <c r="P321" t="str">
        <f ca="1">IFERROR(((AVERAGEIFS(Observacion_Directa!$E$2:$E$1000,Observacion_Directa!$A$2:$A$1000,$A321,Observacion_Directa!$B$2:$B$1000,"&gt;="&amp;DATEVALUE($B321&amp;"-01"),Observacion_Directa!$B$2:$B$1000,"&lt;="&amp;EOMONTH(DATEVALUE($B321&amp;"-01"),0)))-1)/4*100,"")</f>
        <v/>
      </c>
      <c r="Q321" t="str">
        <f>IF(H321="","",MIN(100,100*H321/Parametros!$B$4))</f>
        <v/>
      </c>
      <c r="R321" t="str">
        <f>IF(I321="","",IF(I321=0,100,MIN(100,100*Parametros!$B$5/I321)))</f>
        <v/>
      </c>
      <c r="S321" t="str">
        <f>IF(J321="","",IF(J321=0,100,MIN(100,100*Parametros!$B$6/J321)))</f>
        <v/>
      </c>
      <c r="T321" t="str">
        <f>IF(L321="","",MIN(100,100*L321/Parametros!$B$7))</f>
        <v/>
      </c>
      <c r="U321" t="str">
        <f>IF(K321="","",MIN(100,100*K321/Parametros!$B$8))</f>
        <v/>
      </c>
      <c r="V321" t="str">
        <f ca="1">IFERROR(((AVERAGEIFS(Documentacion!$C$2:$C$1000,Documentacion!$A$2:$A$1000,$A321,Documentacion!$B$2:$B$1000,"&gt;="&amp;DATEVALUE($B321&amp;"-01"),Documentacion!$B$2:$B$1000,"&lt;="&amp;EOMONTH(DATEVALUE($B321&amp;"-01"),0)))-1)/4*100,"")</f>
        <v/>
      </c>
      <c r="W321" t="str">
        <f ca="1">IFERROR(((AVERAGEIFS(Feedback_360!$D$2:$D$1000,Feedback_360!$A$2:$A$1000,$A321,Feedback_360!$B$2:$B$1000,"&gt;="&amp;DATEVALUE($B321&amp;"-01"),Feedback_360!$B$2:$B$1000,"&lt;="&amp;EOMONTH(DATEVALUE($B321&amp;"-01"),0)))-1)/4*100,"")</f>
        <v/>
      </c>
      <c r="X321" t="str">
        <f ca="1">IFERROR(((AVERAGEIFS(Observacion_Directa!$D$2:$D$1000,Observacion_Directa!$A$2:$A$1000,$A321,Observacion_Directa!$B$2:$B$1000,"&gt;="&amp;DATEVALUE($B321&amp;"-01"),Observacion_Directa!$B$2:$B$1000,"&lt;="&amp;EOMONTH(DATEVALUE($B321&amp;"-01"),0)))-1)/4*100,"")</f>
        <v/>
      </c>
      <c r="Y321" t="e">
        <f t="shared" ca="1" si="9"/>
        <v>#DIV/0!</v>
      </c>
    </row>
    <row r="322" spans="12:25" x14ac:dyDescent="0.2">
      <c r="L322" t="str">
        <f t="shared" ref="L322:L385" si="10">IF(OR(C322="",D322=""),"",C322/D322)</f>
        <v/>
      </c>
      <c r="M322" t="str">
        <f>IFERROR(AVERAGEIFS(Prod_5dias!$H$2:$H$1000,Prod_5dias!$A$2:$A$1000,$A322,Prod_5dias!$B$2:$B$1000,$B322),"")</f>
        <v/>
      </c>
      <c r="N322" t="str">
        <f>IF(M322="","",MIN(100,100*M322/Parametros!$B$7))</f>
        <v/>
      </c>
      <c r="O322" t="str">
        <f>IF(F322="","",IF(F322=0,100,MIN(100,100*Parametros!$B$3/F322)))</f>
        <v/>
      </c>
      <c r="P322" t="str">
        <f ca="1">IFERROR(((AVERAGEIFS(Observacion_Directa!$E$2:$E$1000,Observacion_Directa!$A$2:$A$1000,$A322,Observacion_Directa!$B$2:$B$1000,"&gt;="&amp;DATEVALUE($B322&amp;"-01"),Observacion_Directa!$B$2:$B$1000,"&lt;="&amp;EOMONTH(DATEVALUE($B322&amp;"-01"),0)))-1)/4*100,"")</f>
        <v/>
      </c>
      <c r="Q322" t="str">
        <f>IF(H322="","",MIN(100,100*H322/Parametros!$B$4))</f>
        <v/>
      </c>
      <c r="R322" t="str">
        <f>IF(I322="","",IF(I322=0,100,MIN(100,100*Parametros!$B$5/I322)))</f>
        <v/>
      </c>
      <c r="S322" t="str">
        <f>IF(J322="","",IF(J322=0,100,MIN(100,100*Parametros!$B$6/J322)))</f>
        <v/>
      </c>
      <c r="T322" t="str">
        <f>IF(L322="","",MIN(100,100*L322/Parametros!$B$7))</f>
        <v/>
      </c>
      <c r="U322" t="str">
        <f>IF(K322="","",MIN(100,100*K322/Parametros!$B$8))</f>
        <v/>
      </c>
      <c r="V322" t="str">
        <f ca="1">IFERROR(((AVERAGEIFS(Documentacion!$C$2:$C$1000,Documentacion!$A$2:$A$1000,$A322,Documentacion!$B$2:$B$1000,"&gt;="&amp;DATEVALUE($B322&amp;"-01"),Documentacion!$B$2:$B$1000,"&lt;="&amp;EOMONTH(DATEVALUE($B322&amp;"-01"),0)))-1)/4*100,"")</f>
        <v/>
      </c>
      <c r="W322" t="str">
        <f ca="1">IFERROR(((AVERAGEIFS(Feedback_360!$D$2:$D$1000,Feedback_360!$A$2:$A$1000,$A322,Feedback_360!$B$2:$B$1000,"&gt;="&amp;DATEVALUE($B322&amp;"-01"),Feedback_360!$B$2:$B$1000,"&lt;="&amp;EOMONTH(DATEVALUE($B322&amp;"-01"),0)))-1)/4*100,"")</f>
        <v/>
      </c>
      <c r="X322" t="str">
        <f ca="1">IFERROR(((AVERAGEIFS(Observacion_Directa!$D$2:$D$1000,Observacion_Directa!$A$2:$A$1000,$A322,Observacion_Directa!$B$2:$B$1000,"&gt;="&amp;DATEVALUE($B322&amp;"-01"),Observacion_Directa!$B$2:$B$1000,"&lt;="&amp;EOMONTH(DATEVALUE($B322&amp;"-01"),0)))-1)/4*100,"")</f>
        <v/>
      </c>
      <c r="Y322" t="e">
        <f t="shared" ref="Y322:Y385" ca="1" si="11">IF(COUNTA(N322:X322)=0,"",AVERAGE(N322:X322))</f>
        <v>#DIV/0!</v>
      </c>
    </row>
    <row r="323" spans="12:25" x14ac:dyDescent="0.2">
      <c r="L323" t="str">
        <f t="shared" si="10"/>
        <v/>
      </c>
      <c r="M323" t="str">
        <f>IFERROR(AVERAGEIFS(Prod_5dias!$H$2:$H$1000,Prod_5dias!$A$2:$A$1000,$A323,Prod_5dias!$B$2:$B$1000,$B323),"")</f>
        <v/>
      </c>
      <c r="N323" t="str">
        <f>IF(M323="","",MIN(100,100*M323/Parametros!$B$7))</f>
        <v/>
      </c>
      <c r="O323" t="str">
        <f>IF(F323="","",IF(F323=0,100,MIN(100,100*Parametros!$B$3/F323)))</f>
        <v/>
      </c>
      <c r="P323" t="str">
        <f ca="1">IFERROR(((AVERAGEIFS(Observacion_Directa!$E$2:$E$1000,Observacion_Directa!$A$2:$A$1000,$A323,Observacion_Directa!$B$2:$B$1000,"&gt;="&amp;DATEVALUE($B323&amp;"-01"),Observacion_Directa!$B$2:$B$1000,"&lt;="&amp;EOMONTH(DATEVALUE($B323&amp;"-01"),0)))-1)/4*100,"")</f>
        <v/>
      </c>
      <c r="Q323" t="str">
        <f>IF(H323="","",MIN(100,100*H323/Parametros!$B$4))</f>
        <v/>
      </c>
      <c r="R323" t="str">
        <f>IF(I323="","",IF(I323=0,100,MIN(100,100*Parametros!$B$5/I323)))</f>
        <v/>
      </c>
      <c r="S323" t="str">
        <f>IF(J323="","",IF(J323=0,100,MIN(100,100*Parametros!$B$6/J323)))</f>
        <v/>
      </c>
      <c r="T323" t="str">
        <f>IF(L323="","",MIN(100,100*L323/Parametros!$B$7))</f>
        <v/>
      </c>
      <c r="U323" t="str">
        <f>IF(K323="","",MIN(100,100*K323/Parametros!$B$8))</f>
        <v/>
      </c>
      <c r="V323" t="str">
        <f ca="1">IFERROR(((AVERAGEIFS(Documentacion!$C$2:$C$1000,Documentacion!$A$2:$A$1000,$A323,Documentacion!$B$2:$B$1000,"&gt;="&amp;DATEVALUE($B323&amp;"-01"),Documentacion!$B$2:$B$1000,"&lt;="&amp;EOMONTH(DATEVALUE($B323&amp;"-01"),0)))-1)/4*100,"")</f>
        <v/>
      </c>
      <c r="W323" t="str">
        <f ca="1">IFERROR(((AVERAGEIFS(Feedback_360!$D$2:$D$1000,Feedback_360!$A$2:$A$1000,$A323,Feedback_360!$B$2:$B$1000,"&gt;="&amp;DATEVALUE($B323&amp;"-01"),Feedback_360!$B$2:$B$1000,"&lt;="&amp;EOMONTH(DATEVALUE($B323&amp;"-01"),0)))-1)/4*100,"")</f>
        <v/>
      </c>
      <c r="X323" t="str">
        <f ca="1">IFERROR(((AVERAGEIFS(Observacion_Directa!$D$2:$D$1000,Observacion_Directa!$A$2:$A$1000,$A323,Observacion_Directa!$B$2:$B$1000,"&gt;="&amp;DATEVALUE($B323&amp;"-01"),Observacion_Directa!$B$2:$B$1000,"&lt;="&amp;EOMONTH(DATEVALUE($B323&amp;"-01"),0)))-1)/4*100,"")</f>
        <v/>
      </c>
      <c r="Y323" t="e">
        <f t="shared" ca="1" si="11"/>
        <v>#DIV/0!</v>
      </c>
    </row>
    <row r="324" spans="12:25" x14ac:dyDescent="0.2">
      <c r="L324" t="str">
        <f t="shared" si="10"/>
        <v/>
      </c>
      <c r="M324" t="str">
        <f>IFERROR(AVERAGEIFS(Prod_5dias!$H$2:$H$1000,Prod_5dias!$A$2:$A$1000,$A324,Prod_5dias!$B$2:$B$1000,$B324),"")</f>
        <v/>
      </c>
      <c r="N324" t="str">
        <f>IF(M324="","",MIN(100,100*M324/Parametros!$B$7))</f>
        <v/>
      </c>
      <c r="O324" t="str">
        <f>IF(F324="","",IF(F324=0,100,MIN(100,100*Parametros!$B$3/F324)))</f>
        <v/>
      </c>
      <c r="P324" t="str">
        <f ca="1">IFERROR(((AVERAGEIFS(Observacion_Directa!$E$2:$E$1000,Observacion_Directa!$A$2:$A$1000,$A324,Observacion_Directa!$B$2:$B$1000,"&gt;="&amp;DATEVALUE($B324&amp;"-01"),Observacion_Directa!$B$2:$B$1000,"&lt;="&amp;EOMONTH(DATEVALUE($B324&amp;"-01"),0)))-1)/4*100,"")</f>
        <v/>
      </c>
      <c r="Q324" t="str">
        <f>IF(H324="","",MIN(100,100*H324/Parametros!$B$4))</f>
        <v/>
      </c>
      <c r="R324" t="str">
        <f>IF(I324="","",IF(I324=0,100,MIN(100,100*Parametros!$B$5/I324)))</f>
        <v/>
      </c>
      <c r="S324" t="str">
        <f>IF(J324="","",IF(J324=0,100,MIN(100,100*Parametros!$B$6/J324)))</f>
        <v/>
      </c>
      <c r="T324" t="str">
        <f>IF(L324="","",MIN(100,100*L324/Parametros!$B$7))</f>
        <v/>
      </c>
      <c r="U324" t="str">
        <f>IF(K324="","",MIN(100,100*K324/Parametros!$B$8))</f>
        <v/>
      </c>
      <c r="V324" t="str">
        <f ca="1">IFERROR(((AVERAGEIFS(Documentacion!$C$2:$C$1000,Documentacion!$A$2:$A$1000,$A324,Documentacion!$B$2:$B$1000,"&gt;="&amp;DATEVALUE($B324&amp;"-01"),Documentacion!$B$2:$B$1000,"&lt;="&amp;EOMONTH(DATEVALUE($B324&amp;"-01"),0)))-1)/4*100,"")</f>
        <v/>
      </c>
      <c r="W324" t="str">
        <f ca="1">IFERROR(((AVERAGEIFS(Feedback_360!$D$2:$D$1000,Feedback_360!$A$2:$A$1000,$A324,Feedback_360!$B$2:$B$1000,"&gt;="&amp;DATEVALUE($B324&amp;"-01"),Feedback_360!$B$2:$B$1000,"&lt;="&amp;EOMONTH(DATEVALUE($B324&amp;"-01"),0)))-1)/4*100,"")</f>
        <v/>
      </c>
      <c r="X324" t="str">
        <f ca="1">IFERROR(((AVERAGEIFS(Observacion_Directa!$D$2:$D$1000,Observacion_Directa!$A$2:$A$1000,$A324,Observacion_Directa!$B$2:$B$1000,"&gt;="&amp;DATEVALUE($B324&amp;"-01"),Observacion_Directa!$B$2:$B$1000,"&lt;="&amp;EOMONTH(DATEVALUE($B324&amp;"-01"),0)))-1)/4*100,"")</f>
        <v/>
      </c>
      <c r="Y324" t="e">
        <f t="shared" ca="1" si="11"/>
        <v>#DIV/0!</v>
      </c>
    </row>
    <row r="325" spans="12:25" x14ac:dyDescent="0.2">
      <c r="L325" t="str">
        <f t="shared" si="10"/>
        <v/>
      </c>
      <c r="M325" t="str">
        <f>IFERROR(AVERAGEIFS(Prod_5dias!$H$2:$H$1000,Prod_5dias!$A$2:$A$1000,$A325,Prod_5dias!$B$2:$B$1000,$B325),"")</f>
        <v/>
      </c>
      <c r="N325" t="str">
        <f>IF(M325="","",MIN(100,100*M325/Parametros!$B$7))</f>
        <v/>
      </c>
      <c r="O325" t="str">
        <f>IF(F325="","",IF(F325=0,100,MIN(100,100*Parametros!$B$3/F325)))</f>
        <v/>
      </c>
      <c r="P325" t="str">
        <f ca="1">IFERROR(((AVERAGEIFS(Observacion_Directa!$E$2:$E$1000,Observacion_Directa!$A$2:$A$1000,$A325,Observacion_Directa!$B$2:$B$1000,"&gt;="&amp;DATEVALUE($B325&amp;"-01"),Observacion_Directa!$B$2:$B$1000,"&lt;="&amp;EOMONTH(DATEVALUE($B325&amp;"-01"),0)))-1)/4*100,"")</f>
        <v/>
      </c>
      <c r="Q325" t="str">
        <f>IF(H325="","",MIN(100,100*H325/Parametros!$B$4))</f>
        <v/>
      </c>
      <c r="R325" t="str">
        <f>IF(I325="","",IF(I325=0,100,MIN(100,100*Parametros!$B$5/I325)))</f>
        <v/>
      </c>
      <c r="S325" t="str">
        <f>IF(J325="","",IF(J325=0,100,MIN(100,100*Parametros!$B$6/J325)))</f>
        <v/>
      </c>
      <c r="T325" t="str">
        <f>IF(L325="","",MIN(100,100*L325/Parametros!$B$7))</f>
        <v/>
      </c>
      <c r="U325" t="str">
        <f>IF(K325="","",MIN(100,100*K325/Parametros!$B$8))</f>
        <v/>
      </c>
      <c r="V325" t="str">
        <f ca="1">IFERROR(((AVERAGEIFS(Documentacion!$C$2:$C$1000,Documentacion!$A$2:$A$1000,$A325,Documentacion!$B$2:$B$1000,"&gt;="&amp;DATEVALUE($B325&amp;"-01"),Documentacion!$B$2:$B$1000,"&lt;="&amp;EOMONTH(DATEVALUE($B325&amp;"-01"),0)))-1)/4*100,"")</f>
        <v/>
      </c>
      <c r="W325" t="str">
        <f ca="1">IFERROR(((AVERAGEIFS(Feedback_360!$D$2:$D$1000,Feedback_360!$A$2:$A$1000,$A325,Feedback_360!$B$2:$B$1000,"&gt;="&amp;DATEVALUE($B325&amp;"-01"),Feedback_360!$B$2:$B$1000,"&lt;="&amp;EOMONTH(DATEVALUE($B325&amp;"-01"),0)))-1)/4*100,"")</f>
        <v/>
      </c>
      <c r="X325" t="str">
        <f ca="1">IFERROR(((AVERAGEIFS(Observacion_Directa!$D$2:$D$1000,Observacion_Directa!$A$2:$A$1000,$A325,Observacion_Directa!$B$2:$B$1000,"&gt;="&amp;DATEVALUE($B325&amp;"-01"),Observacion_Directa!$B$2:$B$1000,"&lt;="&amp;EOMONTH(DATEVALUE($B325&amp;"-01"),0)))-1)/4*100,"")</f>
        <v/>
      </c>
      <c r="Y325" t="e">
        <f t="shared" ca="1" si="11"/>
        <v>#DIV/0!</v>
      </c>
    </row>
    <row r="326" spans="12:25" x14ac:dyDescent="0.2">
      <c r="L326" t="str">
        <f t="shared" si="10"/>
        <v/>
      </c>
      <c r="M326" t="str">
        <f>IFERROR(AVERAGEIFS(Prod_5dias!$H$2:$H$1000,Prod_5dias!$A$2:$A$1000,$A326,Prod_5dias!$B$2:$B$1000,$B326),"")</f>
        <v/>
      </c>
      <c r="N326" t="str">
        <f>IF(M326="","",MIN(100,100*M326/Parametros!$B$7))</f>
        <v/>
      </c>
      <c r="O326" t="str">
        <f>IF(F326="","",IF(F326=0,100,MIN(100,100*Parametros!$B$3/F326)))</f>
        <v/>
      </c>
      <c r="P326" t="str">
        <f ca="1">IFERROR(((AVERAGEIFS(Observacion_Directa!$E$2:$E$1000,Observacion_Directa!$A$2:$A$1000,$A326,Observacion_Directa!$B$2:$B$1000,"&gt;="&amp;DATEVALUE($B326&amp;"-01"),Observacion_Directa!$B$2:$B$1000,"&lt;="&amp;EOMONTH(DATEVALUE($B326&amp;"-01"),0)))-1)/4*100,"")</f>
        <v/>
      </c>
      <c r="Q326" t="str">
        <f>IF(H326="","",MIN(100,100*H326/Parametros!$B$4))</f>
        <v/>
      </c>
      <c r="R326" t="str">
        <f>IF(I326="","",IF(I326=0,100,MIN(100,100*Parametros!$B$5/I326)))</f>
        <v/>
      </c>
      <c r="S326" t="str">
        <f>IF(J326="","",IF(J326=0,100,MIN(100,100*Parametros!$B$6/J326)))</f>
        <v/>
      </c>
      <c r="T326" t="str">
        <f>IF(L326="","",MIN(100,100*L326/Parametros!$B$7))</f>
        <v/>
      </c>
      <c r="U326" t="str">
        <f>IF(K326="","",MIN(100,100*K326/Parametros!$B$8))</f>
        <v/>
      </c>
      <c r="V326" t="str">
        <f ca="1">IFERROR(((AVERAGEIFS(Documentacion!$C$2:$C$1000,Documentacion!$A$2:$A$1000,$A326,Documentacion!$B$2:$B$1000,"&gt;="&amp;DATEVALUE($B326&amp;"-01"),Documentacion!$B$2:$B$1000,"&lt;="&amp;EOMONTH(DATEVALUE($B326&amp;"-01"),0)))-1)/4*100,"")</f>
        <v/>
      </c>
      <c r="W326" t="str">
        <f ca="1">IFERROR(((AVERAGEIFS(Feedback_360!$D$2:$D$1000,Feedback_360!$A$2:$A$1000,$A326,Feedback_360!$B$2:$B$1000,"&gt;="&amp;DATEVALUE($B326&amp;"-01"),Feedback_360!$B$2:$B$1000,"&lt;="&amp;EOMONTH(DATEVALUE($B326&amp;"-01"),0)))-1)/4*100,"")</f>
        <v/>
      </c>
      <c r="X326" t="str">
        <f ca="1">IFERROR(((AVERAGEIFS(Observacion_Directa!$D$2:$D$1000,Observacion_Directa!$A$2:$A$1000,$A326,Observacion_Directa!$B$2:$B$1000,"&gt;="&amp;DATEVALUE($B326&amp;"-01"),Observacion_Directa!$B$2:$B$1000,"&lt;="&amp;EOMONTH(DATEVALUE($B326&amp;"-01"),0)))-1)/4*100,"")</f>
        <v/>
      </c>
      <c r="Y326" t="e">
        <f t="shared" ca="1" si="11"/>
        <v>#DIV/0!</v>
      </c>
    </row>
    <row r="327" spans="12:25" x14ac:dyDescent="0.2">
      <c r="L327" t="str">
        <f t="shared" si="10"/>
        <v/>
      </c>
      <c r="M327" t="str">
        <f>IFERROR(AVERAGEIFS(Prod_5dias!$H$2:$H$1000,Prod_5dias!$A$2:$A$1000,$A327,Prod_5dias!$B$2:$B$1000,$B327),"")</f>
        <v/>
      </c>
      <c r="N327" t="str">
        <f>IF(M327="","",MIN(100,100*M327/Parametros!$B$7))</f>
        <v/>
      </c>
      <c r="O327" t="str">
        <f>IF(F327="","",IF(F327=0,100,MIN(100,100*Parametros!$B$3/F327)))</f>
        <v/>
      </c>
      <c r="P327" t="str">
        <f ca="1">IFERROR(((AVERAGEIFS(Observacion_Directa!$E$2:$E$1000,Observacion_Directa!$A$2:$A$1000,$A327,Observacion_Directa!$B$2:$B$1000,"&gt;="&amp;DATEVALUE($B327&amp;"-01"),Observacion_Directa!$B$2:$B$1000,"&lt;="&amp;EOMONTH(DATEVALUE($B327&amp;"-01"),0)))-1)/4*100,"")</f>
        <v/>
      </c>
      <c r="Q327" t="str">
        <f>IF(H327="","",MIN(100,100*H327/Parametros!$B$4))</f>
        <v/>
      </c>
      <c r="R327" t="str">
        <f>IF(I327="","",IF(I327=0,100,MIN(100,100*Parametros!$B$5/I327)))</f>
        <v/>
      </c>
      <c r="S327" t="str">
        <f>IF(J327="","",IF(J327=0,100,MIN(100,100*Parametros!$B$6/J327)))</f>
        <v/>
      </c>
      <c r="T327" t="str">
        <f>IF(L327="","",MIN(100,100*L327/Parametros!$B$7))</f>
        <v/>
      </c>
      <c r="U327" t="str">
        <f>IF(K327="","",MIN(100,100*K327/Parametros!$B$8))</f>
        <v/>
      </c>
      <c r="V327" t="str">
        <f ca="1">IFERROR(((AVERAGEIFS(Documentacion!$C$2:$C$1000,Documentacion!$A$2:$A$1000,$A327,Documentacion!$B$2:$B$1000,"&gt;="&amp;DATEVALUE($B327&amp;"-01"),Documentacion!$B$2:$B$1000,"&lt;="&amp;EOMONTH(DATEVALUE($B327&amp;"-01"),0)))-1)/4*100,"")</f>
        <v/>
      </c>
      <c r="W327" t="str">
        <f ca="1">IFERROR(((AVERAGEIFS(Feedback_360!$D$2:$D$1000,Feedback_360!$A$2:$A$1000,$A327,Feedback_360!$B$2:$B$1000,"&gt;="&amp;DATEVALUE($B327&amp;"-01"),Feedback_360!$B$2:$B$1000,"&lt;="&amp;EOMONTH(DATEVALUE($B327&amp;"-01"),0)))-1)/4*100,"")</f>
        <v/>
      </c>
      <c r="X327" t="str">
        <f ca="1">IFERROR(((AVERAGEIFS(Observacion_Directa!$D$2:$D$1000,Observacion_Directa!$A$2:$A$1000,$A327,Observacion_Directa!$B$2:$B$1000,"&gt;="&amp;DATEVALUE($B327&amp;"-01"),Observacion_Directa!$B$2:$B$1000,"&lt;="&amp;EOMONTH(DATEVALUE($B327&amp;"-01"),0)))-1)/4*100,"")</f>
        <v/>
      </c>
      <c r="Y327" t="e">
        <f t="shared" ca="1" si="11"/>
        <v>#DIV/0!</v>
      </c>
    </row>
    <row r="328" spans="12:25" x14ac:dyDescent="0.2">
      <c r="L328" t="str">
        <f t="shared" si="10"/>
        <v/>
      </c>
      <c r="M328" t="str">
        <f>IFERROR(AVERAGEIFS(Prod_5dias!$H$2:$H$1000,Prod_5dias!$A$2:$A$1000,$A328,Prod_5dias!$B$2:$B$1000,$B328),"")</f>
        <v/>
      </c>
      <c r="N328" t="str">
        <f>IF(M328="","",MIN(100,100*M328/Parametros!$B$7))</f>
        <v/>
      </c>
      <c r="O328" t="str">
        <f>IF(F328="","",IF(F328=0,100,MIN(100,100*Parametros!$B$3/F328)))</f>
        <v/>
      </c>
      <c r="P328" t="str">
        <f ca="1">IFERROR(((AVERAGEIFS(Observacion_Directa!$E$2:$E$1000,Observacion_Directa!$A$2:$A$1000,$A328,Observacion_Directa!$B$2:$B$1000,"&gt;="&amp;DATEVALUE($B328&amp;"-01"),Observacion_Directa!$B$2:$B$1000,"&lt;="&amp;EOMONTH(DATEVALUE($B328&amp;"-01"),0)))-1)/4*100,"")</f>
        <v/>
      </c>
      <c r="Q328" t="str">
        <f>IF(H328="","",MIN(100,100*H328/Parametros!$B$4))</f>
        <v/>
      </c>
      <c r="R328" t="str">
        <f>IF(I328="","",IF(I328=0,100,MIN(100,100*Parametros!$B$5/I328)))</f>
        <v/>
      </c>
      <c r="S328" t="str">
        <f>IF(J328="","",IF(J328=0,100,MIN(100,100*Parametros!$B$6/J328)))</f>
        <v/>
      </c>
      <c r="T328" t="str">
        <f>IF(L328="","",MIN(100,100*L328/Parametros!$B$7))</f>
        <v/>
      </c>
      <c r="U328" t="str">
        <f>IF(K328="","",MIN(100,100*K328/Parametros!$B$8))</f>
        <v/>
      </c>
      <c r="V328" t="str">
        <f ca="1">IFERROR(((AVERAGEIFS(Documentacion!$C$2:$C$1000,Documentacion!$A$2:$A$1000,$A328,Documentacion!$B$2:$B$1000,"&gt;="&amp;DATEVALUE($B328&amp;"-01"),Documentacion!$B$2:$B$1000,"&lt;="&amp;EOMONTH(DATEVALUE($B328&amp;"-01"),0)))-1)/4*100,"")</f>
        <v/>
      </c>
      <c r="W328" t="str">
        <f ca="1">IFERROR(((AVERAGEIFS(Feedback_360!$D$2:$D$1000,Feedback_360!$A$2:$A$1000,$A328,Feedback_360!$B$2:$B$1000,"&gt;="&amp;DATEVALUE($B328&amp;"-01"),Feedback_360!$B$2:$B$1000,"&lt;="&amp;EOMONTH(DATEVALUE($B328&amp;"-01"),0)))-1)/4*100,"")</f>
        <v/>
      </c>
      <c r="X328" t="str">
        <f ca="1">IFERROR(((AVERAGEIFS(Observacion_Directa!$D$2:$D$1000,Observacion_Directa!$A$2:$A$1000,$A328,Observacion_Directa!$B$2:$B$1000,"&gt;="&amp;DATEVALUE($B328&amp;"-01"),Observacion_Directa!$B$2:$B$1000,"&lt;="&amp;EOMONTH(DATEVALUE($B328&amp;"-01"),0)))-1)/4*100,"")</f>
        <v/>
      </c>
      <c r="Y328" t="e">
        <f t="shared" ca="1" si="11"/>
        <v>#DIV/0!</v>
      </c>
    </row>
    <row r="329" spans="12:25" x14ac:dyDescent="0.2">
      <c r="L329" t="str">
        <f t="shared" si="10"/>
        <v/>
      </c>
      <c r="M329" t="str">
        <f>IFERROR(AVERAGEIFS(Prod_5dias!$H$2:$H$1000,Prod_5dias!$A$2:$A$1000,$A329,Prod_5dias!$B$2:$B$1000,$B329),"")</f>
        <v/>
      </c>
      <c r="N329" t="str">
        <f>IF(M329="","",MIN(100,100*M329/Parametros!$B$7))</f>
        <v/>
      </c>
      <c r="O329" t="str">
        <f>IF(F329="","",IF(F329=0,100,MIN(100,100*Parametros!$B$3/F329)))</f>
        <v/>
      </c>
      <c r="P329" t="str">
        <f ca="1">IFERROR(((AVERAGEIFS(Observacion_Directa!$E$2:$E$1000,Observacion_Directa!$A$2:$A$1000,$A329,Observacion_Directa!$B$2:$B$1000,"&gt;="&amp;DATEVALUE($B329&amp;"-01"),Observacion_Directa!$B$2:$B$1000,"&lt;="&amp;EOMONTH(DATEVALUE($B329&amp;"-01"),0)))-1)/4*100,"")</f>
        <v/>
      </c>
      <c r="Q329" t="str">
        <f>IF(H329="","",MIN(100,100*H329/Parametros!$B$4))</f>
        <v/>
      </c>
      <c r="R329" t="str">
        <f>IF(I329="","",IF(I329=0,100,MIN(100,100*Parametros!$B$5/I329)))</f>
        <v/>
      </c>
      <c r="S329" t="str">
        <f>IF(J329="","",IF(J329=0,100,MIN(100,100*Parametros!$B$6/J329)))</f>
        <v/>
      </c>
      <c r="T329" t="str">
        <f>IF(L329="","",MIN(100,100*L329/Parametros!$B$7))</f>
        <v/>
      </c>
      <c r="U329" t="str">
        <f>IF(K329="","",MIN(100,100*K329/Parametros!$B$8))</f>
        <v/>
      </c>
      <c r="V329" t="str">
        <f ca="1">IFERROR(((AVERAGEIFS(Documentacion!$C$2:$C$1000,Documentacion!$A$2:$A$1000,$A329,Documentacion!$B$2:$B$1000,"&gt;="&amp;DATEVALUE($B329&amp;"-01"),Documentacion!$B$2:$B$1000,"&lt;="&amp;EOMONTH(DATEVALUE($B329&amp;"-01"),0)))-1)/4*100,"")</f>
        <v/>
      </c>
      <c r="W329" t="str">
        <f ca="1">IFERROR(((AVERAGEIFS(Feedback_360!$D$2:$D$1000,Feedback_360!$A$2:$A$1000,$A329,Feedback_360!$B$2:$B$1000,"&gt;="&amp;DATEVALUE($B329&amp;"-01"),Feedback_360!$B$2:$B$1000,"&lt;="&amp;EOMONTH(DATEVALUE($B329&amp;"-01"),0)))-1)/4*100,"")</f>
        <v/>
      </c>
      <c r="X329" t="str">
        <f ca="1">IFERROR(((AVERAGEIFS(Observacion_Directa!$D$2:$D$1000,Observacion_Directa!$A$2:$A$1000,$A329,Observacion_Directa!$B$2:$B$1000,"&gt;="&amp;DATEVALUE($B329&amp;"-01"),Observacion_Directa!$B$2:$B$1000,"&lt;="&amp;EOMONTH(DATEVALUE($B329&amp;"-01"),0)))-1)/4*100,"")</f>
        <v/>
      </c>
      <c r="Y329" t="e">
        <f t="shared" ca="1" si="11"/>
        <v>#DIV/0!</v>
      </c>
    </row>
    <row r="330" spans="12:25" x14ac:dyDescent="0.2">
      <c r="L330" t="str">
        <f t="shared" si="10"/>
        <v/>
      </c>
      <c r="M330" t="str">
        <f>IFERROR(AVERAGEIFS(Prod_5dias!$H$2:$H$1000,Prod_5dias!$A$2:$A$1000,$A330,Prod_5dias!$B$2:$B$1000,$B330),"")</f>
        <v/>
      </c>
      <c r="N330" t="str">
        <f>IF(M330="","",MIN(100,100*M330/Parametros!$B$7))</f>
        <v/>
      </c>
      <c r="O330" t="str">
        <f>IF(F330="","",IF(F330=0,100,MIN(100,100*Parametros!$B$3/F330)))</f>
        <v/>
      </c>
      <c r="P330" t="str">
        <f ca="1">IFERROR(((AVERAGEIFS(Observacion_Directa!$E$2:$E$1000,Observacion_Directa!$A$2:$A$1000,$A330,Observacion_Directa!$B$2:$B$1000,"&gt;="&amp;DATEVALUE($B330&amp;"-01"),Observacion_Directa!$B$2:$B$1000,"&lt;="&amp;EOMONTH(DATEVALUE($B330&amp;"-01"),0)))-1)/4*100,"")</f>
        <v/>
      </c>
      <c r="Q330" t="str">
        <f>IF(H330="","",MIN(100,100*H330/Parametros!$B$4))</f>
        <v/>
      </c>
      <c r="R330" t="str">
        <f>IF(I330="","",IF(I330=0,100,MIN(100,100*Parametros!$B$5/I330)))</f>
        <v/>
      </c>
      <c r="S330" t="str">
        <f>IF(J330="","",IF(J330=0,100,MIN(100,100*Parametros!$B$6/J330)))</f>
        <v/>
      </c>
      <c r="T330" t="str">
        <f>IF(L330="","",MIN(100,100*L330/Parametros!$B$7))</f>
        <v/>
      </c>
      <c r="U330" t="str">
        <f>IF(K330="","",MIN(100,100*K330/Parametros!$B$8))</f>
        <v/>
      </c>
      <c r="V330" t="str">
        <f ca="1">IFERROR(((AVERAGEIFS(Documentacion!$C$2:$C$1000,Documentacion!$A$2:$A$1000,$A330,Documentacion!$B$2:$B$1000,"&gt;="&amp;DATEVALUE($B330&amp;"-01"),Documentacion!$B$2:$B$1000,"&lt;="&amp;EOMONTH(DATEVALUE($B330&amp;"-01"),0)))-1)/4*100,"")</f>
        <v/>
      </c>
      <c r="W330" t="str">
        <f ca="1">IFERROR(((AVERAGEIFS(Feedback_360!$D$2:$D$1000,Feedback_360!$A$2:$A$1000,$A330,Feedback_360!$B$2:$B$1000,"&gt;="&amp;DATEVALUE($B330&amp;"-01"),Feedback_360!$B$2:$B$1000,"&lt;="&amp;EOMONTH(DATEVALUE($B330&amp;"-01"),0)))-1)/4*100,"")</f>
        <v/>
      </c>
      <c r="X330" t="str">
        <f ca="1">IFERROR(((AVERAGEIFS(Observacion_Directa!$D$2:$D$1000,Observacion_Directa!$A$2:$A$1000,$A330,Observacion_Directa!$B$2:$B$1000,"&gt;="&amp;DATEVALUE($B330&amp;"-01"),Observacion_Directa!$B$2:$B$1000,"&lt;="&amp;EOMONTH(DATEVALUE($B330&amp;"-01"),0)))-1)/4*100,"")</f>
        <v/>
      </c>
      <c r="Y330" t="e">
        <f t="shared" ca="1" si="11"/>
        <v>#DIV/0!</v>
      </c>
    </row>
    <row r="331" spans="12:25" x14ac:dyDescent="0.2">
      <c r="L331" t="str">
        <f t="shared" si="10"/>
        <v/>
      </c>
      <c r="M331" t="str">
        <f>IFERROR(AVERAGEIFS(Prod_5dias!$H$2:$H$1000,Prod_5dias!$A$2:$A$1000,$A331,Prod_5dias!$B$2:$B$1000,$B331),"")</f>
        <v/>
      </c>
      <c r="N331" t="str">
        <f>IF(M331="","",MIN(100,100*M331/Parametros!$B$7))</f>
        <v/>
      </c>
      <c r="O331" t="str">
        <f>IF(F331="","",IF(F331=0,100,MIN(100,100*Parametros!$B$3/F331)))</f>
        <v/>
      </c>
      <c r="P331" t="str">
        <f ca="1">IFERROR(((AVERAGEIFS(Observacion_Directa!$E$2:$E$1000,Observacion_Directa!$A$2:$A$1000,$A331,Observacion_Directa!$B$2:$B$1000,"&gt;="&amp;DATEVALUE($B331&amp;"-01"),Observacion_Directa!$B$2:$B$1000,"&lt;="&amp;EOMONTH(DATEVALUE($B331&amp;"-01"),0)))-1)/4*100,"")</f>
        <v/>
      </c>
      <c r="Q331" t="str">
        <f>IF(H331="","",MIN(100,100*H331/Parametros!$B$4))</f>
        <v/>
      </c>
      <c r="R331" t="str">
        <f>IF(I331="","",IF(I331=0,100,MIN(100,100*Parametros!$B$5/I331)))</f>
        <v/>
      </c>
      <c r="S331" t="str">
        <f>IF(J331="","",IF(J331=0,100,MIN(100,100*Parametros!$B$6/J331)))</f>
        <v/>
      </c>
      <c r="T331" t="str">
        <f>IF(L331="","",MIN(100,100*L331/Parametros!$B$7))</f>
        <v/>
      </c>
      <c r="U331" t="str">
        <f>IF(K331="","",MIN(100,100*K331/Parametros!$B$8))</f>
        <v/>
      </c>
      <c r="V331" t="str">
        <f ca="1">IFERROR(((AVERAGEIFS(Documentacion!$C$2:$C$1000,Documentacion!$A$2:$A$1000,$A331,Documentacion!$B$2:$B$1000,"&gt;="&amp;DATEVALUE($B331&amp;"-01"),Documentacion!$B$2:$B$1000,"&lt;="&amp;EOMONTH(DATEVALUE($B331&amp;"-01"),0)))-1)/4*100,"")</f>
        <v/>
      </c>
      <c r="W331" t="str">
        <f ca="1">IFERROR(((AVERAGEIFS(Feedback_360!$D$2:$D$1000,Feedback_360!$A$2:$A$1000,$A331,Feedback_360!$B$2:$B$1000,"&gt;="&amp;DATEVALUE($B331&amp;"-01"),Feedback_360!$B$2:$B$1000,"&lt;="&amp;EOMONTH(DATEVALUE($B331&amp;"-01"),0)))-1)/4*100,"")</f>
        <v/>
      </c>
      <c r="X331" t="str">
        <f ca="1">IFERROR(((AVERAGEIFS(Observacion_Directa!$D$2:$D$1000,Observacion_Directa!$A$2:$A$1000,$A331,Observacion_Directa!$B$2:$B$1000,"&gt;="&amp;DATEVALUE($B331&amp;"-01"),Observacion_Directa!$B$2:$B$1000,"&lt;="&amp;EOMONTH(DATEVALUE($B331&amp;"-01"),0)))-1)/4*100,"")</f>
        <v/>
      </c>
      <c r="Y331" t="e">
        <f t="shared" ca="1" si="11"/>
        <v>#DIV/0!</v>
      </c>
    </row>
    <row r="332" spans="12:25" x14ac:dyDescent="0.2">
      <c r="L332" t="str">
        <f t="shared" si="10"/>
        <v/>
      </c>
      <c r="M332" t="str">
        <f>IFERROR(AVERAGEIFS(Prod_5dias!$H$2:$H$1000,Prod_5dias!$A$2:$A$1000,$A332,Prod_5dias!$B$2:$B$1000,$B332),"")</f>
        <v/>
      </c>
      <c r="N332" t="str">
        <f>IF(M332="","",MIN(100,100*M332/Parametros!$B$7))</f>
        <v/>
      </c>
      <c r="O332" t="str">
        <f>IF(F332="","",IF(F332=0,100,MIN(100,100*Parametros!$B$3/F332)))</f>
        <v/>
      </c>
      <c r="P332" t="str">
        <f ca="1">IFERROR(((AVERAGEIFS(Observacion_Directa!$E$2:$E$1000,Observacion_Directa!$A$2:$A$1000,$A332,Observacion_Directa!$B$2:$B$1000,"&gt;="&amp;DATEVALUE($B332&amp;"-01"),Observacion_Directa!$B$2:$B$1000,"&lt;="&amp;EOMONTH(DATEVALUE($B332&amp;"-01"),0)))-1)/4*100,"")</f>
        <v/>
      </c>
      <c r="Q332" t="str">
        <f>IF(H332="","",MIN(100,100*H332/Parametros!$B$4))</f>
        <v/>
      </c>
      <c r="R332" t="str">
        <f>IF(I332="","",IF(I332=0,100,MIN(100,100*Parametros!$B$5/I332)))</f>
        <v/>
      </c>
      <c r="S332" t="str">
        <f>IF(J332="","",IF(J332=0,100,MIN(100,100*Parametros!$B$6/J332)))</f>
        <v/>
      </c>
      <c r="T332" t="str">
        <f>IF(L332="","",MIN(100,100*L332/Parametros!$B$7))</f>
        <v/>
      </c>
      <c r="U332" t="str">
        <f>IF(K332="","",MIN(100,100*K332/Parametros!$B$8))</f>
        <v/>
      </c>
      <c r="V332" t="str">
        <f ca="1">IFERROR(((AVERAGEIFS(Documentacion!$C$2:$C$1000,Documentacion!$A$2:$A$1000,$A332,Documentacion!$B$2:$B$1000,"&gt;="&amp;DATEVALUE($B332&amp;"-01"),Documentacion!$B$2:$B$1000,"&lt;="&amp;EOMONTH(DATEVALUE($B332&amp;"-01"),0)))-1)/4*100,"")</f>
        <v/>
      </c>
      <c r="W332" t="str">
        <f ca="1">IFERROR(((AVERAGEIFS(Feedback_360!$D$2:$D$1000,Feedback_360!$A$2:$A$1000,$A332,Feedback_360!$B$2:$B$1000,"&gt;="&amp;DATEVALUE($B332&amp;"-01"),Feedback_360!$B$2:$B$1000,"&lt;="&amp;EOMONTH(DATEVALUE($B332&amp;"-01"),0)))-1)/4*100,"")</f>
        <v/>
      </c>
      <c r="X332" t="str">
        <f ca="1">IFERROR(((AVERAGEIFS(Observacion_Directa!$D$2:$D$1000,Observacion_Directa!$A$2:$A$1000,$A332,Observacion_Directa!$B$2:$B$1000,"&gt;="&amp;DATEVALUE($B332&amp;"-01"),Observacion_Directa!$B$2:$B$1000,"&lt;="&amp;EOMONTH(DATEVALUE($B332&amp;"-01"),0)))-1)/4*100,"")</f>
        <v/>
      </c>
      <c r="Y332" t="e">
        <f t="shared" ca="1" si="11"/>
        <v>#DIV/0!</v>
      </c>
    </row>
    <row r="333" spans="12:25" x14ac:dyDescent="0.2">
      <c r="L333" t="str">
        <f t="shared" si="10"/>
        <v/>
      </c>
      <c r="M333" t="str">
        <f>IFERROR(AVERAGEIFS(Prod_5dias!$H$2:$H$1000,Prod_5dias!$A$2:$A$1000,$A333,Prod_5dias!$B$2:$B$1000,$B333),"")</f>
        <v/>
      </c>
      <c r="N333" t="str">
        <f>IF(M333="","",MIN(100,100*M333/Parametros!$B$7))</f>
        <v/>
      </c>
      <c r="O333" t="str">
        <f>IF(F333="","",IF(F333=0,100,MIN(100,100*Parametros!$B$3/F333)))</f>
        <v/>
      </c>
      <c r="P333" t="str">
        <f ca="1">IFERROR(((AVERAGEIFS(Observacion_Directa!$E$2:$E$1000,Observacion_Directa!$A$2:$A$1000,$A333,Observacion_Directa!$B$2:$B$1000,"&gt;="&amp;DATEVALUE($B333&amp;"-01"),Observacion_Directa!$B$2:$B$1000,"&lt;="&amp;EOMONTH(DATEVALUE($B333&amp;"-01"),0)))-1)/4*100,"")</f>
        <v/>
      </c>
      <c r="Q333" t="str">
        <f>IF(H333="","",MIN(100,100*H333/Parametros!$B$4))</f>
        <v/>
      </c>
      <c r="R333" t="str">
        <f>IF(I333="","",IF(I333=0,100,MIN(100,100*Parametros!$B$5/I333)))</f>
        <v/>
      </c>
      <c r="S333" t="str">
        <f>IF(J333="","",IF(J333=0,100,MIN(100,100*Parametros!$B$6/J333)))</f>
        <v/>
      </c>
      <c r="T333" t="str">
        <f>IF(L333="","",MIN(100,100*L333/Parametros!$B$7))</f>
        <v/>
      </c>
      <c r="U333" t="str">
        <f>IF(K333="","",MIN(100,100*K333/Parametros!$B$8))</f>
        <v/>
      </c>
      <c r="V333" t="str">
        <f ca="1">IFERROR(((AVERAGEIFS(Documentacion!$C$2:$C$1000,Documentacion!$A$2:$A$1000,$A333,Documentacion!$B$2:$B$1000,"&gt;="&amp;DATEVALUE($B333&amp;"-01"),Documentacion!$B$2:$B$1000,"&lt;="&amp;EOMONTH(DATEVALUE($B333&amp;"-01"),0)))-1)/4*100,"")</f>
        <v/>
      </c>
      <c r="W333" t="str">
        <f ca="1">IFERROR(((AVERAGEIFS(Feedback_360!$D$2:$D$1000,Feedback_360!$A$2:$A$1000,$A333,Feedback_360!$B$2:$B$1000,"&gt;="&amp;DATEVALUE($B333&amp;"-01"),Feedback_360!$B$2:$B$1000,"&lt;="&amp;EOMONTH(DATEVALUE($B333&amp;"-01"),0)))-1)/4*100,"")</f>
        <v/>
      </c>
      <c r="X333" t="str">
        <f ca="1">IFERROR(((AVERAGEIFS(Observacion_Directa!$D$2:$D$1000,Observacion_Directa!$A$2:$A$1000,$A333,Observacion_Directa!$B$2:$B$1000,"&gt;="&amp;DATEVALUE($B333&amp;"-01"),Observacion_Directa!$B$2:$B$1000,"&lt;="&amp;EOMONTH(DATEVALUE($B333&amp;"-01"),0)))-1)/4*100,"")</f>
        <v/>
      </c>
      <c r="Y333" t="e">
        <f t="shared" ca="1" si="11"/>
        <v>#DIV/0!</v>
      </c>
    </row>
    <row r="334" spans="12:25" x14ac:dyDescent="0.2">
      <c r="L334" t="str">
        <f t="shared" si="10"/>
        <v/>
      </c>
      <c r="M334" t="str">
        <f>IFERROR(AVERAGEIFS(Prod_5dias!$H$2:$H$1000,Prod_5dias!$A$2:$A$1000,$A334,Prod_5dias!$B$2:$B$1000,$B334),"")</f>
        <v/>
      </c>
      <c r="N334" t="str">
        <f>IF(M334="","",MIN(100,100*M334/Parametros!$B$7))</f>
        <v/>
      </c>
      <c r="O334" t="str">
        <f>IF(F334="","",IF(F334=0,100,MIN(100,100*Parametros!$B$3/F334)))</f>
        <v/>
      </c>
      <c r="P334" t="str">
        <f ca="1">IFERROR(((AVERAGEIFS(Observacion_Directa!$E$2:$E$1000,Observacion_Directa!$A$2:$A$1000,$A334,Observacion_Directa!$B$2:$B$1000,"&gt;="&amp;DATEVALUE($B334&amp;"-01"),Observacion_Directa!$B$2:$B$1000,"&lt;="&amp;EOMONTH(DATEVALUE($B334&amp;"-01"),0)))-1)/4*100,"")</f>
        <v/>
      </c>
      <c r="Q334" t="str">
        <f>IF(H334="","",MIN(100,100*H334/Parametros!$B$4))</f>
        <v/>
      </c>
      <c r="R334" t="str">
        <f>IF(I334="","",IF(I334=0,100,MIN(100,100*Parametros!$B$5/I334)))</f>
        <v/>
      </c>
      <c r="S334" t="str">
        <f>IF(J334="","",IF(J334=0,100,MIN(100,100*Parametros!$B$6/J334)))</f>
        <v/>
      </c>
      <c r="T334" t="str">
        <f>IF(L334="","",MIN(100,100*L334/Parametros!$B$7))</f>
        <v/>
      </c>
      <c r="U334" t="str">
        <f>IF(K334="","",MIN(100,100*K334/Parametros!$B$8))</f>
        <v/>
      </c>
      <c r="V334" t="str">
        <f ca="1">IFERROR(((AVERAGEIFS(Documentacion!$C$2:$C$1000,Documentacion!$A$2:$A$1000,$A334,Documentacion!$B$2:$B$1000,"&gt;="&amp;DATEVALUE($B334&amp;"-01"),Documentacion!$B$2:$B$1000,"&lt;="&amp;EOMONTH(DATEVALUE($B334&amp;"-01"),0)))-1)/4*100,"")</f>
        <v/>
      </c>
      <c r="W334" t="str">
        <f ca="1">IFERROR(((AVERAGEIFS(Feedback_360!$D$2:$D$1000,Feedback_360!$A$2:$A$1000,$A334,Feedback_360!$B$2:$B$1000,"&gt;="&amp;DATEVALUE($B334&amp;"-01"),Feedback_360!$B$2:$B$1000,"&lt;="&amp;EOMONTH(DATEVALUE($B334&amp;"-01"),0)))-1)/4*100,"")</f>
        <v/>
      </c>
      <c r="X334" t="str">
        <f ca="1">IFERROR(((AVERAGEIFS(Observacion_Directa!$D$2:$D$1000,Observacion_Directa!$A$2:$A$1000,$A334,Observacion_Directa!$B$2:$B$1000,"&gt;="&amp;DATEVALUE($B334&amp;"-01"),Observacion_Directa!$B$2:$B$1000,"&lt;="&amp;EOMONTH(DATEVALUE($B334&amp;"-01"),0)))-1)/4*100,"")</f>
        <v/>
      </c>
      <c r="Y334" t="e">
        <f t="shared" ca="1" si="11"/>
        <v>#DIV/0!</v>
      </c>
    </row>
    <row r="335" spans="12:25" x14ac:dyDescent="0.2">
      <c r="L335" t="str">
        <f t="shared" si="10"/>
        <v/>
      </c>
      <c r="M335" t="str">
        <f>IFERROR(AVERAGEIFS(Prod_5dias!$H$2:$H$1000,Prod_5dias!$A$2:$A$1000,$A335,Prod_5dias!$B$2:$B$1000,$B335),"")</f>
        <v/>
      </c>
      <c r="N335" t="str">
        <f>IF(M335="","",MIN(100,100*M335/Parametros!$B$7))</f>
        <v/>
      </c>
      <c r="O335" t="str">
        <f>IF(F335="","",IF(F335=0,100,MIN(100,100*Parametros!$B$3/F335)))</f>
        <v/>
      </c>
      <c r="P335" t="str">
        <f ca="1">IFERROR(((AVERAGEIFS(Observacion_Directa!$E$2:$E$1000,Observacion_Directa!$A$2:$A$1000,$A335,Observacion_Directa!$B$2:$B$1000,"&gt;="&amp;DATEVALUE($B335&amp;"-01"),Observacion_Directa!$B$2:$B$1000,"&lt;="&amp;EOMONTH(DATEVALUE($B335&amp;"-01"),0)))-1)/4*100,"")</f>
        <v/>
      </c>
      <c r="Q335" t="str">
        <f>IF(H335="","",MIN(100,100*H335/Parametros!$B$4))</f>
        <v/>
      </c>
      <c r="R335" t="str">
        <f>IF(I335="","",IF(I335=0,100,MIN(100,100*Parametros!$B$5/I335)))</f>
        <v/>
      </c>
      <c r="S335" t="str">
        <f>IF(J335="","",IF(J335=0,100,MIN(100,100*Parametros!$B$6/J335)))</f>
        <v/>
      </c>
      <c r="T335" t="str">
        <f>IF(L335="","",MIN(100,100*L335/Parametros!$B$7))</f>
        <v/>
      </c>
      <c r="U335" t="str">
        <f>IF(K335="","",MIN(100,100*K335/Parametros!$B$8))</f>
        <v/>
      </c>
      <c r="V335" t="str">
        <f ca="1">IFERROR(((AVERAGEIFS(Documentacion!$C$2:$C$1000,Documentacion!$A$2:$A$1000,$A335,Documentacion!$B$2:$B$1000,"&gt;="&amp;DATEVALUE($B335&amp;"-01"),Documentacion!$B$2:$B$1000,"&lt;="&amp;EOMONTH(DATEVALUE($B335&amp;"-01"),0)))-1)/4*100,"")</f>
        <v/>
      </c>
      <c r="W335" t="str">
        <f ca="1">IFERROR(((AVERAGEIFS(Feedback_360!$D$2:$D$1000,Feedback_360!$A$2:$A$1000,$A335,Feedback_360!$B$2:$B$1000,"&gt;="&amp;DATEVALUE($B335&amp;"-01"),Feedback_360!$B$2:$B$1000,"&lt;="&amp;EOMONTH(DATEVALUE($B335&amp;"-01"),0)))-1)/4*100,"")</f>
        <v/>
      </c>
      <c r="X335" t="str">
        <f ca="1">IFERROR(((AVERAGEIFS(Observacion_Directa!$D$2:$D$1000,Observacion_Directa!$A$2:$A$1000,$A335,Observacion_Directa!$B$2:$B$1000,"&gt;="&amp;DATEVALUE($B335&amp;"-01"),Observacion_Directa!$B$2:$B$1000,"&lt;="&amp;EOMONTH(DATEVALUE($B335&amp;"-01"),0)))-1)/4*100,"")</f>
        <v/>
      </c>
      <c r="Y335" t="e">
        <f t="shared" ca="1" si="11"/>
        <v>#DIV/0!</v>
      </c>
    </row>
    <row r="336" spans="12:25" x14ac:dyDescent="0.2">
      <c r="L336" t="str">
        <f t="shared" si="10"/>
        <v/>
      </c>
      <c r="M336" t="str">
        <f>IFERROR(AVERAGEIFS(Prod_5dias!$H$2:$H$1000,Prod_5dias!$A$2:$A$1000,$A336,Prod_5dias!$B$2:$B$1000,$B336),"")</f>
        <v/>
      </c>
      <c r="N336" t="str">
        <f>IF(M336="","",MIN(100,100*M336/Parametros!$B$7))</f>
        <v/>
      </c>
      <c r="O336" t="str">
        <f>IF(F336="","",IF(F336=0,100,MIN(100,100*Parametros!$B$3/F336)))</f>
        <v/>
      </c>
      <c r="P336" t="str">
        <f ca="1">IFERROR(((AVERAGEIFS(Observacion_Directa!$E$2:$E$1000,Observacion_Directa!$A$2:$A$1000,$A336,Observacion_Directa!$B$2:$B$1000,"&gt;="&amp;DATEVALUE($B336&amp;"-01"),Observacion_Directa!$B$2:$B$1000,"&lt;="&amp;EOMONTH(DATEVALUE($B336&amp;"-01"),0)))-1)/4*100,"")</f>
        <v/>
      </c>
      <c r="Q336" t="str">
        <f>IF(H336="","",MIN(100,100*H336/Parametros!$B$4))</f>
        <v/>
      </c>
      <c r="R336" t="str">
        <f>IF(I336="","",IF(I336=0,100,MIN(100,100*Parametros!$B$5/I336)))</f>
        <v/>
      </c>
      <c r="S336" t="str">
        <f>IF(J336="","",IF(J336=0,100,MIN(100,100*Parametros!$B$6/J336)))</f>
        <v/>
      </c>
      <c r="T336" t="str">
        <f>IF(L336="","",MIN(100,100*L336/Parametros!$B$7))</f>
        <v/>
      </c>
      <c r="U336" t="str">
        <f>IF(K336="","",MIN(100,100*K336/Parametros!$B$8))</f>
        <v/>
      </c>
      <c r="V336" t="str">
        <f ca="1">IFERROR(((AVERAGEIFS(Documentacion!$C$2:$C$1000,Documentacion!$A$2:$A$1000,$A336,Documentacion!$B$2:$B$1000,"&gt;="&amp;DATEVALUE($B336&amp;"-01"),Documentacion!$B$2:$B$1000,"&lt;="&amp;EOMONTH(DATEVALUE($B336&amp;"-01"),0)))-1)/4*100,"")</f>
        <v/>
      </c>
      <c r="W336" t="str">
        <f ca="1">IFERROR(((AVERAGEIFS(Feedback_360!$D$2:$D$1000,Feedback_360!$A$2:$A$1000,$A336,Feedback_360!$B$2:$B$1000,"&gt;="&amp;DATEVALUE($B336&amp;"-01"),Feedback_360!$B$2:$B$1000,"&lt;="&amp;EOMONTH(DATEVALUE($B336&amp;"-01"),0)))-1)/4*100,"")</f>
        <v/>
      </c>
      <c r="X336" t="str">
        <f ca="1">IFERROR(((AVERAGEIFS(Observacion_Directa!$D$2:$D$1000,Observacion_Directa!$A$2:$A$1000,$A336,Observacion_Directa!$B$2:$B$1000,"&gt;="&amp;DATEVALUE($B336&amp;"-01"),Observacion_Directa!$B$2:$B$1000,"&lt;="&amp;EOMONTH(DATEVALUE($B336&amp;"-01"),0)))-1)/4*100,"")</f>
        <v/>
      </c>
      <c r="Y336" t="e">
        <f t="shared" ca="1" si="11"/>
        <v>#DIV/0!</v>
      </c>
    </row>
    <row r="337" spans="12:25" x14ac:dyDescent="0.2">
      <c r="L337" t="str">
        <f t="shared" si="10"/>
        <v/>
      </c>
      <c r="M337" t="str">
        <f>IFERROR(AVERAGEIFS(Prod_5dias!$H$2:$H$1000,Prod_5dias!$A$2:$A$1000,$A337,Prod_5dias!$B$2:$B$1000,$B337),"")</f>
        <v/>
      </c>
      <c r="N337" t="str">
        <f>IF(M337="","",MIN(100,100*M337/Parametros!$B$7))</f>
        <v/>
      </c>
      <c r="O337" t="str">
        <f>IF(F337="","",IF(F337=0,100,MIN(100,100*Parametros!$B$3/F337)))</f>
        <v/>
      </c>
      <c r="P337" t="str">
        <f ca="1">IFERROR(((AVERAGEIFS(Observacion_Directa!$E$2:$E$1000,Observacion_Directa!$A$2:$A$1000,$A337,Observacion_Directa!$B$2:$B$1000,"&gt;="&amp;DATEVALUE($B337&amp;"-01"),Observacion_Directa!$B$2:$B$1000,"&lt;="&amp;EOMONTH(DATEVALUE($B337&amp;"-01"),0)))-1)/4*100,"")</f>
        <v/>
      </c>
      <c r="Q337" t="str">
        <f>IF(H337="","",MIN(100,100*H337/Parametros!$B$4))</f>
        <v/>
      </c>
      <c r="R337" t="str">
        <f>IF(I337="","",IF(I337=0,100,MIN(100,100*Parametros!$B$5/I337)))</f>
        <v/>
      </c>
      <c r="S337" t="str">
        <f>IF(J337="","",IF(J337=0,100,MIN(100,100*Parametros!$B$6/J337)))</f>
        <v/>
      </c>
      <c r="T337" t="str">
        <f>IF(L337="","",MIN(100,100*L337/Parametros!$B$7))</f>
        <v/>
      </c>
      <c r="U337" t="str">
        <f>IF(K337="","",MIN(100,100*K337/Parametros!$B$8))</f>
        <v/>
      </c>
      <c r="V337" t="str">
        <f ca="1">IFERROR(((AVERAGEIFS(Documentacion!$C$2:$C$1000,Documentacion!$A$2:$A$1000,$A337,Documentacion!$B$2:$B$1000,"&gt;="&amp;DATEVALUE($B337&amp;"-01"),Documentacion!$B$2:$B$1000,"&lt;="&amp;EOMONTH(DATEVALUE($B337&amp;"-01"),0)))-1)/4*100,"")</f>
        <v/>
      </c>
      <c r="W337" t="str">
        <f ca="1">IFERROR(((AVERAGEIFS(Feedback_360!$D$2:$D$1000,Feedback_360!$A$2:$A$1000,$A337,Feedback_360!$B$2:$B$1000,"&gt;="&amp;DATEVALUE($B337&amp;"-01"),Feedback_360!$B$2:$B$1000,"&lt;="&amp;EOMONTH(DATEVALUE($B337&amp;"-01"),0)))-1)/4*100,"")</f>
        <v/>
      </c>
      <c r="X337" t="str">
        <f ca="1">IFERROR(((AVERAGEIFS(Observacion_Directa!$D$2:$D$1000,Observacion_Directa!$A$2:$A$1000,$A337,Observacion_Directa!$B$2:$B$1000,"&gt;="&amp;DATEVALUE($B337&amp;"-01"),Observacion_Directa!$B$2:$B$1000,"&lt;="&amp;EOMONTH(DATEVALUE($B337&amp;"-01"),0)))-1)/4*100,"")</f>
        <v/>
      </c>
      <c r="Y337" t="e">
        <f t="shared" ca="1" si="11"/>
        <v>#DIV/0!</v>
      </c>
    </row>
    <row r="338" spans="12:25" x14ac:dyDescent="0.2">
      <c r="L338" t="str">
        <f t="shared" si="10"/>
        <v/>
      </c>
      <c r="M338" t="str">
        <f>IFERROR(AVERAGEIFS(Prod_5dias!$H$2:$H$1000,Prod_5dias!$A$2:$A$1000,$A338,Prod_5dias!$B$2:$B$1000,$B338),"")</f>
        <v/>
      </c>
      <c r="N338" t="str">
        <f>IF(M338="","",MIN(100,100*M338/Parametros!$B$7))</f>
        <v/>
      </c>
      <c r="O338" t="str">
        <f>IF(F338="","",IF(F338=0,100,MIN(100,100*Parametros!$B$3/F338)))</f>
        <v/>
      </c>
      <c r="P338" t="str">
        <f ca="1">IFERROR(((AVERAGEIFS(Observacion_Directa!$E$2:$E$1000,Observacion_Directa!$A$2:$A$1000,$A338,Observacion_Directa!$B$2:$B$1000,"&gt;="&amp;DATEVALUE($B338&amp;"-01"),Observacion_Directa!$B$2:$B$1000,"&lt;="&amp;EOMONTH(DATEVALUE($B338&amp;"-01"),0)))-1)/4*100,"")</f>
        <v/>
      </c>
      <c r="Q338" t="str">
        <f>IF(H338="","",MIN(100,100*H338/Parametros!$B$4))</f>
        <v/>
      </c>
      <c r="R338" t="str">
        <f>IF(I338="","",IF(I338=0,100,MIN(100,100*Parametros!$B$5/I338)))</f>
        <v/>
      </c>
      <c r="S338" t="str">
        <f>IF(J338="","",IF(J338=0,100,MIN(100,100*Parametros!$B$6/J338)))</f>
        <v/>
      </c>
      <c r="T338" t="str">
        <f>IF(L338="","",MIN(100,100*L338/Parametros!$B$7))</f>
        <v/>
      </c>
      <c r="U338" t="str">
        <f>IF(K338="","",MIN(100,100*K338/Parametros!$B$8))</f>
        <v/>
      </c>
      <c r="V338" t="str">
        <f ca="1">IFERROR(((AVERAGEIFS(Documentacion!$C$2:$C$1000,Documentacion!$A$2:$A$1000,$A338,Documentacion!$B$2:$B$1000,"&gt;="&amp;DATEVALUE($B338&amp;"-01"),Documentacion!$B$2:$B$1000,"&lt;="&amp;EOMONTH(DATEVALUE($B338&amp;"-01"),0)))-1)/4*100,"")</f>
        <v/>
      </c>
      <c r="W338" t="str">
        <f ca="1">IFERROR(((AVERAGEIFS(Feedback_360!$D$2:$D$1000,Feedback_360!$A$2:$A$1000,$A338,Feedback_360!$B$2:$B$1000,"&gt;="&amp;DATEVALUE($B338&amp;"-01"),Feedback_360!$B$2:$B$1000,"&lt;="&amp;EOMONTH(DATEVALUE($B338&amp;"-01"),0)))-1)/4*100,"")</f>
        <v/>
      </c>
      <c r="X338" t="str">
        <f ca="1">IFERROR(((AVERAGEIFS(Observacion_Directa!$D$2:$D$1000,Observacion_Directa!$A$2:$A$1000,$A338,Observacion_Directa!$B$2:$B$1000,"&gt;="&amp;DATEVALUE($B338&amp;"-01"),Observacion_Directa!$B$2:$B$1000,"&lt;="&amp;EOMONTH(DATEVALUE($B338&amp;"-01"),0)))-1)/4*100,"")</f>
        <v/>
      </c>
      <c r="Y338" t="e">
        <f t="shared" ca="1" si="11"/>
        <v>#DIV/0!</v>
      </c>
    </row>
    <row r="339" spans="12:25" x14ac:dyDescent="0.2">
      <c r="L339" t="str">
        <f t="shared" si="10"/>
        <v/>
      </c>
      <c r="M339" t="str">
        <f>IFERROR(AVERAGEIFS(Prod_5dias!$H$2:$H$1000,Prod_5dias!$A$2:$A$1000,$A339,Prod_5dias!$B$2:$B$1000,$B339),"")</f>
        <v/>
      </c>
      <c r="N339" t="str">
        <f>IF(M339="","",MIN(100,100*M339/Parametros!$B$7))</f>
        <v/>
      </c>
      <c r="O339" t="str">
        <f>IF(F339="","",IF(F339=0,100,MIN(100,100*Parametros!$B$3/F339)))</f>
        <v/>
      </c>
      <c r="P339" t="str">
        <f ca="1">IFERROR(((AVERAGEIFS(Observacion_Directa!$E$2:$E$1000,Observacion_Directa!$A$2:$A$1000,$A339,Observacion_Directa!$B$2:$B$1000,"&gt;="&amp;DATEVALUE($B339&amp;"-01"),Observacion_Directa!$B$2:$B$1000,"&lt;="&amp;EOMONTH(DATEVALUE($B339&amp;"-01"),0)))-1)/4*100,"")</f>
        <v/>
      </c>
      <c r="Q339" t="str">
        <f>IF(H339="","",MIN(100,100*H339/Parametros!$B$4))</f>
        <v/>
      </c>
      <c r="R339" t="str">
        <f>IF(I339="","",IF(I339=0,100,MIN(100,100*Parametros!$B$5/I339)))</f>
        <v/>
      </c>
      <c r="S339" t="str">
        <f>IF(J339="","",IF(J339=0,100,MIN(100,100*Parametros!$B$6/J339)))</f>
        <v/>
      </c>
      <c r="T339" t="str">
        <f>IF(L339="","",MIN(100,100*L339/Parametros!$B$7))</f>
        <v/>
      </c>
      <c r="U339" t="str">
        <f>IF(K339="","",MIN(100,100*K339/Parametros!$B$8))</f>
        <v/>
      </c>
      <c r="V339" t="str">
        <f ca="1">IFERROR(((AVERAGEIFS(Documentacion!$C$2:$C$1000,Documentacion!$A$2:$A$1000,$A339,Documentacion!$B$2:$B$1000,"&gt;="&amp;DATEVALUE($B339&amp;"-01"),Documentacion!$B$2:$B$1000,"&lt;="&amp;EOMONTH(DATEVALUE($B339&amp;"-01"),0)))-1)/4*100,"")</f>
        <v/>
      </c>
      <c r="W339" t="str">
        <f ca="1">IFERROR(((AVERAGEIFS(Feedback_360!$D$2:$D$1000,Feedback_360!$A$2:$A$1000,$A339,Feedback_360!$B$2:$B$1000,"&gt;="&amp;DATEVALUE($B339&amp;"-01"),Feedback_360!$B$2:$B$1000,"&lt;="&amp;EOMONTH(DATEVALUE($B339&amp;"-01"),0)))-1)/4*100,"")</f>
        <v/>
      </c>
      <c r="X339" t="str">
        <f ca="1">IFERROR(((AVERAGEIFS(Observacion_Directa!$D$2:$D$1000,Observacion_Directa!$A$2:$A$1000,$A339,Observacion_Directa!$B$2:$B$1000,"&gt;="&amp;DATEVALUE($B339&amp;"-01"),Observacion_Directa!$B$2:$B$1000,"&lt;="&amp;EOMONTH(DATEVALUE($B339&amp;"-01"),0)))-1)/4*100,"")</f>
        <v/>
      </c>
      <c r="Y339" t="e">
        <f t="shared" ca="1" si="11"/>
        <v>#DIV/0!</v>
      </c>
    </row>
    <row r="340" spans="12:25" x14ac:dyDescent="0.2">
      <c r="L340" t="str">
        <f t="shared" si="10"/>
        <v/>
      </c>
      <c r="M340" t="str">
        <f>IFERROR(AVERAGEIFS(Prod_5dias!$H$2:$H$1000,Prod_5dias!$A$2:$A$1000,$A340,Prod_5dias!$B$2:$B$1000,$B340),"")</f>
        <v/>
      </c>
      <c r="N340" t="str">
        <f>IF(M340="","",MIN(100,100*M340/Parametros!$B$7))</f>
        <v/>
      </c>
      <c r="O340" t="str">
        <f>IF(F340="","",IF(F340=0,100,MIN(100,100*Parametros!$B$3/F340)))</f>
        <v/>
      </c>
      <c r="P340" t="str">
        <f ca="1">IFERROR(((AVERAGEIFS(Observacion_Directa!$E$2:$E$1000,Observacion_Directa!$A$2:$A$1000,$A340,Observacion_Directa!$B$2:$B$1000,"&gt;="&amp;DATEVALUE($B340&amp;"-01"),Observacion_Directa!$B$2:$B$1000,"&lt;="&amp;EOMONTH(DATEVALUE($B340&amp;"-01"),0)))-1)/4*100,"")</f>
        <v/>
      </c>
      <c r="Q340" t="str">
        <f>IF(H340="","",MIN(100,100*H340/Parametros!$B$4))</f>
        <v/>
      </c>
      <c r="R340" t="str">
        <f>IF(I340="","",IF(I340=0,100,MIN(100,100*Parametros!$B$5/I340)))</f>
        <v/>
      </c>
      <c r="S340" t="str">
        <f>IF(J340="","",IF(J340=0,100,MIN(100,100*Parametros!$B$6/J340)))</f>
        <v/>
      </c>
      <c r="T340" t="str">
        <f>IF(L340="","",MIN(100,100*L340/Parametros!$B$7))</f>
        <v/>
      </c>
      <c r="U340" t="str">
        <f>IF(K340="","",MIN(100,100*K340/Parametros!$B$8))</f>
        <v/>
      </c>
      <c r="V340" t="str">
        <f ca="1">IFERROR(((AVERAGEIFS(Documentacion!$C$2:$C$1000,Documentacion!$A$2:$A$1000,$A340,Documentacion!$B$2:$B$1000,"&gt;="&amp;DATEVALUE($B340&amp;"-01"),Documentacion!$B$2:$B$1000,"&lt;="&amp;EOMONTH(DATEVALUE($B340&amp;"-01"),0)))-1)/4*100,"")</f>
        <v/>
      </c>
      <c r="W340" t="str">
        <f ca="1">IFERROR(((AVERAGEIFS(Feedback_360!$D$2:$D$1000,Feedback_360!$A$2:$A$1000,$A340,Feedback_360!$B$2:$B$1000,"&gt;="&amp;DATEVALUE($B340&amp;"-01"),Feedback_360!$B$2:$B$1000,"&lt;="&amp;EOMONTH(DATEVALUE($B340&amp;"-01"),0)))-1)/4*100,"")</f>
        <v/>
      </c>
      <c r="X340" t="str">
        <f ca="1">IFERROR(((AVERAGEIFS(Observacion_Directa!$D$2:$D$1000,Observacion_Directa!$A$2:$A$1000,$A340,Observacion_Directa!$B$2:$B$1000,"&gt;="&amp;DATEVALUE($B340&amp;"-01"),Observacion_Directa!$B$2:$B$1000,"&lt;="&amp;EOMONTH(DATEVALUE($B340&amp;"-01"),0)))-1)/4*100,"")</f>
        <v/>
      </c>
      <c r="Y340" t="e">
        <f t="shared" ca="1" si="11"/>
        <v>#DIV/0!</v>
      </c>
    </row>
    <row r="341" spans="12:25" x14ac:dyDescent="0.2">
      <c r="L341" t="str">
        <f t="shared" si="10"/>
        <v/>
      </c>
      <c r="M341" t="str">
        <f>IFERROR(AVERAGEIFS(Prod_5dias!$H$2:$H$1000,Prod_5dias!$A$2:$A$1000,$A341,Prod_5dias!$B$2:$B$1000,$B341),"")</f>
        <v/>
      </c>
      <c r="N341" t="str">
        <f>IF(M341="","",MIN(100,100*M341/Parametros!$B$7))</f>
        <v/>
      </c>
      <c r="O341" t="str">
        <f>IF(F341="","",IF(F341=0,100,MIN(100,100*Parametros!$B$3/F341)))</f>
        <v/>
      </c>
      <c r="P341" t="str">
        <f ca="1">IFERROR(((AVERAGEIFS(Observacion_Directa!$E$2:$E$1000,Observacion_Directa!$A$2:$A$1000,$A341,Observacion_Directa!$B$2:$B$1000,"&gt;="&amp;DATEVALUE($B341&amp;"-01"),Observacion_Directa!$B$2:$B$1000,"&lt;="&amp;EOMONTH(DATEVALUE($B341&amp;"-01"),0)))-1)/4*100,"")</f>
        <v/>
      </c>
      <c r="Q341" t="str">
        <f>IF(H341="","",MIN(100,100*H341/Parametros!$B$4))</f>
        <v/>
      </c>
      <c r="R341" t="str">
        <f>IF(I341="","",IF(I341=0,100,MIN(100,100*Parametros!$B$5/I341)))</f>
        <v/>
      </c>
      <c r="S341" t="str">
        <f>IF(J341="","",IF(J341=0,100,MIN(100,100*Parametros!$B$6/J341)))</f>
        <v/>
      </c>
      <c r="T341" t="str">
        <f>IF(L341="","",MIN(100,100*L341/Parametros!$B$7))</f>
        <v/>
      </c>
      <c r="U341" t="str">
        <f>IF(K341="","",MIN(100,100*K341/Parametros!$B$8))</f>
        <v/>
      </c>
      <c r="V341" t="str">
        <f ca="1">IFERROR(((AVERAGEIFS(Documentacion!$C$2:$C$1000,Documentacion!$A$2:$A$1000,$A341,Documentacion!$B$2:$B$1000,"&gt;="&amp;DATEVALUE($B341&amp;"-01"),Documentacion!$B$2:$B$1000,"&lt;="&amp;EOMONTH(DATEVALUE($B341&amp;"-01"),0)))-1)/4*100,"")</f>
        <v/>
      </c>
      <c r="W341" t="str">
        <f ca="1">IFERROR(((AVERAGEIFS(Feedback_360!$D$2:$D$1000,Feedback_360!$A$2:$A$1000,$A341,Feedback_360!$B$2:$B$1000,"&gt;="&amp;DATEVALUE($B341&amp;"-01"),Feedback_360!$B$2:$B$1000,"&lt;="&amp;EOMONTH(DATEVALUE($B341&amp;"-01"),0)))-1)/4*100,"")</f>
        <v/>
      </c>
      <c r="X341" t="str">
        <f ca="1">IFERROR(((AVERAGEIFS(Observacion_Directa!$D$2:$D$1000,Observacion_Directa!$A$2:$A$1000,$A341,Observacion_Directa!$B$2:$B$1000,"&gt;="&amp;DATEVALUE($B341&amp;"-01"),Observacion_Directa!$B$2:$B$1000,"&lt;="&amp;EOMONTH(DATEVALUE($B341&amp;"-01"),0)))-1)/4*100,"")</f>
        <v/>
      </c>
      <c r="Y341" t="e">
        <f t="shared" ca="1" si="11"/>
        <v>#DIV/0!</v>
      </c>
    </row>
    <row r="342" spans="12:25" x14ac:dyDescent="0.2">
      <c r="L342" t="str">
        <f t="shared" si="10"/>
        <v/>
      </c>
      <c r="M342" t="str">
        <f>IFERROR(AVERAGEIFS(Prod_5dias!$H$2:$H$1000,Prod_5dias!$A$2:$A$1000,$A342,Prod_5dias!$B$2:$B$1000,$B342),"")</f>
        <v/>
      </c>
      <c r="N342" t="str">
        <f>IF(M342="","",MIN(100,100*M342/Parametros!$B$7))</f>
        <v/>
      </c>
      <c r="O342" t="str">
        <f>IF(F342="","",IF(F342=0,100,MIN(100,100*Parametros!$B$3/F342)))</f>
        <v/>
      </c>
      <c r="P342" t="str">
        <f ca="1">IFERROR(((AVERAGEIFS(Observacion_Directa!$E$2:$E$1000,Observacion_Directa!$A$2:$A$1000,$A342,Observacion_Directa!$B$2:$B$1000,"&gt;="&amp;DATEVALUE($B342&amp;"-01"),Observacion_Directa!$B$2:$B$1000,"&lt;="&amp;EOMONTH(DATEVALUE($B342&amp;"-01"),0)))-1)/4*100,"")</f>
        <v/>
      </c>
      <c r="Q342" t="str">
        <f>IF(H342="","",MIN(100,100*H342/Parametros!$B$4))</f>
        <v/>
      </c>
      <c r="R342" t="str">
        <f>IF(I342="","",IF(I342=0,100,MIN(100,100*Parametros!$B$5/I342)))</f>
        <v/>
      </c>
      <c r="S342" t="str">
        <f>IF(J342="","",IF(J342=0,100,MIN(100,100*Parametros!$B$6/J342)))</f>
        <v/>
      </c>
      <c r="T342" t="str">
        <f>IF(L342="","",MIN(100,100*L342/Parametros!$B$7))</f>
        <v/>
      </c>
      <c r="U342" t="str">
        <f>IF(K342="","",MIN(100,100*K342/Parametros!$B$8))</f>
        <v/>
      </c>
      <c r="V342" t="str">
        <f ca="1">IFERROR(((AVERAGEIFS(Documentacion!$C$2:$C$1000,Documentacion!$A$2:$A$1000,$A342,Documentacion!$B$2:$B$1000,"&gt;="&amp;DATEVALUE($B342&amp;"-01"),Documentacion!$B$2:$B$1000,"&lt;="&amp;EOMONTH(DATEVALUE($B342&amp;"-01"),0)))-1)/4*100,"")</f>
        <v/>
      </c>
      <c r="W342" t="str">
        <f ca="1">IFERROR(((AVERAGEIFS(Feedback_360!$D$2:$D$1000,Feedback_360!$A$2:$A$1000,$A342,Feedback_360!$B$2:$B$1000,"&gt;="&amp;DATEVALUE($B342&amp;"-01"),Feedback_360!$B$2:$B$1000,"&lt;="&amp;EOMONTH(DATEVALUE($B342&amp;"-01"),0)))-1)/4*100,"")</f>
        <v/>
      </c>
      <c r="X342" t="str">
        <f ca="1">IFERROR(((AVERAGEIFS(Observacion_Directa!$D$2:$D$1000,Observacion_Directa!$A$2:$A$1000,$A342,Observacion_Directa!$B$2:$B$1000,"&gt;="&amp;DATEVALUE($B342&amp;"-01"),Observacion_Directa!$B$2:$B$1000,"&lt;="&amp;EOMONTH(DATEVALUE($B342&amp;"-01"),0)))-1)/4*100,"")</f>
        <v/>
      </c>
      <c r="Y342" t="e">
        <f t="shared" ca="1" si="11"/>
        <v>#DIV/0!</v>
      </c>
    </row>
    <row r="343" spans="12:25" x14ac:dyDescent="0.2">
      <c r="L343" t="str">
        <f t="shared" si="10"/>
        <v/>
      </c>
      <c r="M343" t="str">
        <f>IFERROR(AVERAGEIFS(Prod_5dias!$H$2:$H$1000,Prod_5dias!$A$2:$A$1000,$A343,Prod_5dias!$B$2:$B$1000,$B343),"")</f>
        <v/>
      </c>
      <c r="N343" t="str">
        <f>IF(M343="","",MIN(100,100*M343/Parametros!$B$7))</f>
        <v/>
      </c>
      <c r="O343" t="str">
        <f>IF(F343="","",IF(F343=0,100,MIN(100,100*Parametros!$B$3/F343)))</f>
        <v/>
      </c>
      <c r="P343" t="str">
        <f ca="1">IFERROR(((AVERAGEIFS(Observacion_Directa!$E$2:$E$1000,Observacion_Directa!$A$2:$A$1000,$A343,Observacion_Directa!$B$2:$B$1000,"&gt;="&amp;DATEVALUE($B343&amp;"-01"),Observacion_Directa!$B$2:$B$1000,"&lt;="&amp;EOMONTH(DATEVALUE($B343&amp;"-01"),0)))-1)/4*100,"")</f>
        <v/>
      </c>
      <c r="Q343" t="str">
        <f>IF(H343="","",MIN(100,100*H343/Parametros!$B$4))</f>
        <v/>
      </c>
      <c r="R343" t="str">
        <f>IF(I343="","",IF(I343=0,100,MIN(100,100*Parametros!$B$5/I343)))</f>
        <v/>
      </c>
      <c r="S343" t="str">
        <f>IF(J343="","",IF(J343=0,100,MIN(100,100*Parametros!$B$6/J343)))</f>
        <v/>
      </c>
      <c r="T343" t="str">
        <f>IF(L343="","",MIN(100,100*L343/Parametros!$B$7))</f>
        <v/>
      </c>
      <c r="U343" t="str">
        <f>IF(K343="","",MIN(100,100*K343/Parametros!$B$8))</f>
        <v/>
      </c>
      <c r="V343" t="str">
        <f ca="1">IFERROR(((AVERAGEIFS(Documentacion!$C$2:$C$1000,Documentacion!$A$2:$A$1000,$A343,Documentacion!$B$2:$B$1000,"&gt;="&amp;DATEVALUE($B343&amp;"-01"),Documentacion!$B$2:$B$1000,"&lt;="&amp;EOMONTH(DATEVALUE($B343&amp;"-01"),0)))-1)/4*100,"")</f>
        <v/>
      </c>
      <c r="W343" t="str">
        <f ca="1">IFERROR(((AVERAGEIFS(Feedback_360!$D$2:$D$1000,Feedback_360!$A$2:$A$1000,$A343,Feedback_360!$B$2:$B$1000,"&gt;="&amp;DATEVALUE($B343&amp;"-01"),Feedback_360!$B$2:$B$1000,"&lt;="&amp;EOMONTH(DATEVALUE($B343&amp;"-01"),0)))-1)/4*100,"")</f>
        <v/>
      </c>
      <c r="X343" t="str">
        <f ca="1">IFERROR(((AVERAGEIFS(Observacion_Directa!$D$2:$D$1000,Observacion_Directa!$A$2:$A$1000,$A343,Observacion_Directa!$B$2:$B$1000,"&gt;="&amp;DATEVALUE($B343&amp;"-01"),Observacion_Directa!$B$2:$B$1000,"&lt;="&amp;EOMONTH(DATEVALUE($B343&amp;"-01"),0)))-1)/4*100,"")</f>
        <v/>
      </c>
      <c r="Y343" t="e">
        <f t="shared" ca="1" si="11"/>
        <v>#DIV/0!</v>
      </c>
    </row>
    <row r="344" spans="12:25" x14ac:dyDescent="0.2">
      <c r="L344" t="str">
        <f t="shared" si="10"/>
        <v/>
      </c>
      <c r="M344" t="str">
        <f>IFERROR(AVERAGEIFS(Prod_5dias!$H$2:$H$1000,Prod_5dias!$A$2:$A$1000,$A344,Prod_5dias!$B$2:$B$1000,$B344),"")</f>
        <v/>
      </c>
      <c r="N344" t="str">
        <f>IF(M344="","",MIN(100,100*M344/Parametros!$B$7))</f>
        <v/>
      </c>
      <c r="O344" t="str">
        <f>IF(F344="","",IF(F344=0,100,MIN(100,100*Parametros!$B$3/F344)))</f>
        <v/>
      </c>
      <c r="P344" t="str">
        <f ca="1">IFERROR(((AVERAGEIFS(Observacion_Directa!$E$2:$E$1000,Observacion_Directa!$A$2:$A$1000,$A344,Observacion_Directa!$B$2:$B$1000,"&gt;="&amp;DATEVALUE($B344&amp;"-01"),Observacion_Directa!$B$2:$B$1000,"&lt;="&amp;EOMONTH(DATEVALUE($B344&amp;"-01"),0)))-1)/4*100,"")</f>
        <v/>
      </c>
      <c r="Q344" t="str">
        <f>IF(H344="","",MIN(100,100*H344/Parametros!$B$4))</f>
        <v/>
      </c>
      <c r="R344" t="str">
        <f>IF(I344="","",IF(I344=0,100,MIN(100,100*Parametros!$B$5/I344)))</f>
        <v/>
      </c>
      <c r="S344" t="str">
        <f>IF(J344="","",IF(J344=0,100,MIN(100,100*Parametros!$B$6/J344)))</f>
        <v/>
      </c>
      <c r="T344" t="str">
        <f>IF(L344="","",MIN(100,100*L344/Parametros!$B$7))</f>
        <v/>
      </c>
      <c r="U344" t="str">
        <f>IF(K344="","",MIN(100,100*K344/Parametros!$B$8))</f>
        <v/>
      </c>
      <c r="V344" t="str">
        <f ca="1">IFERROR(((AVERAGEIFS(Documentacion!$C$2:$C$1000,Documentacion!$A$2:$A$1000,$A344,Documentacion!$B$2:$B$1000,"&gt;="&amp;DATEVALUE($B344&amp;"-01"),Documentacion!$B$2:$B$1000,"&lt;="&amp;EOMONTH(DATEVALUE($B344&amp;"-01"),0)))-1)/4*100,"")</f>
        <v/>
      </c>
      <c r="W344" t="str">
        <f ca="1">IFERROR(((AVERAGEIFS(Feedback_360!$D$2:$D$1000,Feedback_360!$A$2:$A$1000,$A344,Feedback_360!$B$2:$B$1000,"&gt;="&amp;DATEVALUE($B344&amp;"-01"),Feedback_360!$B$2:$B$1000,"&lt;="&amp;EOMONTH(DATEVALUE($B344&amp;"-01"),0)))-1)/4*100,"")</f>
        <v/>
      </c>
      <c r="X344" t="str">
        <f ca="1">IFERROR(((AVERAGEIFS(Observacion_Directa!$D$2:$D$1000,Observacion_Directa!$A$2:$A$1000,$A344,Observacion_Directa!$B$2:$B$1000,"&gt;="&amp;DATEVALUE($B344&amp;"-01"),Observacion_Directa!$B$2:$B$1000,"&lt;="&amp;EOMONTH(DATEVALUE($B344&amp;"-01"),0)))-1)/4*100,"")</f>
        <v/>
      </c>
      <c r="Y344" t="e">
        <f t="shared" ca="1" si="11"/>
        <v>#DIV/0!</v>
      </c>
    </row>
    <row r="345" spans="12:25" x14ac:dyDescent="0.2">
      <c r="L345" t="str">
        <f t="shared" si="10"/>
        <v/>
      </c>
      <c r="M345" t="str">
        <f>IFERROR(AVERAGEIFS(Prod_5dias!$H$2:$H$1000,Prod_5dias!$A$2:$A$1000,$A345,Prod_5dias!$B$2:$B$1000,$B345),"")</f>
        <v/>
      </c>
      <c r="N345" t="str">
        <f>IF(M345="","",MIN(100,100*M345/Parametros!$B$7))</f>
        <v/>
      </c>
      <c r="O345" t="str">
        <f>IF(F345="","",IF(F345=0,100,MIN(100,100*Parametros!$B$3/F345)))</f>
        <v/>
      </c>
      <c r="P345" t="str">
        <f ca="1">IFERROR(((AVERAGEIFS(Observacion_Directa!$E$2:$E$1000,Observacion_Directa!$A$2:$A$1000,$A345,Observacion_Directa!$B$2:$B$1000,"&gt;="&amp;DATEVALUE($B345&amp;"-01"),Observacion_Directa!$B$2:$B$1000,"&lt;="&amp;EOMONTH(DATEVALUE($B345&amp;"-01"),0)))-1)/4*100,"")</f>
        <v/>
      </c>
      <c r="Q345" t="str">
        <f>IF(H345="","",MIN(100,100*H345/Parametros!$B$4))</f>
        <v/>
      </c>
      <c r="R345" t="str">
        <f>IF(I345="","",IF(I345=0,100,MIN(100,100*Parametros!$B$5/I345)))</f>
        <v/>
      </c>
      <c r="S345" t="str">
        <f>IF(J345="","",IF(J345=0,100,MIN(100,100*Parametros!$B$6/J345)))</f>
        <v/>
      </c>
      <c r="T345" t="str">
        <f>IF(L345="","",MIN(100,100*L345/Parametros!$B$7))</f>
        <v/>
      </c>
      <c r="U345" t="str">
        <f>IF(K345="","",MIN(100,100*K345/Parametros!$B$8))</f>
        <v/>
      </c>
      <c r="V345" t="str">
        <f ca="1">IFERROR(((AVERAGEIFS(Documentacion!$C$2:$C$1000,Documentacion!$A$2:$A$1000,$A345,Documentacion!$B$2:$B$1000,"&gt;="&amp;DATEVALUE($B345&amp;"-01"),Documentacion!$B$2:$B$1000,"&lt;="&amp;EOMONTH(DATEVALUE($B345&amp;"-01"),0)))-1)/4*100,"")</f>
        <v/>
      </c>
      <c r="W345" t="str">
        <f ca="1">IFERROR(((AVERAGEIFS(Feedback_360!$D$2:$D$1000,Feedback_360!$A$2:$A$1000,$A345,Feedback_360!$B$2:$B$1000,"&gt;="&amp;DATEVALUE($B345&amp;"-01"),Feedback_360!$B$2:$B$1000,"&lt;="&amp;EOMONTH(DATEVALUE($B345&amp;"-01"),0)))-1)/4*100,"")</f>
        <v/>
      </c>
      <c r="X345" t="str">
        <f ca="1">IFERROR(((AVERAGEIFS(Observacion_Directa!$D$2:$D$1000,Observacion_Directa!$A$2:$A$1000,$A345,Observacion_Directa!$B$2:$B$1000,"&gt;="&amp;DATEVALUE($B345&amp;"-01"),Observacion_Directa!$B$2:$B$1000,"&lt;="&amp;EOMONTH(DATEVALUE($B345&amp;"-01"),0)))-1)/4*100,"")</f>
        <v/>
      </c>
      <c r="Y345" t="e">
        <f t="shared" ca="1" si="11"/>
        <v>#DIV/0!</v>
      </c>
    </row>
    <row r="346" spans="12:25" x14ac:dyDescent="0.2">
      <c r="L346" t="str">
        <f t="shared" si="10"/>
        <v/>
      </c>
      <c r="M346" t="str">
        <f>IFERROR(AVERAGEIFS(Prod_5dias!$H$2:$H$1000,Prod_5dias!$A$2:$A$1000,$A346,Prod_5dias!$B$2:$B$1000,$B346),"")</f>
        <v/>
      </c>
      <c r="N346" t="str">
        <f>IF(M346="","",MIN(100,100*M346/Parametros!$B$7))</f>
        <v/>
      </c>
      <c r="O346" t="str">
        <f>IF(F346="","",IF(F346=0,100,MIN(100,100*Parametros!$B$3/F346)))</f>
        <v/>
      </c>
      <c r="P346" t="str">
        <f ca="1">IFERROR(((AVERAGEIFS(Observacion_Directa!$E$2:$E$1000,Observacion_Directa!$A$2:$A$1000,$A346,Observacion_Directa!$B$2:$B$1000,"&gt;="&amp;DATEVALUE($B346&amp;"-01"),Observacion_Directa!$B$2:$B$1000,"&lt;="&amp;EOMONTH(DATEVALUE($B346&amp;"-01"),0)))-1)/4*100,"")</f>
        <v/>
      </c>
      <c r="Q346" t="str">
        <f>IF(H346="","",MIN(100,100*H346/Parametros!$B$4))</f>
        <v/>
      </c>
      <c r="R346" t="str">
        <f>IF(I346="","",IF(I346=0,100,MIN(100,100*Parametros!$B$5/I346)))</f>
        <v/>
      </c>
      <c r="S346" t="str">
        <f>IF(J346="","",IF(J346=0,100,MIN(100,100*Parametros!$B$6/J346)))</f>
        <v/>
      </c>
      <c r="T346" t="str">
        <f>IF(L346="","",MIN(100,100*L346/Parametros!$B$7))</f>
        <v/>
      </c>
      <c r="U346" t="str">
        <f>IF(K346="","",MIN(100,100*K346/Parametros!$B$8))</f>
        <v/>
      </c>
      <c r="V346" t="str">
        <f ca="1">IFERROR(((AVERAGEIFS(Documentacion!$C$2:$C$1000,Documentacion!$A$2:$A$1000,$A346,Documentacion!$B$2:$B$1000,"&gt;="&amp;DATEVALUE($B346&amp;"-01"),Documentacion!$B$2:$B$1000,"&lt;="&amp;EOMONTH(DATEVALUE($B346&amp;"-01"),0)))-1)/4*100,"")</f>
        <v/>
      </c>
      <c r="W346" t="str">
        <f ca="1">IFERROR(((AVERAGEIFS(Feedback_360!$D$2:$D$1000,Feedback_360!$A$2:$A$1000,$A346,Feedback_360!$B$2:$B$1000,"&gt;="&amp;DATEVALUE($B346&amp;"-01"),Feedback_360!$B$2:$B$1000,"&lt;="&amp;EOMONTH(DATEVALUE($B346&amp;"-01"),0)))-1)/4*100,"")</f>
        <v/>
      </c>
      <c r="X346" t="str">
        <f ca="1">IFERROR(((AVERAGEIFS(Observacion_Directa!$D$2:$D$1000,Observacion_Directa!$A$2:$A$1000,$A346,Observacion_Directa!$B$2:$B$1000,"&gt;="&amp;DATEVALUE($B346&amp;"-01"),Observacion_Directa!$B$2:$B$1000,"&lt;="&amp;EOMONTH(DATEVALUE($B346&amp;"-01"),0)))-1)/4*100,"")</f>
        <v/>
      </c>
      <c r="Y346" t="e">
        <f t="shared" ca="1" si="11"/>
        <v>#DIV/0!</v>
      </c>
    </row>
    <row r="347" spans="12:25" x14ac:dyDescent="0.2">
      <c r="L347" t="str">
        <f t="shared" si="10"/>
        <v/>
      </c>
      <c r="M347" t="str">
        <f>IFERROR(AVERAGEIFS(Prod_5dias!$H$2:$H$1000,Prod_5dias!$A$2:$A$1000,$A347,Prod_5dias!$B$2:$B$1000,$B347),"")</f>
        <v/>
      </c>
      <c r="N347" t="str">
        <f>IF(M347="","",MIN(100,100*M347/Parametros!$B$7))</f>
        <v/>
      </c>
      <c r="O347" t="str">
        <f>IF(F347="","",IF(F347=0,100,MIN(100,100*Parametros!$B$3/F347)))</f>
        <v/>
      </c>
      <c r="P347" t="str">
        <f ca="1">IFERROR(((AVERAGEIFS(Observacion_Directa!$E$2:$E$1000,Observacion_Directa!$A$2:$A$1000,$A347,Observacion_Directa!$B$2:$B$1000,"&gt;="&amp;DATEVALUE($B347&amp;"-01"),Observacion_Directa!$B$2:$B$1000,"&lt;="&amp;EOMONTH(DATEVALUE($B347&amp;"-01"),0)))-1)/4*100,"")</f>
        <v/>
      </c>
      <c r="Q347" t="str">
        <f>IF(H347="","",MIN(100,100*H347/Parametros!$B$4))</f>
        <v/>
      </c>
      <c r="R347" t="str">
        <f>IF(I347="","",IF(I347=0,100,MIN(100,100*Parametros!$B$5/I347)))</f>
        <v/>
      </c>
      <c r="S347" t="str">
        <f>IF(J347="","",IF(J347=0,100,MIN(100,100*Parametros!$B$6/J347)))</f>
        <v/>
      </c>
      <c r="T347" t="str">
        <f>IF(L347="","",MIN(100,100*L347/Parametros!$B$7))</f>
        <v/>
      </c>
      <c r="U347" t="str">
        <f>IF(K347="","",MIN(100,100*K347/Parametros!$B$8))</f>
        <v/>
      </c>
      <c r="V347" t="str">
        <f ca="1">IFERROR(((AVERAGEIFS(Documentacion!$C$2:$C$1000,Documentacion!$A$2:$A$1000,$A347,Documentacion!$B$2:$B$1000,"&gt;="&amp;DATEVALUE($B347&amp;"-01"),Documentacion!$B$2:$B$1000,"&lt;="&amp;EOMONTH(DATEVALUE($B347&amp;"-01"),0)))-1)/4*100,"")</f>
        <v/>
      </c>
      <c r="W347" t="str">
        <f ca="1">IFERROR(((AVERAGEIFS(Feedback_360!$D$2:$D$1000,Feedback_360!$A$2:$A$1000,$A347,Feedback_360!$B$2:$B$1000,"&gt;="&amp;DATEVALUE($B347&amp;"-01"),Feedback_360!$B$2:$B$1000,"&lt;="&amp;EOMONTH(DATEVALUE($B347&amp;"-01"),0)))-1)/4*100,"")</f>
        <v/>
      </c>
      <c r="X347" t="str">
        <f ca="1">IFERROR(((AVERAGEIFS(Observacion_Directa!$D$2:$D$1000,Observacion_Directa!$A$2:$A$1000,$A347,Observacion_Directa!$B$2:$B$1000,"&gt;="&amp;DATEVALUE($B347&amp;"-01"),Observacion_Directa!$B$2:$B$1000,"&lt;="&amp;EOMONTH(DATEVALUE($B347&amp;"-01"),0)))-1)/4*100,"")</f>
        <v/>
      </c>
      <c r="Y347" t="e">
        <f t="shared" ca="1" si="11"/>
        <v>#DIV/0!</v>
      </c>
    </row>
    <row r="348" spans="12:25" x14ac:dyDescent="0.2">
      <c r="L348" t="str">
        <f t="shared" si="10"/>
        <v/>
      </c>
      <c r="M348" t="str">
        <f>IFERROR(AVERAGEIFS(Prod_5dias!$H$2:$H$1000,Prod_5dias!$A$2:$A$1000,$A348,Prod_5dias!$B$2:$B$1000,$B348),"")</f>
        <v/>
      </c>
      <c r="N348" t="str">
        <f>IF(M348="","",MIN(100,100*M348/Parametros!$B$7))</f>
        <v/>
      </c>
      <c r="O348" t="str">
        <f>IF(F348="","",IF(F348=0,100,MIN(100,100*Parametros!$B$3/F348)))</f>
        <v/>
      </c>
      <c r="P348" t="str">
        <f ca="1">IFERROR(((AVERAGEIFS(Observacion_Directa!$E$2:$E$1000,Observacion_Directa!$A$2:$A$1000,$A348,Observacion_Directa!$B$2:$B$1000,"&gt;="&amp;DATEVALUE($B348&amp;"-01"),Observacion_Directa!$B$2:$B$1000,"&lt;="&amp;EOMONTH(DATEVALUE($B348&amp;"-01"),0)))-1)/4*100,"")</f>
        <v/>
      </c>
      <c r="Q348" t="str">
        <f>IF(H348="","",MIN(100,100*H348/Parametros!$B$4))</f>
        <v/>
      </c>
      <c r="R348" t="str">
        <f>IF(I348="","",IF(I348=0,100,MIN(100,100*Parametros!$B$5/I348)))</f>
        <v/>
      </c>
      <c r="S348" t="str">
        <f>IF(J348="","",IF(J348=0,100,MIN(100,100*Parametros!$B$6/J348)))</f>
        <v/>
      </c>
      <c r="T348" t="str">
        <f>IF(L348="","",MIN(100,100*L348/Parametros!$B$7))</f>
        <v/>
      </c>
      <c r="U348" t="str">
        <f>IF(K348="","",MIN(100,100*K348/Parametros!$B$8))</f>
        <v/>
      </c>
      <c r="V348" t="str">
        <f ca="1">IFERROR(((AVERAGEIFS(Documentacion!$C$2:$C$1000,Documentacion!$A$2:$A$1000,$A348,Documentacion!$B$2:$B$1000,"&gt;="&amp;DATEVALUE($B348&amp;"-01"),Documentacion!$B$2:$B$1000,"&lt;="&amp;EOMONTH(DATEVALUE($B348&amp;"-01"),0)))-1)/4*100,"")</f>
        <v/>
      </c>
      <c r="W348" t="str">
        <f ca="1">IFERROR(((AVERAGEIFS(Feedback_360!$D$2:$D$1000,Feedback_360!$A$2:$A$1000,$A348,Feedback_360!$B$2:$B$1000,"&gt;="&amp;DATEVALUE($B348&amp;"-01"),Feedback_360!$B$2:$B$1000,"&lt;="&amp;EOMONTH(DATEVALUE($B348&amp;"-01"),0)))-1)/4*100,"")</f>
        <v/>
      </c>
      <c r="X348" t="str">
        <f ca="1">IFERROR(((AVERAGEIFS(Observacion_Directa!$D$2:$D$1000,Observacion_Directa!$A$2:$A$1000,$A348,Observacion_Directa!$B$2:$B$1000,"&gt;="&amp;DATEVALUE($B348&amp;"-01"),Observacion_Directa!$B$2:$B$1000,"&lt;="&amp;EOMONTH(DATEVALUE($B348&amp;"-01"),0)))-1)/4*100,"")</f>
        <v/>
      </c>
      <c r="Y348" t="e">
        <f t="shared" ca="1" si="11"/>
        <v>#DIV/0!</v>
      </c>
    </row>
    <row r="349" spans="12:25" x14ac:dyDescent="0.2">
      <c r="L349" t="str">
        <f t="shared" si="10"/>
        <v/>
      </c>
      <c r="M349" t="str">
        <f>IFERROR(AVERAGEIFS(Prod_5dias!$H$2:$H$1000,Prod_5dias!$A$2:$A$1000,$A349,Prod_5dias!$B$2:$B$1000,$B349),"")</f>
        <v/>
      </c>
      <c r="N349" t="str">
        <f>IF(M349="","",MIN(100,100*M349/Parametros!$B$7))</f>
        <v/>
      </c>
      <c r="O349" t="str">
        <f>IF(F349="","",IF(F349=0,100,MIN(100,100*Parametros!$B$3/F349)))</f>
        <v/>
      </c>
      <c r="P349" t="str">
        <f ca="1">IFERROR(((AVERAGEIFS(Observacion_Directa!$E$2:$E$1000,Observacion_Directa!$A$2:$A$1000,$A349,Observacion_Directa!$B$2:$B$1000,"&gt;="&amp;DATEVALUE($B349&amp;"-01"),Observacion_Directa!$B$2:$B$1000,"&lt;="&amp;EOMONTH(DATEVALUE($B349&amp;"-01"),0)))-1)/4*100,"")</f>
        <v/>
      </c>
      <c r="Q349" t="str">
        <f>IF(H349="","",MIN(100,100*H349/Parametros!$B$4))</f>
        <v/>
      </c>
      <c r="R349" t="str">
        <f>IF(I349="","",IF(I349=0,100,MIN(100,100*Parametros!$B$5/I349)))</f>
        <v/>
      </c>
      <c r="S349" t="str">
        <f>IF(J349="","",IF(J349=0,100,MIN(100,100*Parametros!$B$6/J349)))</f>
        <v/>
      </c>
      <c r="T349" t="str">
        <f>IF(L349="","",MIN(100,100*L349/Parametros!$B$7))</f>
        <v/>
      </c>
      <c r="U349" t="str">
        <f>IF(K349="","",MIN(100,100*K349/Parametros!$B$8))</f>
        <v/>
      </c>
      <c r="V349" t="str">
        <f ca="1">IFERROR(((AVERAGEIFS(Documentacion!$C$2:$C$1000,Documentacion!$A$2:$A$1000,$A349,Documentacion!$B$2:$B$1000,"&gt;="&amp;DATEVALUE($B349&amp;"-01"),Documentacion!$B$2:$B$1000,"&lt;="&amp;EOMONTH(DATEVALUE($B349&amp;"-01"),0)))-1)/4*100,"")</f>
        <v/>
      </c>
      <c r="W349" t="str">
        <f ca="1">IFERROR(((AVERAGEIFS(Feedback_360!$D$2:$D$1000,Feedback_360!$A$2:$A$1000,$A349,Feedback_360!$B$2:$B$1000,"&gt;="&amp;DATEVALUE($B349&amp;"-01"),Feedback_360!$B$2:$B$1000,"&lt;="&amp;EOMONTH(DATEVALUE($B349&amp;"-01"),0)))-1)/4*100,"")</f>
        <v/>
      </c>
      <c r="X349" t="str">
        <f ca="1">IFERROR(((AVERAGEIFS(Observacion_Directa!$D$2:$D$1000,Observacion_Directa!$A$2:$A$1000,$A349,Observacion_Directa!$B$2:$B$1000,"&gt;="&amp;DATEVALUE($B349&amp;"-01"),Observacion_Directa!$B$2:$B$1000,"&lt;="&amp;EOMONTH(DATEVALUE($B349&amp;"-01"),0)))-1)/4*100,"")</f>
        <v/>
      </c>
      <c r="Y349" t="e">
        <f t="shared" ca="1" si="11"/>
        <v>#DIV/0!</v>
      </c>
    </row>
    <row r="350" spans="12:25" x14ac:dyDescent="0.2">
      <c r="L350" t="str">
        <f t="shared" si="10"/>
        <v/>
      </c>
      <c r="M350" t="str">
        <f>IFERROR(AVERAGEIFS(Prod_5dias!$H$2:$H$1000,Prod_5dias!$A$2:$A$1000,$A350,Prod_5dias!$B$2:$B$1000,$B350),"")</f>
        <v/>
      </c>
      <c r="N350" t="str">
        <f>IF(M350="","",MIN(100,100*M350/Parametros!$B$7))</f>
        <v/>
      </c>
      <c r="O350" t="str">
        <f>IF(F350="","",IF(F350=0,100,MIN(100,100*Parametros!$B$3/F350)))</f>
        <v/>
      </c>
      <c r="P350" t="str">
        <f ca="1">IFERROR(((AVERAGEIFS(Observacion_Directa!$E$2:$E$1000,Observacion_Directa!$A$2:$A$1000,$A350,Observacion_Directa!$B$2:$B$1000,"&gt;="&amp;DATEVALUE($B350&amp;"-01"),Observacion_Directa!$B$2:$B$1000,"&lt;="&amp;EOMONTH(DATEVALUE($B350&amp;"-01"),0)))-1)/4*100,"")</f>
        <v/>
      </c>
      <c r="Q350" t="str">
        <f>IF(H350="","",MIN(100,100*H350/Parametros!$B$4))</f>
        <v/>
      </c>
      <c r="R350" t="str">
        <f>IF(I350="","",IF(I350=0,100,MIN(100,100*Parametros!$B$5/I350)))</f>
        <v/>
      </c>
      <c r="S350" t="str">
        <f>IF(J350="","",IF(J350=0,100,MIN(100,100*Parametros!$B$6/J350)))</f>
        <v/>
      </c>
      <c r="T350" t="str">
        <f>IF(L350="","",MIN(100,100*L350/Parametros!$B$7))</f>
        <v/>
      </c>
      <c r="U350" t="str">
        <f>IF(K350="","",MIN(100,100*K350/Parametros!$B$8))</f>
        <v/>
      </c>
      <c r="V350" t="str">
        <f ca="1">IFERROR(((AVERAGEIFS(Documentacion!$C$2:$C$1000,Documentacion!$A$2:$A$1000,$A350,Documentacion!$B$2:$B$1000,"&gt;="&amp;DATEVALUE($B350&amp;"-01"),Documentacion!$B$2:$B$1000,"&lt;="&amp;EOMONTH(DATEVALUE($B350&amp;"-01"),0)))-1)/4*100,"")</f>
        <v/>
      </c>
      <c r="W350" t="str">
        <f ca="1">IFERROR(((AVERAGEIFS(Feedback_360!$D$2:$D$1000,Feedback_360!$A$2:$A$1000,$A350,Feedback_360!$B$2:$B$1000,"&gt;="&amp;DATEVALUE($B350&amp;"-01"),Feedback_360!$B$2:$B$1000,"&lt;="&amp;EOMONTH(DATEVALUE($B350&amp;"-01"),0)))-1)/4*100,"")</f>
        <v/>
      </c>
      <c r="X350" t="str">
        <f ca="1">IFERROR(((AVERAGEIFS(Observacion_Directa!$D$2:$D$1000,Observacion_Directa!$A$2:$A$1000,$A350,Observacion_Directa!$B$2:$B$1000,"&gt;="&amp;DATEVALUE($B350&amp;"-01"),Observacion_Directa!$B$2:$B$1000,"&lt;="&amp;EOMONTH(DATEVALUE($B350&amp;"-01"),0)))-1)/4*100,"")</f>
        <v/>
      </c>
      <c r="Y350" t="e">
        <f t="shared" ca="1" si="11"/>
        <v>#DIV/0!</v>
      </c>
    </row>
    <row r="351" spans="12:25" x14ac:dyDescent="0.2">
      <c r="L351" t="str">
        <f t="shared" si="10"/>
        <v/>
      </c>
      <c r="M351" t="str">
        <f>IFERROR(AVERAGEIFS(Prod_5dias!$H$2:$H$1000,Prod_5dias!$A$2:$A$1000,$A351,Prod_5dias!$B$2:$B$1000,$B351),"")</f>
        <v/>
      </c>
      <c r="N351" t="str">
        <f>IF(M351="","",MIN(100,100*M351/Parametros!$B$7))</f>
        <v/>
      </c>
      <c r="O351" t="str">
        <f>IF(F351="","",IF(F351=0,100,MIN(100,100*Parametros!$B$3/F351)))</f>
        <v/>
      </c>
      <c r="P351" t="str">
        <f ca="1">IFERROR(((AVERAGEIFS(Observacion_Directa!$E$2:$E$1000,Observacion_Directa!$A$2:$A$1000,$A351,Observacion_Directa!$B$2:$B$1000,"&gt;="&amp;DATEVALUE($B351&amp;"-01"),Observacion_Directa!$B$2:$B$1000,"&lt;="&amp;EOMONTH(DATEVALUE($B351&amp;"-01"),0)))-1)/4*100,"")</f>
        <v/>
      </c>
      <c r="Q351" t="str">
        <f>IF(H351="","",MIN(100,100*H351/Parametros!$B$4))</f>
        <v/>
      </c>
      <c r="R351" t="str">
        <f>IF(I351="","",IF(I351=0,100,MIN(100,100*Parametros!$B$5/I351)))</f>
        <v/>
      </c>
      <c r="S351" t="str">
        <f>IF(J351="","",IF(J351=0,100,MIN(100,100*Parametros!$B$6/J351)))</f>
        <v/>
      </c>
      <c r="T351" t="str">
        <f>IF(L351="","",MIN(100,100*L351/Parametros!$B$7))</f>
        <v/>
      </c>
      <c r="U351" t="str">
        <f>IF(K351="","",MIN(100,100*K351/Parametros!$B$8))</f>
        <v/>
      </c>
      <c r="V351" t="str">
        <f ca="1">IFERROR(((AVERAGEIFS(Documentacion!$C$2:$C$1000,Documentacion!$A$2:$A$1000,$A351,Documentacion!$B$2:$B$1000,"&gt;="&amp;DATEVALUE($B351&amp;"-01"),Documentacion!$B$2:$B$1000,"&lt;="&amp;EOMONTH(DATEVALUE($B351&amp;"-01"),0)))-1)/4*100,"")</f>
        <v/>
      </c>
      <c r="W351" t="str">
        <f ca="1">IFERROR(((AVERAGEIFS(Feedback_360!$D$2:$D$1000,Feedback_360!$A$2:$A$1000,$A351,Feedback_360!$B$2:$B$1000,"&gt;="&amp;DATEVALUE($B351&amp;"-01"),Feedback_360!$B$2:$B$1000,"&lt;="&amp;EOMONTH(DATEVALUE($B351&amp;"-01"),0)))-1)/4*100,"")</f>
        <v/>
      </c>
      <c r="X351" t="str">
        <f ca="1">IFERROR(((AVERAGEIFS(Observacion_Directa!$D$2:$D$1000,Observacion_Directa!$A$2:$A$1000,$A351,Observacion_Directa!$B$2:$B$1000,"&gt;="&amp;DATEVALUE($B351&amp;"-01"),Observacion_Directa!$B$2:$B$1000,"&lt;="&amp;EOMONTH(DATEVALUE($B351&amp;"-01"),0)))-1)/4*100,"")</f>
        <v/>
      </c>
      <c r="Y351" t="e">
        <f t="shared" ca="1" si="11"/>
        <v>#DIV/0!</v>
      </c>
    </row>
    <row r="352" spans="12:25" x14ac:dyDescent="0.2">
      <c r="L352" t="str">
        <f t="shared" si="10"/>
        <v/>
      </c>
      <c r="M352" t="str">
        <f>IFERROR(AVERAGEIFS(Prod_5dias!$H$2:$H$1000,Prod_5dias!$A$2:$A$1000,$A352,Prod_5dias!$B$2:$B$1000,$B352),"")</f>
        <v/>
      </c>
      <c r="N352" t="str">
        <f>IF(M352="","",MIN(100,100*M352/Parametros!$B$7))</f>
        <v/>
      </c>
      <c r="O352" t="str">
        <f>IF(F352="","",IF(F352=0,100,MIN(100,100*Parametros!$B$3/F352)))</f>
        <v/>
      </c>
      <c r="P352" t="str">
        <f ca="1">IFERROR(((AVERAGEIFS(Observacion_Directa!$E$2:$E$1000,Observacion_Directa!$A$2:$A$1000,$A352,Observacion_Directa!$B$2:$B$1000,"&gt;="&amp;DATEVALUE($B352&amp;"-01"),Observacion_Directa!$B$2:$B$1000,"&lt;="&amp;EOMONTH(DATEVALUE($B352&amp;"-01"),0)))-1)/4*100,"")</f>
        <v/>
      </c>
      <c r="Q352" t="str">
        <f>IF(H352="","",MIN(100,100*H352/Parametros!$B$4))</f>
        <v/>
      </c>
      <c r="R352" t="str">
        <f>IF(I352="","",IF(I352=0,100,MIN(100,100*Parametros!$B$5/I352)))</f>
        <v/>
      </c>
      <c r="S352" t="str">
        <f>IF(J352="","",IF(J352=0,100,MIN(100,100*Parametros!$B$6/J352)))</f>
        <v/>
      </c>
      <c r="T352" t="str">
        <f>IF(L352="","",MIN(100,100*L352/Parametros!$B$7))</f>
        <v/>
      </c>
      <c r="U352" t="str">
        <f>IF(K352="","",MIN(100,100*K352/Parametros!$B$8))</f>
        <v/>
      </c>
      <c r="V352" t="str">
        <f ca="1">IFERROR(((AVERAGEIFS(Documentacion!$C$2:$C$1000,Documentacion!$A$2:$A$1000,$A352,Documentacion!$B$2:$B$1000,"&gt;="&amp;DATEVALUE($B352&amp;"-01"),Documentacion!$B$2:$B$1000,"&lt;="&amp;EOMONTH(DATEVALUE($B352&amp;"-01"),0)))-1)/4*100,"")</f>
        <v/>
      </c>
      <c r="W352" t="str">
        <f ca="1">IFERROR(((AVERAGEIFS(Feedback_360!$D$2:$D$1000,Feedback_360!$A$2:$A$1000,$A352,Feedback_360!$B$2:$B$1000,"&gt;="&amp;DATEVALUE($B352&amp;"-01"),Feedback_360!$B$2:$B$1000,"&lt;="&amp;EOMONTH(DATEVALUE($B352&amp;"-01"),0)))-1)/4*100,"")</f>
        <v/>
      </c>
      <c r="X352" t="str">
        <f ca="1">IFERROR(((AVERAGEIFS(Observacion_Directa!$D$2:$D$1000,Observacion_Directa!$A$2:$A$1000,$A352,Observacion_Directa!$B$2:$B$1000,"&gt;="&amp;DATEVALUE($B352&amp;"-01"),Observacion_Directa!$B$2:$B$1000,"&lt;="&amp;EOMONTH(DATEVALUE($B352&amp;"-01"),0)))-1)/4*100,"")</f>
        <v/>
      </c>
      <c r="Y352" t="e">
        <f t="shared" ca="1" si="11"/>
        <v>#DIV/0!</v>
      </c>
    </row>
    <row r="353" spans="12:25" x14ac:dyDescent="0.2">
      <c r="L353" t="str">
        <f t="shared" si="10"/>
        <v/>
      </c>
      <c r="M353" t="str">
        <f>IFERROR(AVERAGEIFS(Prod_5dias!$H$2:$H$1000,Prod_5dias!$A$2:$A$1000,$A353,Prod_5dias!$B$2:$B$1000,$B353),"")</f>
        <v/>
      </c>
      <c r="N353" t="str">
        <f>IF(M353="","",MIN(100,100*M353/Parametros!$B$7))</f>
        <v/>
      </c>
      <c r="O353" t="str">
        <f>IF(F353="","",IF(F353=0,100,MIN(100,100*Parametros!$B$3/F353)))</f>
        <v/>
      </c>
      <c r="P353" t="str">
        <f ca="1">IFERROR(((AVERAGEIFS(Observacion_Directa!$E$2:$E$1000,Observacion_Directa!$A$2:$A$1000,$A353,Observacion_Directa!$B$2:$B$1000,"&gt;="&amp;DATEVALUE($B353&amp;"-01"),Observacion_Directa!$B$2:$B$1000,"&lt;="&amp;EOMONTH(DATEVALUE($B353&amp;"-01"),0)))-1)/4*100,"")</f>
        <v/>
      </c>
      <c r="Q353" t="str">
        <f>IF(H353="","",MIN(100,100*H353/Parametros!$B$4))</f>
        <v/>
      </c>
      <c r="R353" t="str">
        <f>IF(I353="","",IF(I353=0,100,MIN(100,100*Parametros!$B$5/I353)))</f>
        <v/>
      </c>
      <c r="S353" t="str">
        <f>IF(J353="","",IF(J353=0,100,MIN(100,100*Parametros!$B$6/J353)))</f>
        <v/>
      </c>
      <c r="T353" t="str">
        <f>IF(L353="","",MIN(100,100*L353/Parametros!$B$7))</f>
        <v/>
      </c>
      <c r="U353" t="str">
        <f>IF(K353="","",MIN(100,100*K353/Parametros!$B$8))</f>
        <v/>
      </c>
      <c r="V353" t="str">
        <f ca="1">IFERROR(((AVERAGEIFS(Documentacion!$C$2:$C$1000,Documentacion!$A$2:$A$1000,$A353,Documentacion!$B$2:$B$1000,"&gt;="&amp;DATEVALUE($B353&amp;"-01"),Documentacion!$B$2:$B$1000,"&lt;="&amp;EOMONTH(DATEVALUE($B353&amp;"-01"),0)))-1)/4*100,"")</f>
        <v/>
      </c>
      <c r="W353" t="str">
        <f ca="1">IFERROR(((AVERAGEIFS(Feedback_360!$D$2:$D$1000,Feedback_360!$A$2:$A$1000,$A353,Feedback_360!$B$2:$B$1000,"&gt;="&amp;DATEVALUE($B353&amp;"-01"),Feedback_360!$B$2:$B$1000,"&lt;="&amp;EOMONTH(DATEVALUE($B353&amp;"-01"),0)))-1)/4*100,"")</f>
        <v/>
      </c>
      <c r="X353" t="str">
        <f ca="1">IFERROR(((AVERAGEIFS(Observacion_Directa!$D$2:$D$1000,Observacion_Directa!$A$2:$A$1000,$A353,Observacion_Directa!$B$2:$B$1000,"&gt;="&amp;DATEVALUE($B353&amp;"-01"),Observacion_Directa!$B$2:$B$1000,"&lt;="&amp;EOMONTH(DATEVALUE($B353&amp;"-01"),0)))-1)/4*100,"")</f>
        <v/>
      </c>
      <c r="Y353" t="e">
        <f t="shared" ca="1" si="11"/>
        <v>#DIV/0!</v>
      </c>
    </row>
    <row r="354" spans="12:25" x14ac:dyDescent="0.2">
      <c r="L354" t="str">
        <f t="shared" si="10"/>
        <v/>
      </c>
      <c r="M354" t="str">
        <f>IFERROR(AVERAGEIFS(Prod_5dias!$H$2:$H$1000,Prod_5dias!$A$2:$A$1000,$A354,Prod_5dias!$B$2:$B$1000,$B354),"")</f>
        <v/>
      </c>
      <c r="N354" t="str">
        <f>IF(M354="","",MIN(100,100*M354/Parametros!$B$7))</f>
        <v/>
      </c>
      <c r="O354" t="str">
        <f>IF(F354="","",IF(F354=0,100,MIN(100,100*Parametros!$B$3/F354)))</f>
        <v/>
      </c>
      <c r="P354" t="str">
        <f ca="1">IFERROR(((AVERAGEIFS(Observacion_Directa!$E$2:$E$1000,Observacion_Directa!$A$2:$A$1000,$A354,Observacion_Directa!$B$2:$B$1000,"&gt;="&amp;DATEVALUE($B354&amp;"-01"),Observacion_Directa!$B$2:$B$1000,"&lt;="&amp;EOMONTH(DATEVALUE($B354&amp;"-01"),0)))-1)/4*100,"")</f>
        <v/>
      </c>
      <c r="Q354" t="str">
        <f>IF(H354="","",MIN(100,100*H354/Parametros!$B$4))</f>
        <v/>
      </c>
      <c r="R354" t="str">
        <f>IF(I354="","",IF(I354=0,100,MIN(100,100*Parametros!$B$5/I354)))</f>
        <v/>
      </c>
      <c r="S354" t="str">
        <f>IF(J354="","",IF(J354=0,100,MIN(100,100*Parametros!$B$6/J354)))</f>
        <v/>
      </c>
      <c r="T354" t="str">
        <f>IF(L354="","",MIN(100,100*L354/Parametros!$B$7))</f>
        <v/>
      </c>
      <c r="U354" t="str">
        <f>IF(K354="","",MIN(100,100*K354/Parametros!$B$8))</f>
        <v/>
      </c>
      <c r="V354" t="str">
        <f ca="1">IFERROR(((AVERAGEIFS(Documentacion!$C$2:$C$1000,Documentacion!$A$2:$A$1000,$A354,Documentacion!$B$2:$B$1000,"&gt;="&amp;DATEVALUE($B354&amp;"-01"),Documentacion!$B$2:$B$1000,"&lt;="&amp;EOMONTH(DATEVALUE($B354&amp;"-01"),0)))-1)/4*100,"")</f>
        <v/>
      </c>
      <c r="W354" t="str">
        <f ca="1">IFERROR(((AVERAGEIFS(Feedback_360!$D$2:$D$1000,Feedback_360!$A$2:$A$1000,$A354,Feedback_360!$B$2:$B$1000,"&gt;="&amp;DATEVALUE($B354&amp;"-01"),Feedback_360!$B$2:$B$1000,"&lt;="&amp;EOMONTH(DATEVALUE($B354&amp;"-01"),0)))-1)/4*100,"")</f>
        <v/>
      </c>
      <c r="X354" t="str">
        <f ca="1">IFERROR(((AVERAGEIFS(Observacion_Directa!$D$2:$D$1000,Observacion_Directa!$A$2:$A$1000,$A354,Observacion_Directa!$B$2:$B$1000,"&gt;="&amp;DATEVALUE($B354&amp;"-01"),Observacion_Directa!$B$2:$B$1000,"&lt;="&amp;EOMONTH(DATEVALUE($B354&amp;"-01"),0)))-1)/4*100,"")</f>
        <v/>
      </c>
      <c r="Y354" t="e">
        <f t="shared" ca="1" si="11"/>
        <v>#DIV/0!</v>
      </c>
    </row>
    <row r="355" spans="12:25" x14ac:dyDescent="0.2">
      <c r="L355" t="str">
        <f t="shared" si="10"/>
        <v/>
      </c>
      <c r="M355" t="str">
        <f>IFERROR(AVERAGEIFS(Prod_5dias!$H$2:$H$1000,Prod_5dias!$A$2:$A$1000,$A355,Prod_5dias!$B$2:$B$1000,$B355),"")</f>
        <v/>
      </c>
      <c r="N355" t="str">
        <f>IF(M355="","",MIN(100,100*M355/Parametros!$B$7))</f>
        <v/>
      </c>
      <c r="O355" t="str">
        <f>IF(F355="","",IF(F355=0,100,MIN(100,100*Parametros!$B$3/F355)))</f>
        <v/>
      </c>
      <c r="P355" t="str">
        <f ca="1">IFERROR(((AVERAGEIFS(Observacion_Directa!$E$2:$E$1000,Observacion_Directa!$A$2:$A$1000,$A355,Observacion_Directa!$B$2:$B$1000,"&gt;="&amp;DATEVALUE($B355&amp;"-01"),Observacion_Directa!$B$2:$B$1000,"&lt;="&amp;EOMONTH(DATEVALUE($B355&amp;"-01"),0)))-1)/4*100,"")</f>
        <v/>
      </c>
      <c r="Q355" t="str">
        <f>IF(H355="","",MIN(100,100*H355/Parametros!$B$4))</f>
        <v/>
      </c>
      <c r="R355" t="str">
        <f>IF(I355="","",IF(I355=0,100,MIN(100,100*Parametros!$B$5/I355)))</f>
        <v/>
      </c>
      <c r="S355" t="str">
        <f>IF(J355="","",IF(J355=0,100,MIN(100,100*Parametros!$B$6/J355)))</f>
        <v/>
      </c>
      <c r="T355" t="str">
        <f>IF(L355="","",MIN(100,100*L355/Parametros!$B$7))</f>
        <v/>
      </c>
      <c r="U355" t="str">
        <f>IF(K355="","",MIN(100,100*K355/Parametros!$B$8))</f>
        <v/>
      </c>
      <c r="V355" t="str">
        <f ca="1">IFERROR(((AVERAGEIFS(Documentacion!$C$2:$C$1000,Documentacion!$A$2:$A$1000,$A355,Documentacion!$B$2:$B$1000,"&gt;="&amp;DATEVALUE($B355&amp;"-01"),Documentacion!$B$2:$B$1000,"&lt;="&amp;EOMONTH(DATEVALUE($B355&amp;"-01"),0)))-1)/4*100,"")</f>
        <v/>
      </c>
      <c r="W355" t="str">
        <f ca="1">IFERROR(((AVERAGEIFS(Feedback_360!$D$2:$D$1000,Feedback_360!$A$2:$A$1000,$A355,Feedback_360!$B$2:$B$1000,"&gt;="&amp;DATEVALUE($B355&amp;"-01"),Feedback_360!$B$2:$B$1000,"&lt;="&amp;EOMONTH(DATEVALUE($B355&amp;"-01"),0)))-1)/4*100,"")</f>
        <v/>
      </c>
      <c r="X355" t="str">
        <f ca="1">IFERROR(((AVERAGEIFS(Observacion_Directa!$D$2:$D$1000,Observacion_Directa!$A$2:$A$1000,$A355,Observacion_Directa!$B$2:$B$1000,"&gt;="&amp;DATEVALUE($B355&amp;"-01"),Observacion_Directa!$B$2:$B$1000,"&lt;="&amp;EOMONTH(DATEVALUE($B355&amp;"-01"),0)))-1)/4*100,"")</f>
        <v/>
      </c>
      <c r="Y355" t="e">
        <f t="shared" ca="1" si="11"/>
        <v>#DIV/0!</v>
      </c>
    </row>
    <row r="356" spans="12:25" x14ac:dyDescent="0.2">
      <c r="L356" t="str">
        <f t="shared" si="10"/>
        <v/>
      </c>
      <c r="M356" t="str">
        <f>IFERROR(AVERAGEIFS(Prod_5dias!$H$2:$H$1000,Prod_5dias!$A$2:$A$1000,$A356,Prod_5dias!$B$2:$B$1000,$B356),"")</f>
        <v/>
      </c>
      <c r="N356" t="str">
        <f>IF(M356="","",MIN(100,100*M356/Parametros!$B$7))</f>
        <v/>
      </c>
      <c r="O356" t="str">
        <f>IF(F356="","",IF(F356=0,100,MIN(100,100*Parametros!$B$3/F356)))</f>
        <v/>
      </c>
      <c r="P356" t="str">
        <f ca="1">IFERROR(((AVERAGEIFS(Observacion_Directa!$E$2:$E$1000,Observacion_Directa!$A$2:$A$1000,$A356,Observacion_Directa!$B$2:$B$1000,"&gt;="&amp;DATEVALUE($B356&amp;"-01"),Observacion_Directa!$B$2:$B$1000,"&lt;="&amp;EOMONTH(DATEVALUE($B356&amp;"-01"),0)))-1)/4*100,"")</f>
        <v/>
      </c>
      <c r="Q356" t="str">
        <f>IF(H356="","",MIN(100,100*H356/Parametros!$B$4))</f>
        <v/>
      </c>
      <c r="R356" t="str">
        <f>IF(I356="","",IF(I356=0,100,MIN(100,100*Parametros!$B$5/I356)))</f>
        <v/>
      </c>
      <c r="S356" t="str">
        <f>IF(J356="","",IF(J356=0,100,MIN(100,100*Parametros!$B$6/J356)))</f>
        <v/>
      </c>
      <c r="T356" t="str">
        <f>IF(L356="","",MIN(100,100*L356/Parametros!$B$7))</f>
        <v/>
      </c>
      <c r="U356" t="str">
        <f>IF(K356="","",MIN(100,100*K356/Parametros!$B$8))</f>
        <v/>
      </c>
      <c r="V356" t="str">
        <f ca="1">IFERROR(((AVERAGEIFS(Documentacion!$C$2:$C$1000,Documentacion!$A$2:$A$1000,$A356,Documentacion!$B$2:$B$1000,"&gt;="&amp;DATEVALUE($B356&amp;"-01"),Documentacion!$B$2:$B$1000,"&lt;="&amp;EOMONTH(DATEVALUE($B356&amp;"-01"),0)))-1)/4*100,"")</f>
        <v/>
      </c>
      <c r="W356" t="str">
        <f ca="1">IFERROR(((AVERAGEIFS(Feedback_360!$D$2:$D$1000,Feedback_360!$A$2:$A$1000,$A356,Feedback_360!$B$2:$B$1000,"&gt;="&amp;DATEVALUE($B356&amp;"-01"),Feedback_360!$B$2:$B$1000,"&lt;="&amp;EOMONTH(DATEVALUE($B356&amp;"-01"),0)))-1)/4*100,"")</f>
        <v/>
      </c>
      <c r="X356" t="str">
        <f ca="1">IFERROR(((AVERAGEIFS(Observacion_Directa!$D$2:$D$1000,Observacion_Directa!$A$2:$A$1000,$A356,Observacion_Directa!$B$2:$B$1000,"&gt;="&amp;DATEVALUE($B356&amp;"-01"),Observacion_Directa!$B$2:$B$1000,"&lt;="&amp;EOMONTH(DATEVALUE($B356&amp;"-01"),0)))-1)/4*100,"")</f>
        <v/>
      </c>
      <c r="Y356" t="e">
        <f t="shared" ca="1" si="11"/>
        <v>#DIV/0!</v>
      </c>
    </row>
    <row r="357" spans="12:25" x14ac:dyDescent="0.2">
      <c r="L357" t="str">
        <f t="shared" si="10"/>
        <v/>
      </c>
      <c r="M357" t="str">
        <f>IFERROR(AVERAGEIFS(Prod_5dias!$H$2:$H$1000,Prod_5dias!$A$2:$A$1000,$A357,Prod_5dias!$B$2:$B$1000,$B357),"")</f>
        <v/>
      </c>
      <c r="N357" t="str">
        <f>IF(M357="","",MIN(100,100*M357/Parametros!$B$7))</f>
        <v/>
      </c>
      <c r="O357" t="str">
        <f>IF(F357="","",IF(F357=0,100,MIN(100,100*Parametros!$B$3/F357)))</f>
        <v/>
      </c>
      <c r="P357" t="str">
        <f ca="1">IFERROR(((AVERAGEIFS(Observacion_Directa!$E$2:$E$1000,Observacion_Directa!$A$2:$A$1000,$A357,Observacion_Directa!$B$2:$B$1000,"&gt;="&amp;DATEVALUE($B357&amp;"-01"),Observacion_Directa!$B$2:$B$1000,"&lt;="&amp;EOMONTH(DATEVALUE($B357&amp;"-01"),0)))-1)/4*100,"")</f>
        <v/>
      </c>
      <c r="Q357" t="str">
        <f>IF(H357="","",MIN(100,100*H357/Parametros!$B$4))</f>
        <v/>
      </c>
      <c r="R357" t="str">
        <f>IF(I357="","",IF(I357=0,100,MIN(100,100*Parametros!$B$5/I357)))</f>
        <v/>
      </c>
      <c r="S357" t="str">
        <f>IF(J357="","",IF(J357=0,100,MIN(100,100*Parametros!$B$6/J357)))</f>
        <v/>
      </c>
      <c r="T357" t="str">
        <f>IF(L357="","",MIN(100,100*L357/Parametros!$B$7))</f>
        <v/>
      </c>
      <c r="U357" t="str">
        <f>IF(K357="","",MIN(100,100*K357/Parametros!$B$8))</f>
        <v/>
      </c>
      <c r="V357" t="str">
        <f ca="1">IFERROR(((AVERAGEIFS(Documentacion!$C$2:$C$1000,Documentacion!$A$2:$A$1000,$A357,Documentacion!$B$2:$B$1000,"&gt;="&amp;DATEVALUE($B357&amp;"-01"),Documentacion!$B$2:$B$1000,"&lt;="&amp;EOMONTH(DATEVALUE($B357&amp;"-01"),0)))-1)/4*100,"")</f>
        <v/>
      </c>
      <c r="W357" t="str">
        <f ca="1">IFERROR(((AVERAGEIFS(Feedback_360!$D$2:$D$1000,Feedback_360!$A$2:$A$1000,$A357,Feedback_360!$B$2:$B$1000,"&gt;="&amp;DATEVALUE($B357&amp;"-01"),Feedback_360!$B$2:$B$1000,"&lt;="&amp;EOMONTH(DATEVALUE($B357&amp;"-01"),0)))-1)/4*100,"")</f>
        <v/>
      </c>
      <c r="X357" t="str">
        <f ca="1">IFERROR(((AVERAGEIFS(Observacion_Directa!$D$2:$D$1000,Observacion_Directa!$A$2:$A$1000,$A357,Observacion_Directa!$B$2:$B$1000,"&gt;="&amp;DATEVALUE($B357&amp;"-01"),Observacion_Directa!$B$2:$B$1000,"&lt;="&amp;EOMONTH(DATEVALUE($B357&amp;"-01"),0)))-1)/4*100,"")</f>
        <v/>
      </c>
      <c r="Y357" t="e">
        <f t="shared" ca="1" si="11"/>
        <v>#DIV/0!</v>
      </c>
    </row>
    <row r="358" spans="12:25" x14ac:dyDescent="0.2">
      <c r="L358" t="str">
        <f t="shared" si="10"/>
        <v/>
      </c>
      <c r="M358" t="str">
        <f>IFERROR(AVERAGEIFS(Prod_5dias!$H$2:$H$1000,Prod_5dias!$A$2:$A$1000,$A358,Prod_5dias!$B$2:$B$1000,$B358),"")</f>
        <v/>
      </c>
      <c r="N358" t="str">
        <f>IF(M358="","",MIN(100,100*M358/Parametros!$B$7))</f>
        <v/>
      </c>
      <c r="O358" t="str">
        <f>IF(F358="","",IF(F358=0,100,MIN(100,100*Parametros!$B$3/F358)))</f>
        <v/>
      </c>
      <c r="P358" t="str">
        <f ca="1">IFERROR(((AVERAGEIFS(Observacion_Directa!$E$2:$E$1000,Observacion_Directa!$A$2:$A$1000,$A358,Observacion_Directa!$B$2:$B$1000,"&gt;="&amp;DATEVALUE($B358&amp;"-01"),Observacion_Directa!$B$2:$B$1000,"&lt;="&amp;EOMONTH(DATEVALUE($B358&amp;"-01"),0)))-1)/4*100,"")</f>
        <v/>
      </c>
      <c r="Q358" t="str">
        <f>IF(H358="","",MIN(100,100*H358/Parametros!$B$4))</f>
        <v/>
      </c>
      <c r="R358" t="str">
        <f>IF(I358="","",IF(I358=0,100,MIN(100,100*Parametros!$B$5/I358)))</f>
        <v/>
      </c>
      <c r="S358" t="str">
        <f>IF(J358="","",IF(J358=0,100,MIN(100,100*Parametros!$B$6/J358)))</f>
        <v/>
      </c>
      <c r="T358" t="str">
        <f>IF(L358="","",MIN(100,100*L358/Parametros!$B$7))</f>
        <v/>
      </c>
      <c r="U358" t="str">
        <f>IF(K358="","",MIN(100,100*K358/Parametros!$B$8))</f>
        <v/>
      </c>
      <c r="V358" t="str">
        <f ca="1">IFERROR(((AVERAGEIFS(Documentacion!$C$2:$C$1000,Documentacion!$A$2:$A$1000,$A358,Documentacion!$B$2:$B$1000,"&gt;="&amp;DATEVALUE($B358&amp;"-01"),Documentacion!$B$2:$B$1000,"&lt;="&amp;EOMONTH(DATEVALUE($B358&amp;"-01"),0)))-1)/4*100,"")</f>
        <v/>
      </c>
      <c r="W358" t="str">
        <f ca="1">IFERROR(((AVERAGEIFS(Feedback_360!$D$2:$D$1000,Feedback_360!$A$2:$A$1000,$A358,Feedback_360!$B$2:$B$1000,"&gt;="&amp;DATEVALUE($B358&amp;"-01"),Feedback_360!$B$2:$B$1000,"&lt;="&amp;EOMONTH(DATEVALUE($B358&amp;"-01"),0)))-1)/4*100,"")</f>
        <v/>
      </c>
      <c r="X358" t="str">
        <f ca="1">IFERROR(((AVERAGEIFS(Observacion_Directa!$D$2:$D$1000,Observacion_Directa!$A$2:$A$1000,$A358,Observacion_Directa!$B$2:$B$1000,"&gt;="&amp;DATEVALUE($B358&amp;"-01"),Observacion_Directa!$B$2:$B$1000,"&lt;="&amp;EOMONTH(DATEVALUE($B358&amp;"-01"),0)))-1)/4*100,"")</f>
        <v/>
      </c>
      <c r="Y358" t="e">
        <f t="shared" ca="1" si="11"/>
        <v>#DIV/0!</v>
      </c>
    </row>
    <row r="359" spans="12:25" x14ac:dyDescent="0.2">
      <c r="L359" t="str">
        <f t="shared" si="10"/>
        <v/>
      </c>
      <c r="M359" t="str">
        <f>IFERROR(AVERAGEIFS(Prod_5dias!$H$2:$H$1000,Prod_5dias!$A$2:$A$1000,$A359,Prod_5dias!$B$2:$B$1000,$B359),"")</f>
        <v/>
      </c>
      <c r="N359" t="str">
        <f>IF(M359="","",MIN(100,100*M359/Parametros!$B$7))</f>
        <v/>
      </c>
      <c r="O359" t="str">
        <f>IF(F359="","",IF(F359=0,100,MIN(100,100*Parametros!$B$3/F359)))</f>
        <v/>
      </c>
      <c r="P359" t="str">
        <f ca="1">IFERROR(((AVERAGEIFS(Observacion_Directa!$E$2:$E$1000,Observacion_Directa!$A$2:$A$1000,$A359,Observacion_Directa!$B$2:$B$1000,"&gt;="&amp;DATEVALUE($B359&amp;"-01"),Observacion_Directa!$B$2:$B$1000,"&lt;="&amp;EOMONTH(DATEVALUE($B359&amp;"-01"),0)))-1)/4*100,"")</f>
        <v/>
      </c>
      <c r="Q359" t="str">
        <f>IF(H359="","",MIN(100,100*H359/Parametros!$B$4))</f>
        <v/>
      </c>
      <c r="R359" t="str">
        <f>IF(I359="","",IF(I359=0,100,MIN(100,100*Parametros!$B$5/I359)))</f>
        <v/>
      </c>
      <c r="S359" t="str">
        <f>IF(J359="","",IF(J359=0,100,MIN(100,100*Parametros!$B$6/J359)))</f>
        <v/>
      </c>
      <c r="T359" t="str">
        <f>IF(L359="","",MIN(100,100*L359/Parametros!$B$7))</f>
        <v/>
      </c>
      <c r="U359" t="str">
        <f>IF(K359="","",MIN(100,100*K359/Parametros!$B$8))</f>
        <v/>
      </c>
      <c r="V359" t="str">
        <f ca="1">IFERROR(((AVERAGEIFS(Documentacion!$C$2:$C$1000,Documentacion!$A$2:$A$1000,$A359,Documentacion!$B$2:$B$1000,"&gt;="&amp;DATEVALUE($B359&amp;"-01"),Documentacion!$B$2:$B$1000,"&lt;="&amp;EOMONTH(DATEVALUE($B359&amp;"-01"),0)))-1)/4*100,"")</f>
        <v/>
      </c>
      <c r="W359" t="str">
        <f ca="1">IFERROR(((AVERAGEIFS(Feedback_360!$D$2:$D$1000,Feedback_360!$A$2:$A$1000,$A359,Feedback_360!$B$2:$B$1000,"&gt;="&amp;DATEVALUE($B359&amp;"-01"),Feedback_360!$B$2:$B$1000,"&lt;="&amp;EOMONTH(DATEVALUE($B359&amp;"-01"),0)))-1)/4*100,"")</f>
        <v/>
      </c>
      <c r="X359" t="str">
        <f ca="1">IFERROR(((AVERAGEIFS(Observacion_Directa!$D$2:$D$1000,Observacion_Directa!$A$2:$A$1000,$A359,Observacion_Directa!$B$2:$B$1000,"&gt;="&amp;DATEVALUE($B359&amp;"-01"),Observacion_Directa!$B$2:$B$1000,"&lt;="&amp;EOMONTH(DATEVALUE($B359&amp;"-01"),0)))-1)/4*100,"")</f>
        <v/>
      </c>
      <c r="Y359" t="e">
        <f t="shared" ca="1" si="11"/>
        <v>#DIV/0!</v>
      </c>
    </row>
    <row r="360" spans="12:25" x14ac:dyDescent="0.2">
      <c r="L360" t="str">
        <f t="shared" si="10"/>
        <v/>
      </c>
      <c r="M360" t="str">
        <f>IFERROR(AVERAGEIFS(Prod_5dias!$H$2:$H$1000,Prod_5dias!$A$2:$A$1000,$A360,Prod_5dias!$B$2:$B$1000,$B360),"")</f>
        <v/>
      </c>
      <c r="N360" t="str">
        <f>IF(M360="","",MIN(100,100*M360/Parametros!$B$7))</f>
        <v/>
      </c>
      <c r="O360" t="str">
        <f>IF(F360="","",IF(F360=0,100,MIN(100,100*Parametros!$B$3/F360)))</f>
        <v/>
      </c>
      <c r="P360" t="str">
        <f ca="1">IFERROR(((AVERAGEIFS(Observacion_Directa!$E$2:$E$1000,Observacion_Directa!$A$2:$A$1000,$A360,Observacion_Directa!$B$2:$B$1000,"&gt;="&amp;DATEVALUE($B360&amp;"-01"),Observacion_Directa!$B$2:$B$1000,"&lt;="&amp;EOMONTH(DATEVALUE($B360&amp;"-01"),0)))-1)/4*100,"")</f>
        <v/>
      </c>
      <c r="Q360" t="str">
        <f>IF(H360="","",MIN(100,100*H360/Parametros!$B$4))</f>
        <v/>
      </c>
      <c r="R360" t="str">
        <f>IF(I360="","",IF(I360=0,100,MIN(100,100*Parametros!$B$5/I360)))</f>
        <v/>
      </c>
      <c r="S360" t="str">
        <f>IF(J360="","",IF(J360=0,100,MIN(100,100*Parametros!$B$6/J360)))</f>
        <v/>
      </c>
      <c r="T360" t="str">
        <f>IF(L360="","",MIN(100,100*L360/Parametros!$B$7))</f>
        <v/>
      </c>
      <c r="U360" t="str">
        <f>IF(K360="","",MIN(100,100*K360/Parametros!$B$8))</f>
        <v/>
      </c>
      <c r="V360" t="str">
        <f ca="1">IFERROR(((AVERAGEIFS(Documentacion!$C$2:$C$1000,Documentacion!$A$2:$A$1000,$A360,Documentacion!$B$2:$B$1000,"&gt;="&amp;DATEVALUE($B360&amp;"-01"),Documentacion!$B$2:$B$1000,"&lt;="&amp;EOMONTH(DATEVALUE($B360&amp;"-01"),0)))-1)/4*100,"")</f>
        <v/>
      </c>
      <c r="W360" t="str">
        <f ca="1">IFERROR(((AVERAGEIFS(Feedback_360!$D$2:$D$1000,Feedback_360!$A$2:$A$1000,$A360,Feedback_360!$B$2:$B$1000,"&gt;="&amp;DATEVALUE($B360&amp;"-01"),Feedback_360!$B$2:$B$1000,"&lt;="&amp;EOMONTH(DATEVALUE($B360&amp;"-01"),0)))-1)/4*100,"")</f>
        <v/>
      </c>
      <c r="X360" t="str">
        <f ca="1">IFERROR(((AVERAGEIFS(Observacion_Directa!$D$2:$D$1000,Observacion_Directa!$A$2:$A$1000,$A360,Observacion_Directa!$B$2:$B$1000,"&gt;="&amp;DATEVALUE($B360&amp;"-01"),Observacion_Directa!$B$2:$B$1000,"&lt;="&amp;EOMONTH(DATEVALUE($B360&amp;"-01"),0)))-1)/4*100,"")</f>
        <v/>
      </c>
      <c r="Y360" t="e">
        <f t="shared" ca="1" si="11"/>
        <v>#DIV/0!</v>
      </c>
    </row>
    <row r="361" spans="12:25" x14ac:dyDescent="0.2">
      <c r="L361" t="str">
        <f t="shared" si="10"/>
        <v/>
      </c>
      <c r="M361" t="str">
        <f>IFERROR(AVERAGEIFS(Prod_5dias!$H$2:$H$1000,Prod_5dias!$A$2:$A$1000,$A361,Prod_5dias!$B$2:$B$1000,$B361),"")</f>
        <v/>
      </c>
      <c r="N361" t="str">
        <f>IF(M361="","",MIN(100,100*M361/Parametros!$B$7))</f>
        <v/>
      </c>
      <c r="O361" t="str">
        <f>IF(F361="","",IF(F361=0,100,MIN(100,100*Parametros!$B$3/F361)))</f>
        <v/>
      </c>
      <c r="P361" t="str">
        <f ca="1">IFERROR(((AVERAGEIFS(Observacion_Directa!$E$2:$E$1000,Observacion_Directa!$A$2:$A$1000,$A361,Observacion_Directa!$B$2:$B$1000,"&gt;="&amp;DATEVALUE($B361&amp;"-01"),Observacion_Directa!$B$2:$B$1000,"&lt;="&amp;EOMONTH(DATEVALUE($B361&amp;"-01"),0)))-1)/4*100,"")</f>
        <v/>
      </c>
      <c r="Q361" t="str">
        <f>IF(H361="","",MIN(100,100*H361/Parametros!$B$4))</f>
        <v/>
      </c>
      <c r="R361" t="str">
        <f>IF(I361="","",IF(I361=0,100,MIN(100,100*Parametros!$B$5/I361)))</f>
        <v/>
      </c>
      <c r="S361" t="str">
        <f>IF(J361="","",IF(J361=0,100,MIN(100,100*Parametros!$B$6/J361)))</f>
        <v/>
      </c>
      <c r="T361" t="str">
        <f>IF(L361="","",MIN(100,100*L361/Parametros!$B$7))</f>
        <v/>
      </c>
      <c r="U361" t="str">
        <f>IF(K361="","",MIN(100,100*K361/Parametros!$B$8))</f>
        <v/>
      </c>
      <c r="V361" t="str">
        <f ca="1">IFERROR(((AVERAGEIFS(Documentacion!$C$2:$C$1000,Documentacion!$A$2:$A$1000,$A361,Documentacion!$B$2:$B$1000,"&gt;="&amp;DATEVALUE($B361&amp;"-01"),Documentacion!$B$2:$B$1000,"&lt;="&amp;EOMONTH(DATEVALUE($B361&amp;"-01"),0)))-1)/4*100,"")</f>
        <v/>
      </c>
      <c r="W361" t="str">
        <f ca="1">IFERROR(((AVERAGEIFS(Feedback_360!$D$2:$D$1000,Feedback_360!$A$2:$A$1000,$A361,Feedback_360!$B$2:$B$1000,"&gt;="&amp;DATEVALUE($B361&amp;"-01"),Feedback_360!$B$2:$B$1000,"&lt;="&amp;EOMONTH(DATEVALUE($B361&amp;"-01"),0)))-1)/4*100,"")</f>
        <v/>
      </c>
      <c r="X361" t="str">
        <f ca="1">IFERROR(((AVERAGEIFS(Observacion_Directa!$D$2:$D$1000,Observacion_Directa!$A$2:$A$1000,$A361,Observacion_Directa!$B$2:$B$1000,"&gt;="&amp;DATEVALUE($B361&amp;"-01"),Observacion_Directa!$B$2:$B$1000,"&lt;="&amp;EOMONTH(DATEVALUE($B361&amp;"-01"),0)))-1)/4*100,"")</f>
        <v/>
      </c>
      <c r="Y361" t="e">
        <f t="shared" ca="1" si="11"/>
        <v>#DIV/0!</v>
      </c>
    </row>
    <row r="362" spans="12:25" x14ac:dyDescent="0.2">
      <c r="L362" t="str">
        <f t="shared" si="10"/>
        <v/>
      </c>
      <c r="M362" t="str">
        <f>IFERROR(AVERAGEIFS(Prod_5dias!$H$2:$H$1000,Prod_5dias!$A$2:$A$1000,$A362,Prod_5dias!$B$2:$B$1000,$B362),"")</f>
        <v/>
      </c>
      <c r="N362" t="str">
        <f>IF(M362="","",MIN(100,100*M362/Parametros!$B$7))</f>
        <v/>
      </c>
      <c r="O362" t="str">
        <f>IF(F362="","",IF(F362=0,100,MIN(100,100*Parametros!$B$3/F362)))</f>
        <v/>
      </c>
      <c r="P362" t="str">
        <f ca="1">IFERROR(((AVERAGEIFS(Observacion_Directa!$E$2:$E$1000,Observacion_Directa!$A$2:$A$1000,$A362,Observacion_Directa!$B$2:$B$1000,"&gt;="&amp;DATEVALUE($B362&amp;"-01"),Observacion_Directa!$B$2:$B$1000,"&lt;="&amp;EOMONTH(DATEVALUE($B362&amp;"-01"),0)))-1)/4*100,"")</f>
        <v/>
      </c>
      <c r="Q362" t="str">
        <f>IF(H362="","",MIN(100,100*H362/Parametros!$B$4))</f>
        <v/>
      </c>
      <c r="R362" t="str">
        <f>IF(I362="","",IF(I362=0,100,MIN(100,100*Parametros!$B$5/I362)))</f>
        <v/>
      </c>
      <c r="S362" t="str">
        <f>IF(J362="","",IF(J362=0,100,MIN(100,100*Parametros!$B$6/J362)))</f>
        <v/>
      </c>
      <c r="T362" t="str">
        <f>IF(L362="","",MIN(100,100*L362/Parametros!$B$7))</f>
        <v/>
      </c>
      <c r="U362" t="str">
        <f>IF(K362="","",MIN(100,100*K362/Parametros!$B$8))</f>
        <v/>
      </c>
      <c r="V362" t="str">
        <f ca="1">IFERROR(((AVERAGEIFS(Documentacion!$C$2:$C$1000,Documentacion!$A$2:$A$1000,$A362,Documentacion!$B$2:$B$1000,"&gt;="&amp;DATEVALUE($B362&amp;"-01"),Documentacion!$B$2:$B$1000,"&lt;="&amp;EOMONTH(DATEVALUE($B362&amp;"-01"),0)))-1)/4*100,"")</f>
        <v/>
      </c>
      <c r="W362" t="str">
        <f ca="1">IFERROR(((AVERAGEIFS(Feedback_360!$D$2:$D$1000,Feedback_360!$A$2:$A$1000,$A362,Feedback_360!$B$2:$B$1000,"&gt;="&amp;DATEVALUE($B362&amp;"-01"),Feedback_360!$B$2:$B$1000,"&lt;="&amp;EOMONTH(DATEVALUE($B362&amp;"-01"),0)))-1)/4*100,"")</f>
        <v/>
      </c>
      <c r="X362" t="str">
        <f ca="1">IFERROR(((AVERAGEIFS(Observacion_Directa!$D$2:$D$1000,Observacion_Directa!$A$2:$A$1000,$A362,Observacion_Directa!$B$2:$B$1000,"&gt;="&amp;DATEVALUE($B362&amp;"-01"),Observacion_Directa!$B$2:$B$1000,"&lt;="&amp;EOMONTH(DATEVALUE($B362&amp;"-01"),0)))-1)/4*100,"")</f>
        <v/>
      </c>
      <c r="Y362" t="e">
        <f t="shared" ca="1" si="11"/>
        <v>#DIV/0!</v>
      </c>
    </row>
    <row r="363" spans="12:25" x14ac:dyDescent="0.2">
      <c r="L363" t="str">
        <f t="shared" si="10"/>
        <v/>
      </c>
      <c r="M363" t="str">
        <f>IFERROR(AVERAGEIFS(Prod_5dias!$H$2:$H$1000,Prod_5dias!$A$2:$A$1000,$A363,Prod_5dias!$B$2:$B$1000,$B363),"")</f>
        <v/>
      </c>
      <c r="N363" t="str">
        <f>IF(M363="","",MIN(100,100*M363/Parametros!$B$7))</f>
        <v/>
      </c>
      <c r="O363" t="str">
        <f>IF(F363="","",IF(F363=0,100,MIN(100,100*Parametros!$B$3/F363)))</f>
        <v/>
      </c>
      <c r="P363" t="str">
        <f ca="1">IFERROR(((AVERAGEIFS(Observacion_Directa!$E$2:$E$1000,Observacion_Directa!$A$2:$A$1000,$A363,Observacion_Directa!$B$2:$B$1000,"&gt;="&amp;DATEVALUE($B363&amp;"-01"),Observacion_Directa!$B$2:$B$1000,"&lt;="&amp;EOMONTH(DATEVALUE($B363&amp;"-01"),0)))-1)/4*100,"")</f>
        <v/>
      </c>
      <c r="Q363" t="str">
        <f>IF(H363="","",MIN(100,100*H363/Parametros!$B$4))</f>
        <v/>
      </c>
      <c r="R363" t="str">
        <f>IF(I363="","",IF(I363=0,100,MIN(100,100*Parametros!$B$5/I363)))</f>
        <v/>
      </c>
      <c r="S363" t="str">
        <f>IF(J363="","",IF(J363=0,100,MIN(100,100*Parametros!$B$6/J363)))</f>
        <v/>
      </c>
      <c r="T363" t="str">
        <f>IF(L363="","",MIN(100,100*L363/Parametros!$B$7))</f>
        <v/>
      </c>
      <c r="U363" t="str">
        <f>IF(K363="","",MIN(100,100*K363/Parametros!$B$8))</f>
        <v/>
      </c>
      <c r="V363" t="str">
        <f ca="1">IFERROR(((AVERAGEIFS(Documentacion!$C$2:$C$1000,Documentacion!$A$2:$A$1000,$A363,Documentacion!$B$2:$B$1000,"&gt;="&amp;DATEVALUE($B363&amp;"-01"),Documentacion!$B$2:$B$1000,"&lt;="&amp;EOMONTH(DATEVALUE($B363&amp;"-01"),0)))-1)/4*100,"")</f>
        <v/>
      </c>
      <c r="W363" t="str">
        <f ca="1">IFERROR(((AVERAGEIFS(Feedback_360!$D$2:$D$1000,Feedback_360!$A$2:$A$1000,$A363,Feedback_360!$B$2:$B$1000,"&gt;="&amp;DATEVALUE($B363&amp;"-01"),Feedback_360!$B$2:$B$1000,"&lt;="&amp;EOMONTH(DATEVALUE($B363&amp;"-01"),0)))-1)/4*100,"")</f>
        <v/>
      </c>
      <c r="X363" t="str">
        <f ca="1">IFERROR(((AVERAGEIFS(Observacion_Directa!$D$2:$D$1000,Observacion_Directa!$A$2:$A$1000,$A363,Observacion_Directa!$B$2:$B$1000,"&gt;="&amp;DATEVALUE($B363&amp;"-01"),Observacion_Directa!$B$2:$B$1000,"&lt;="&amp;EOMONTH(DATEVALUE($B363&amp;"-01"),0)))-1)/4*100,"")</f>
        <v/>
      </c>
      <c r="Y363" t="e">
        <f t="shared" ca="1" si="11"/>
        <v>#DIV/0!</v>
      </c>
    </row>
    <row r="364" spans="12:25" x14ac:dyDescent="0.2">
      <c r="L364" t="str">
        <f t="shared" si="10"/>
        <v/>
      </c>
      <c r="M364" t="str">
        <f>IFERROR(AVERAGEIFS(Prod_5dias!$H$2:$H$1000,Prod_5dias!$A$2:$A$1000,$A364,Prod_5dias!$B$2:$B$1000,$B364),"")</f>
        <v/>
      </c>
      <c r="N364" t="str">
        <f>IF(M364="","",MIN(100,100*M364/Parametros!$B$7))</f>
        <v/>
      </c>
      <c r="O364" t="str">
        <f>IF(F364="","",IF(F364=0,100,MIN(100,100*Parametros!$B$3/F364)))</f>
        <v/>
      </c>
      <c r="P364" t="str">
        <f ca="1">IFERROR(((AVERAGEIFS(Observacion_Directa!$E$2:$E$1000,Observacion_Directa!$A$2:$A$1000,$A364,Observacion_Directa!$B$2:$B$1000,"&gt;="&amp;DATEVALUE($B364&amp;"-01"),Observacion_Directa!$B$2:$B$1000,"&lt;="&amp;EOMONTH(DATEVALUE($B364&amp;"-01"),0)))-1)/4*100,"")</f>
        <v/>
      </c>
      <c r="Q364" t="str">
        <f>IF(H364="","",MIN(100,100*H364/Parametros!$B$4))</f>
        <v/>
      </c>
      <c r="R364" t="str">
        <f>IF(I364="","",IF(I364=0,100,MIN(100,100*Parametros!$B$5/I364)))</f>
        <v/>
      </c>
      <c r="S364" t="str">
        <f>IF(J364="","",IF(J364=0,100,MIN(100,100*Parametros!$B$6/J364)))</f>
        <v/>
      </c>
      <c r="T364" t="str">
        <f>IF(L364="","",MIN(100,100*L364/Parametros!$B$7))</f>
        <v/>
      </c>
      <c r="U364" t="str">
        <f>IF(K364="","",MIN(100,100*K364/Parametros!$B$8))</f>
        <v/>
      </c>
      <c r="V364" t="str">
        <f ca="1">IFERROR(((AVERAGEIFS(Documentacion!$C$2:$C$1000,Documentacion!$A$2:$A$1000,$A364,Documentacion!$B$2:$B$1000,"&gt;="&amp;DATEVALUE($B364&amp;"-01"),Documentacion!$B$2:$B$1000,"&lt;="&amp;EOMONTH(DATEVALUE($B364&amp;"-01"),0)))-1)/4*100,"")</f>
        <v/>
      </c>
      <c r="W364" t="str">
        <f ca="1">IFERROR(((AVERAGEIFS(Feedback_360!$D$2:$D$1000,Feedback_360!$A$2:$A$1000,$A364,Feedback_360!$B$2:$B$1000,"&gt;="&amp;DATEVALUE($B364&amp;"-01"),Feedback_360!$B$2:$B$1000,"&lt;="&amp;EOMONTH(DATEVALUE($B364&amp;"-01"),0)))-1)/4*100,"")</f>
        <v/>
      </c>
      <c r="X364" t="str">
        <f ca="1">IFERROR(((AVERAGEIFS(Observacion_Directa!$D$2:$D$1000,Observacion_Directa!$A$2:$A$1000,$A364,Observacion_Directa!$B$2:$B$1000,"&gt;="&amp;DATEVALUE($B364&amp;"-01"),Observacion_Directa!$B$2:$B$1000,"&lt;="&amp;EOMONTH(DATEVALUE($B364&amp;"-01"),0)))-1)/4*100,"")</f>
        <v/>
      </c>
      <c r="Y364" t="e">
        <f t="shared" ca="1" si="11"/>
        <v>#DIV/0!</v>
      </c>
    </row>
    <row r="365" spans="12:25" x14ac:dyDescent="0.2">
      <c r="L365" t="str">
        <f t="shared" si="10"/>
        <v/>
      </c>
      <c r="M365" t="str">
        <f>IFERROR(AVERAGEIFS(Prod_5dias!$H$2:$H$1000,Prod_5dias!$A$2:$A$1000,$A365,Prod_5dias!$B$2:$B$1000,$B365),"")</f>
        <v/>
      </c>
      <c r="N365" t="str">
        <f>IF(M365="","",MIN(100,100*M365/Parametros!$B$7))</f>
        <v/>
      </c>
      <c r="O365" t="str">
        <f>IF(F365="","",IF(F365=0,100,MIN(100,100*Parametros!$B$3/F365)))</f>
        <v/>
      </c>
      <c r="P365" t="str">
        <f ca="1">IFERROR(((AVERAGEIFS(Observacion_Directa!$E$2:$E$1000,Observacion_Directa!$A$2:$A$1000,$A365,Observacion_Directa!$B$2:$B$1000,"&gt;="&amp;DATEVALUE($B365&amp;"-01"),Observacion_Directa!$B$2:$B$1000,"&lt;="&amp;EOMONTH(DATEVALUE($B365&amp;"-01"),0)))-1)/4*100,"")</f>
        <v/>
      </c>
      <c r="Q365" t="str">
        <f>IF(H365="","",MIN(100,100*H365/Parametros!$B$4))</f>
        <v/>
      </c>
      <c r="R365" t="str">
        <f>IF(I365="","",IF(I365=0,100,MIN(100,100*Parametros!$B$5/I365)))</f>
        <v/>
      </c>
      <c r="S365" t="str">
        <f>IF(J365="","",IF(J365=0,100,MIN(100,100*Parametros!$B$6/J365)))</f>
        <v/>
      </c>
      <c r="T365" t="str">
        <f>IF(L365="","",MIN(100,100*L365/Parametros!$B$7))</f>
        <v/>
      </c>
      <c r="U365" t="str">
        <f>IF(K365="","",MIN(100,100*K365/Parametros!$B$8))</f>
        <v/>
      </c>
      <c r="V365" t="str">
        <f ca="1">IFERROR(((AVERAGEIFS(Documentacion!$C$2:$C$1000,Documentacion!$A$2:$A$1000,$A365,Documentacion!$B$2:$B$1000,"&gt;="&amp;DATEVALUE($B365&amp;"-01"),Documentacion!$B$2:$B$1000,"&lt;="&amp;EOMONTH(DATEVALUE($B365&amp;"-01"),0)))-1)/4*100,"")</f>
        <v/>
      </c>
      <c r="W365" t="str">
        <f ca="1">IFERROR(((AVERAGEIFS(Feedback_360!$D$2:$D$1000,Feedback_360!$A$2:$A$1000,$A365,Feedback_360!$B$2:$B$1000,"&gt;="&amp;DATEVALUE($B365&amp;"-01"),Feedback_360!$B$2:$B$1000,"&lt;="&amp;EOMONTH(DATEVALUE($B365&amp;"-01"),0)))-1)/4*100,"")</f>
        <v/>
      </c>
      <c r="X365" t="str">
        <f ca="1">IFERROR(((AVERAGEIFS(Observacion_Directa!$D$2:$D$1000,Observacion_Directa!$A$2:$A$1000,$A365,Observacion_Directa!$B$2:$B$1000,"&gt;="&amp;DATEVALUE($B365&amp;"-01"),Observacion_Directa!$B$2:$B$1000,"&lt;="&amp;EOMONTH(DATEVALUE($B365&amp;"-01"),0)))-1)/4*100,"")</f>
        <v/>
      </c>
      <c r="Y365" t="e">
        <f t="shared" ca="1" si="11"/>
        <v>#DIV/0!</v>
      </c>
    </row>
    <row r="366" spans="12:25" x14ac:dyDescent="0.2">
      <c r="L366" t="str">
        <f t="shared" si="10"/>
        <v/>
      </c>
      <c r="M366" t="str">
        <f>IFERROR(AVERAGEIFS(Prod_5dias!$H$2:$H$1000,Prod_5dias!$A$2:$A$1000,$A366,Prod_5dias!$B$2:$B$1000,$B366),"")</f>
        <v/>
      </c>
      <c r="N366" t="str">
        <f>IF(M366="","",MIN(100,100*M366/Parametros!$B$7))</f>
        <v/>
      </c>
      <c r="O366" t="str">
        <f>IF(F366="","",IF(F366=0,100,MIN(100,100*Parametros!$B$3/F366)))</f>
        <v/>
      </c>
      <c r="P366" t="str">
        <f ca="1">IFERROR(((AVERAGEIFS(Observacion_Directa!$E$2:$E$1000,Observacion_Directa!$A$2:$A$1000,$A366,Observacion_Directa!$B$2:$B$1000,"&gt;="&amp;DATEVALUE($B366&amp;"-01"),Observacion_Directa!$B$2:$B$1000,"&lt;="&amp;EOMONTH(DATEVALUE($B366&amp;"-01"),0)))-1)/4*100,"")</f>
        <v/>
      </c>
      <c r="Q366" t="str">
        <f>IF(H366="","",MIN(100,100*H366/Parametros!$B$4))</f>
        <v/>
      </c>
      <c r="R366" t="str">
        <f>IF(I366="","",IF(I366=0,100,MIN(100,100*Parametros!$B$5/I366)))</f>
        <v/>
      </c>
      <c r="S366" t="str">
        <f>IF(J366="","",IF(J366=0,100,MIN(100,100*Parametros!$B$6/J366)))</f>
        <v/>
      </c>
      <c r="T366" t="str">
        <f>IF(L366="","",MIN(100,100*L366/Parametros!$B$7))</f>
        <v/>
      </c>
      <c r="U366" t="str">
        <f>IF(K366="","",MIN(100,100*K366/Parametros!$B$8))</f>
        <v/>
      </c>
      <c r="V366" t="str">
        <f ca="1">IFERROR(((AVERAGEIFS(Documentacion!$C$2:$C$1000,Documentacion!$A$2:$A$1000,$A366,Documentacion!$B$2:$B$1000,"&gt;="&amp;DATEVALUE($B366&amp;"-01"),Documentacion!$B$2:$B$1000,"&lt;="&amp;EOMONTH(DATEVALUE($B366&amp;"-01"),0)))-1)/4*100,"")</f>
        <v/>
      </c>
      <c r="W366" t="str">
        <f ca="1">IFERROR(((AVERAGEIFS(Feedback_360!$D$2:$D$1000,Feedback_360!$A$2:$A$1000,$A366,Feedback_360!$B$2:$B$1000,"&gt;="&amp;DATEVALUE($B366&amp;"-01"),Feedback_360!$B$2:$B$1000,"&lt;="&amp;EOMONTH(DATEVALUE($B366&amp;"-01"),0)))-1)/4*100,"")</f>
        <v/>
      </c>
      <c r="X366" t="str">
        <f ca="1">IFERROR(((AVERAGEIFS(Observacion_Directa!$D$2:$D$1000,Observacion_Directa!$A$2:$A$1000,$A366,Observacion_Directa!$B$2:$B$1000,"&gt;="&amp;DATEVALUE($B366&amp;"-01"),Observacion_Directa!$B$2:$B$1000,"&lt;="&amp;EOMONTH(DATEVALUE($B366&amp;"-01"),0)))-1)/4*100,"")</f>
        <v/>
      </c>
      <c r="Y366" t="e">
        <f t="shared" ca="1" si="11"/>
        <v>#DIV/0!</v>
      </c>
    </row>
    <row r="367" spans="12:25" x14ac:dyDescent="0.2">
      <c r="L367" t="str">
        <f t="shared" si="10"/>
        <v/>
      </c>
      <c r="M367" t="str">
        <f>IFERROR(AVERAGEIFS(Prod_5dias!$H$2:$H$1000,Prod_5dias!$A$2:$A$1000,$A367,Prod_5dias!$B$2:$B$1000,$B367),"")</f>
        <v/>
      </c>
      <c r="N367" t="str">
        <f>IF(M367="","",MIN(100,100*M367/Parametros!$B$7))</f>
        <v/>
      </c>
      <c r="O367" t="str">
        <f>IF(F367="","",IF(F367=0,100,MIN(100,100*Parametros!$B$3/F367)))</f>
        <v/>
      </c>
      <c r="P367" t="str">
        <f ca="1">IFERROR(((AVERAGEIFS(Observacion_Directa!$E$2:$E$1000,Observacion_Directa!$A$2:$A$1000,$A367,Observacion_Directa!$B$2:$B$1000,"&gt;="&amp;DATEVALUE($B367&amp;"-01"),Observacion_Directa!$B$2:$B$1000,"&lt;="&amp;EOMONTH(DATEVALUE($B367&amp;"-01"),0)))-1)/4*100,"")</f>
        <v/>
      </c>
      <c r="Q367" t="str">
        <f>IF(H367="","",MIN(100,100*H367/Parametros!$B$4))</f>
        <v/>
      </c>
      <c r="R367" t="str">
        <f>IF(I367="","",IF(I367=0,100,MIN(100,100*Parametros!$B$5/I367)))</f>
        <v/>
      </c>
      <c r="S367" t="str">
        <f>IF(J367="","",IF(J367=0,100,MIN(100,100*Parametros!$B$6/J367)))</f>
        <v/>
      </c>
      <c r="T367" t="str">
        <f>IF(L367="","",MIN(100,100*L367/Parametros!$B$7))</f>
        <v/>
      </c>
      <c r="U367" t="str">
        <f>IF(K367="","",MIN(100,100*K367/Parametros!$B$8))</f>
        <v/>
      </c>
      <c r="V367" t="str">
        <f ca="1">IFERROR(((AVERAGEIFS(Documentacion!$C$2:$C$1000,Documentacion!$A$2:$A$1000,$A367,Documentacion!$B$2:$B$1000,"&gt;="&amp;DATEVALUE($B367&amp;"-01"),Documentacion!$B$2:$B$1000,"&lt;="&amp;EOMONTH(DATEVALUE($B367&amp;"-01"),0)))-1)/4*100,"")</f>
        <v/>
      </c>
      <c r="W367" t="str">
        <f ca="1">IFERROR(((AVERAGEIFS(Feedback_360!$D$2:$D$1000,Feedback_360!$A$2:$A$1000,$A367,Feedback_360!$B$2:$B$1000,"&gt;="&amp;DATEVALUE($B367&amp;"-01"),Feedback_360!$B$2:$B$1000,"&lt;="&amp;EOMONTH(DATEVALUE($B367&amp;"-01"),0)))-1)/4*100,"")</f>
        <v/>
      </c>
      <c r="X367" t="str">
        <f ca="1">IFERROR(((AVERAGEIFS(Observacion_Directa!$D$2:$D$1000,Observacion_Directa!$A$2:$A$1000,$A367,Observacion_Directa!$B$2:$B$1000,"&gt;="&amp;DATEVALUE($B367&amp;"-01"),Observacion_Directa!$B$2:$B$1000,"&lt;="&amp;EOMONTH(DATEVALUE($B367&amp;"-01"),0)))-1)/4*100,"")</f>
        <v/>
      </c>
      <c r="Y367" t="e">
        <f t="shared" ca="1" si="11"/>
        <v>#DIV/0!</v>
      </c>
    </row>
    <row r="368" spans="12:25" x14ac:dyDescent="0.2">
      <c r="L368" t="str">
        <f t="shared" si="10"/>
        <v/>
      </c>
      <c r="M368" t="str">
        <f>IFERROR(AVERAGEIFS(Prod_5dias!$H$2:$H$1000,Prod_5dias!$A$2:$A$1000,$A368,Prod_5dias!$B$2:$B$1000,$B368),"")</f>
        <v/>
      </c>
      <c r="N368" t="str">
        <f>IF(M368="","",MIN(100,100*M368/Parametros!$B$7))</f>
        <v/>
      </c>
      <c r="O368" t="str">
        <f>IF(F368="","",IF(F368=0,100,MIN(100,100*Parametros!$B$3/F368)))</f>
        <v/>
      </c>
      <c r="P368" t="str">
        <f ca="1">IFERROR(((AVERAGEIFS(Observacion_Directa!$E$2:$E$1000,Observacion_Directa!$A$2:$A$1000,$A368,Observacion_Directa!$B$2:$B$1000,"&gt;="&amp;DATEVALUE($B368&amp;"-01"),Observacion_Directa!$B$2:$B$1000,"&lt;="&amp;EOMONTH(DATEVALUE($B368&amp;"-01"),0)))-1)/4*100,"")</f>
        <v/>
      </c>
      <c r="Q368" t="str">
        <f>IF(H368="","",MIN(100,100*H368/Parametros!$B$4))</f>
        <v/>
      </c>
      <c r="R368" t="str">
        <f>IF(I368="","",IF(I368=0,100,MIN(100,100*Parametros!$B$5/I368)))</f>
        <v/>
      </c>
      <c r="S368" t="str">
        <f>IF(J368="","",IF(J368=0,100,MIN(100,100*Parametros!$B$6/J368)))</f>
        <v/>
      </c>
      <c r="T368" t="str">
        <f>IF(L368="","",MIN(100,100*L368/Parametros!$B$7))</f>
        <v/>
      </c>
      <c r="U368" t="str">
        <f>IF(K368="","",MIN(100,100*K368/Parametros!$B$8))</f>
        <v/>
      </c>
      <c r="V368" t="str">
        <f ca="1">IFERROR(((AVERAGEIFS(Documentacion!$C$2:$C$1000,Documentacion!$A$2:$A$1000,$A368,Documentacion!$B$2:$B$1000,"&gt;="&amp;DATEVALUE($B368&amp;"-01"),Documentacion!$B$2:$B$1000,"&lt;="&amp;EOMONTH(DATEVALUE($B368&amp;"-01"),0)))-1)/4*100,"")</f>
        <v/>
      </c>
      <c r="W368" t="str">
        <f ca="1">IFERROR(((AVERAGEIFS(Feedback_360!$D$2:$D$1000,Feedback_360!$A$2:$A$1000,$A368,Feedback_360!$B$2:$B$1000,"&gt;="&amp;DATEVALUE($B368&amp;"-01"),Feedback_360!$B$2:$B$1000,"&lt;="&amp;EOMONTH(DATEVALUE($B368&amp;"-01"),0)))-1)/4*100,"")</f>
        <v/>
      </c>
      <c r="X368" t="str">
        <f ca="1">IFERROR(((AVERAGEIFS(Observacion_Directa!$D$2:$D$1000,Observacion_Directa!$A$2:$A$1000,$A368,Observacion_Directa!$B$2:$B$1000,"&gt;="&amp;DATEVALUE($B368&amp;"-01"),Observacion_Directa!$B$2:$B$1000,"&lt;="&amp;EOMONTH(DATEVALUE($B368&amp;"-01"),0)))-1)/4*100,"")</f>
        <v/>
      </c>
      <c r="Y368" t="e">
        <f t="shared" ca="1" si="11"/>
        <v>#DIV/0!</v>
      </c>
    </row>
    <row r="369" spans="12:25" x14ac:dyDescent="0.2">
      <c r="L369" t="str">
        <f t="shared" si="10"/>
        <v/>
      </c>
      <c r="M369" t="str">
        <f>IFERROR(AVERAGEIFS(Prod_5dias!$H$2:$H$1000,Prod_5dias!$A$2:$A$1000,$A369,Prod_5dias!$B$2:$B$1000,$B369),"")</f>
        <v/>
      </c>
      <c r="N369" t="str">
        <f>IF(M369="","",MIN(100,100*M369/Parametros!$B$7))</f>
        <v/>
      </c>
      <c r="O369" t="str">
        <f>IF(F369="","",IF(F369=0,100,MIN(100,100*Parametros!$B$3/F369)))</f>
        <v/>
      </c>
      <c r="P369" t="str">
        <f ca="1">IFERROR(((AVERAGEIFS(Observacion_Directa!$E$2:$E$1000,Observacion_Directa!$A$2:$A$1000,$A369,Observacion_Directa!$B$2:$B$1000,"&gt;="&amp;DATEVALUE($B369&amp;"-01"),Observacion_Directa!$B$2:$B$1000,"&lt;="&amp;EOMONTH(DATEVALUE($B369&amp;"-01"),0)))-1)/4*100,"")</f>
        <v/>
      </c>
      <c r="Q369" t="str">
        <f>IF(H369="","",MIN(100,100*H369/Parametros!$B$4))</f>
        <v/>
      </c>
      <c r="R369" t="str">
        <f>IF(I369="","",IF(I369=0,100,MIN(100,100*Parametros!$B$5/I369)))</f>
        <v/>
      </c>
      <c r="S369" t="str">
        <f>IF(J369="","",IF(J369=0,100,MIN(100,100*Parametros!$B$6/J369)))</f>
        <v/>
      </c>
      <c r="T369" t="str">
        <f>IF(L369="","",MIN(100,100*L369/Parametros!$B$7))</f>
        <v/>
      </c>
      <c r="U369" t="str">
        <f>IF(K369="","",MIN(100,100*K369/Parametros!$B$8))</f>
        <v/>
      </c>
      <c r="V369" t="str">
        <f ca="1">IFERROR(((AVERAGEIFS(Documentacion!$C$2:$C$1000,Documentacion!$A$2:$A$1000,$A369,Documentacion!$B$2:$B$1000,"&gt;="&amp;DATEVALUE($B369&amp;"-01"),Documentacion!$B$2:$B$1000,"&lt;="&amp;EOMONTH(DATEVALUE($B369&amp;"-01"),0)))-1)/4*100,"")</f>
        <v/>
      </c>
      <c r="W369" t="str">
        <f ca="1">IFERROR(((AVERAGEIFS(Feedback_360!$D$2:$D$1000,Feedback_360!$A$2:$A$1000,$A369,Feedback_360!$B$2:$B$1000,"&gt;="&amp;DATEVALUE($B369&amp;"-01"),Feedback_360!$B$2:$B$1000,"&lt;="&amp;EOMONTH(DATEVALUE($B369&amp;"-01"),0)))-1)/4*100,"")</f>
        <v/>
      </c>
      <c r="X369" t="str">
        <f ca="1">IFERROR(((AVERAGEIFS(Observacion_Directa!$D$2:$D$1000,Observacion_Directa!$A$2:$A$1000,$A369,Observacion_Directa!$B$2:$B$1000,"&gt;="&amp;DATEVALUE($B369&amp;"-01"),Observacion_Directa!$B$2:$B$1000,"&lt;="&amp;EOMONTH(DATEVALUE($B369&amp;"-01"),0)))-1)/4*100,"")</f>
        <v/>
      </c>
      <c r="Y369" t="e">
        <f t="shared" ca="1" si="11"/>
        <v>#DIV/0!</v>
      </c>
    </row>
    <row r="370" spans="12:25" x14ac:dyDescent="0.2">
      <c r="L370" t="str">
        <f t="shared" si="10"/>
        <v/>
      </c>
      <c r="M370" t="str">
        <f>IFERROR(AVERAGEIFS(Prod_5dias!$H$2:$H$1000,Prod_5dias!$A$2:$A$1000,$A370,Prod_5dias!$B$2:$B$1000,$B370),"")</f>
        <v/>
      </c>
      <c r="N370" t="str">
        <f>IF(M370="","",MIN(100,100*M370/Parametros!$B$7))</f>
        <v/>
      </c>
      <c r="O370" t="str">
        <f>IF(F370="","",IF(F370=0,100,MIN(100,100*Parametros!$B$3/F370)))</f>
        <v/>
      </c>
      <c r="P370" t="str">
        <f ca="1">IFERROR(((AVERAGEIFS(Observacion_Directa!$E$2:$E$1000,Observacion_Directa!$A$2:$A$1000,$A370,Observacion_Directa!$B$2:$B$1000,"&gt;="&amp;DATEVALUE($B370&amp;"-01"),Observacion_Directa!$B$2:$B$1000,"&lt;="&amp;EOMONTH(DATEVALUE($B370&amp;"-01"),0)))-1)/4*100,"")</f>
        <v/>
      </c>
      <c r="Q370" t="str">
        <f>IF(H370="","",MIN(100,100*H370/Parametros!$B$4))</f>
        <v/>
      </c>
      <c r="R370" t="str">
        <f>IF(I370="","",IF(I370=0,100,MIN(100,100*Parametros!$B$5/I370)))</f>
        <v/>
      </c>
      <c r="S370" t="str">
        <f>IF(J370="","",IF(J370=0,100,MIN(100,100*Parametros!$B$6/J370)))</f>
        <v/>
      </c>
      <c r="T370" t="str">
        <f>IF(L370="","",MIN(100,100*L370/Parametros!$B$7))</f>
        <v/>
      </c>
      <c r="U370" t="str">
        <f>IF(K370="","",MIN(100,100*K370/Parametros!$B$8))</f>
        <v/>
      </c>
      <c r="V370" t="str">
        <f ca="1">IFERROR(((AVERAGEIFS(Documentacion!$C$2:$C$1000,Documentacion!$A$2:$A$1000,$A370,Documentacion!$B$2:$B$1000,"&gt;="&amp;DATEVALUE($B370&amp;"-01"),Documentacion!$B$2:$B$1000,"&lt;="&amp;EOMONTH(DATEVALUE($B370&amp;"-01"),0)))-1)/4*100,"")</f>
        <v/>
      </c>
      <c r="W370" t="str">
        <f ca="1">IFERROR(((AVERAGEIFS(Feedback_360!$D$2:$D$1000,Feedback_360!$A$2:$A$1000,$A370,Feedback_360!$B$2:$B$1000,"&gt;="&amp;DATEVALUE($B370&amp;"-01"),Feedback_360!$B$2:$B$1000,"&lt;="&amp;EOMONTH(DATEVALUE($B370&amp;"-01"),0)))-1)/4*100,"")</f>
        <v/>
      </c>
      <c r="X370" t="str">
        <f ca="1">IFERROR(((AVERAGEIFS(Observacion_Directa!$D$2:$D$1000,Observacion_Directa!$A$2:$A$1000,$A370,Observacion_Directa!$B$2:$B$1000,"&gt;="&amp;DATEVALUE($B370&amp;"-01"),Observacion_Directa!$B$2:$B$1000,"&lt;="&amp;EOMONTH(DATEVALUE($B370&amp;"-01"),0)))-1)/4*100,"")</f>
        <v/>
      </c>
      <c r="Y370" t="e">
        <f t="shared" ca="1" si="11"/>
        <v>#DIV/0!</v>
      </c>
    </row>
    <row r="371" spans="12:25" x14ac:dyDescent="0.2">
      <c r="L371" t="str">
        <f t="shared" si="10"/>
        <v/>
      </c>
      <c r="M371" t="str">
        <f>IFERROR(AVERAGEIFS(Prod_5dias!$H$2:$H$1000,Prod_5dias!$A$2:$A$1000,$A371,Prod_5dias!$B$2:$B$1000,$B371),"")</f>
        <v/>
      </c>
      <c r="N371" t="str">
        <f>IF(M371="","",MIN(100,100*M371/Parametros!$B$7))</f>
        <v/>
      </c>
      <c r="O371" t="str">
        <f>IF(F371="","",IF(F371=0,100,MIN(100,100*Parametros!$B$3/F371)))</f>
        <v/>
      </c>
      <c r="P371" t="str">
        <f ca="1">IFERROR(((AVERAGEIFS(Observacion_Directa!$E$2:$E$1000,Observacion_Directa!$A$2:$A$1000,$A371,Observacion_Directa!$B$2:$B$1000,"&gt;="&amp;DATEVALUE($B371&amp;"-01"),Observacion_Directa!$B$2:$B$1000,"&lt;="&amp;EOMONTH(DATEVALUE($B371&amp;"-01"),0)))-1)/4*100,"")</f>
        <v/>
      </c>
      <c r="Q371" t="str">
        <f>IF(H371="","",MIN(100,100*H371/Parametros!$B$4))</f>
        <v/>
      </c>
      <c r="R371" t="str">
        <f>IF(I371="","",IF(I371=0,100,MIN(100,100*Parametros!$B$5/I371)))</f>
        <v/>
      </c>
      <c r="S371" t="str">
        <f>IF(J371="","",IF(J371=0,100,MIN(100,100*Parametros!$B$6/J371)))</f>
        <v/>
      </c>
      <c r="T371" t="str">
        <f>IF(L371="","",MIN(100,100*L371/Parametros!$B$7))</f>
        <v/>
      </c>
      <c r="U371" t="str">
        <f>IF(K371="","",MIN(100,100*K371/Parametros!$B$8))</f>
        <v/>
      </c>
      <c r="V371" t="str">
        <f ca="1">IFERROR(((AVERAGEIFS(Documentacion!$C$2:$C$1000,Documentacion!$A$2:$A$1000,$A371,Documentacion!$B$2:$B$1000,"&gt;="&amp;DATEVALUE($B371&amp;"-01"),Documentacion!$B$2:$B$1000,"&lt;="&amp;EOMONTH(DATEVALUE($B371&amp;"-01"),0)))-1)/4*100,"")</f>
        <v/>
      </c>
      <c r="W371" t="str">
        <f ca="1">IFERROR(((AVERAGEIFS(Feedback_360!$D$2:$D$1000,Feedback_360!$A$2:$A$1000,$A371,Feedback_360!$B$2:$B$1000,"&gt;="&amp;DATEVALUE($B371&amp;"-01"),Feedback_360!$B$2:$B$1000,"&lt;="&amp;EOMONTH(DATEVALUE($B371&amp;"-01"),0)))-1)/4*100,"")</f>
        <v/>
      </c>
      <c r="X371" t="str">
        <f ca="1">IFERROR(((AVERAGEIFS(Observacion_Directa!$D$2:$D$1000,Observacion_Directa!$A$2:$A$1000,$A371,Observacion_Directa!$B$2:$B$1000,"&gt;="&amp;DATEVALUE($B371&amp;"-01"),Observacion_Directa!$B$2:$B$1000,"&lt;="&amp;EOMONTH(DATEVALUE($B371&amp;"-01"),0)))-1)/4*100,"")</f>
        <v/>
      </c>
      <c r="Y371" t="e">
        <f t="shared" ca="1" si="11"/>
        <v>#DIV/0!</v>
      </c>
    </row>
    <row r="372" spans="12:25" x14ac:dyDescent="0.2">
      <c r="L372" t="str">
        <f t="shared" si="10"/>
        <v/>
      </c>
      <c r="M372" t="str">
        <f>IFERROR(AVERAGEIFS(Prod_5dias!$H$2:$H$1000,Prod_5dias!$A$2:$A$1000,$A372,Prod_5dias!$B$2:$B$1000,$B372),"")</f>
        <v/>
      </c>
      <c r="N372" t="str">
        <f>IF(M372="","",MIN(100,100*M372/Parametros!$B$7))</f>
        <v/>
      </c>
      <c r="O372" t="str">
        <f>IF(F372="","",IF(F372=0,100,MIN(100,100*Parametros!$B$3/F372)))</f>
        <v/>
      </c>
      <c r="P372" t="str">
        <f ca="1">IFERROR(((AVERAGEIFS(Observacion_Directa!$E$2:$E$1000,Observacion_Directa!$A$2:$A$1000,$A372,Observacion_Directa!$B$2:$B$1000,"&gt;="&amp;DATEVALUE($B372&amp;"-01"),Observacion_Directa!$B$2:$B$1000,"&lt;="&amp;EOMONTH(DATEVALUE($B372&amp;"-01"),0)))-1)/4*100,"")</f>
        <v/>
      </c>
      <c r="Q372" t="str">
        <f>IF(H372="","",MIN(100,100*H372/Parametros!$B$4))</f>
        <v/>
      </c>
      <c r="R372" t="str">
        <f>IF(I372="","",IF(I372=0,100,MIN(100,100*Parametros!$B$5/I372)))</f>
        <v/>
      </c>
      <c r="S372" t="str">
        <f>IF(J372="","",IF(J372=0,100,MIN(100,100*Parametros!$B$6/J372)))</f>
        <v/>
      </c>
      <c r="T372" t="str">
        <f>IF(L372="","",MIN(100,100*L372/Parametros!$B$7))</f>
        <v/>
      </c>
      <c r="U372" t="str">
        <f>IF(K372="","",MIN(100,100*K372/Parametros!$B$8))</f>
        <v/>
      </c>
      <c r="V372" t="str">
        <f ca="1">IFERROR(((AVERAGEIFS(Documentacion!$C$2:$C$1000,Documentacion!$A$2:$A$1000,$A372,Documentacion!$B$2:$B$1000,"&gt;="&amp;DATEVALUE($B372&amp;"-01"),Documentacion!$B$2:$B$1000,"&lt;="&amp;EOMONTH(DATEVALUE($B372&amp;"-01"),0)))-1)/4*100,"")</f>
        <v/>
      </c>
      <c r="W372" t="str">
        <f ca="1">IFERROR(((AVERAGEIFS(Feedback_360!$D$2:$D$1000,Feedback_360!$A$2:$A$1000,$A372,Feedback_360!$B$2:$B$1000,"&gt;="&amp;DATEVALUE($B372&amp;"-01"),Feedback_360!$B$2:$B$1000,"&lt;="&amp;EOMONTH(DATEVALUE($B372&amp;"-01"),0)))-1)/4*100,"")</f>
        <v/>
      </c>
      <c r="X372" t="str">
        <f ca="1">IFERROR(((AVERAGEIFS(Observacion_Directa!$D$2:$D$1000,Observacion_Directa!$A$2:$A$1000,$A372,Observacion_Directa!$B$2:$B$1000,"&gt;="&amp;DATEVALUE($B372&amp;"-01"),Observacion_Directa!$B$2:$B$1000,"&lt;="&amp;EOMONTH(DATEVALUE($B372&amp;"-01"),0)))-1)/4*100,"")</f>
        <v/>
      </c>
      <c r="Y372" t="e">
        <f t="shared" ca="1" si="11"/>
        <v>#DIV/0!</v>
      </c>
    </row>
    <row r="373" spans="12:25" x14ac:dyDescent="0.2">
      <c r="L373" t="str">
        <f t="shared" si="10"/>
        <v/>
      </c>
      <c r="M373" t="str">
        <f>IFERROR(AVERAGEIFS(Prod_5dias!$H$2:$H$1000,Prod_5dias!$A$2:$A$1000,$A373,Prod_5dias!$B$2:$B$1000,$B373),"")</f>
        <v/>
      </c>
      <c r="N373" t="str">
        <f>IF(M373="","",MIN(100,100*M373/Parametros!$B$7))</f>
        <v/>
      </c>
      <c r="O373" t="str">
        <f>IF(F373="","",IF(F373=0,100,MIN(100,100*Parametros!$B$3/F373)))</f>
        <v/>
      </c>
      <c r="P373" t="str">
        <f ca="1">IFERROR(((AVERAGEIFS(Observacion_Directa!$E$2:$E$1000,Observacion_Directa!$A$2:$A$1000,$A373,Observacion_Directa!$B$2:$B$1000,"&gt;="&amp;DATEVALUE($B373&amp;"-01"),Observacion_Directa!$B$2:$B$1000,"&lt;="&amp;EOMONTH(DATEVALUE($B373&amp;"-01"),0)))-1)/4*100,"")</f>
        <v/>
      </c>
      <c r="Q373" t="str">
        <f>IF(H373="","",MIN(100,100*H373/Parametros!$B$4))</f>
        <v/>
      </c>
      <c r="R373" t="str">
        <f>IF(I373="","",IF(I373=0,100,MIN(100,100*Parametros!$B$5/I373)))</f>
        <v/>
      </c>
      <c r="S373" t="str">
        <f>IF(J373="","",IF(J373=0,100,MIN(100,100*Parametros!$B$6/J373)))</f>
        <v/>
      </c>
      <c r="T373" t="str">
        <f>IF(L373="","",MIN(100,100*L373/Parametros!$B$7))</f>
        <v/>
      </c>
      <c r="U373" t="str">
        <f>IF(K373="","",MIN(100,100*K373/Parametros!$B$8))</f>
        <v/>
      </c>
      <c r="V373" t="str">
        <f ca="1">IFERROR(((AVERAGEIFS(Documentacion!$C$2:$C$1000,Documentacion!$A$2:$A$1000,$A373,Documentacion!$B$2:$B$1000,"&gt;="&amp;DATEVALUE($B373&amp;"-01"),Documentacion!$B$2:$B$1000,"&lt;="&amp;EOMONTH(DATEVALUE($B373&amp;"-01"),0)))-1)/4*100,"")</f>
        <v/>
      </c>
      <c r="W373" t="str">
        <f ca="1">IFERROR(((AVERAGEIFS(Feedback_360!$D$2:$D$1000,Feedback_360!$A$2:$A$1000,$A373,Feedback_360!$B$2:$B$1000,"&gt;="&amp;DATEVALUE($B373&amp;"-01"),Feedback_360!$B$2:$B$1000,"&lt;="&amp;EOMONTH(DATEVALUE($B373&amp;"-01"),0)))-1)/4*100,"")</f>
        <v/>
      </c>
      <c r="X373" t="str">
        <f ca="1">IFERROR(((AVERAGEIFS(Observacion_Directa!$D$2:$D$1000,Observacion_Directa!$A$2:$A$1000,$A373,Observacion_Directa!$B$2:$B$1000,"&gt;="&amp;DATEVALUE($B373&amp;"-01"),Observacion_Directa!$B$2:$B$1000,"&lt;="&amp;EOMONTH(DATEVALUE($B373&amp;"-01"),0)))-1)/4*100,"")</f>
        <v/>
      </c>
      <c r="Y373" t="e">
        <f t="shared" ca="1" si="11"/>
        <v>#DIV/0!</v>
      </c>
    </row>
    <row r="374" spans="12:25" x14ac:dyDescent="0.2">
      <c r="L374" t="str">
        <f t="shared" si="10"/>
        <v/>
      </c>
      <c r="M374" t="str">
        <f>IFERROR(AVERAGEIFS(Prod_5dias!$H$2:$H$1000,Prod_5dias!$A$2:$A$1000,$A374,Prod_5dias!$B$2:$B$1000,$B374),"")</f>
        <v/>
      </c>
      <c r="N374" t="str">
        <f>IF(M374="","",MIN(100,100*M374/Parametros!$B$7))</f>
        <v/>
      </c>
      <c r="O374" t="str">
        <f>IF(F374="","",IF(F374=0,100,MIN(100,100*Parametros!$B$3/F374)))</f>
        <v/>
      </c>
      <c r="P374" t="str">
        <f ca="1">IFERROR(((AVERAGEIFS(Observacion_Directa!$E$2:$E$1000,Observacion_Directa!$A$2:$A$1000,$A374,Observacion_Directa!$B$2:$B$1000,"&gt;="&amp;DATEVALUE($B374&amp;"-01"),Observacion_Directa!$B$2:$B$1000,"&lt;="&amp;EOMONTH(DATEVALUE($B374&amp;"-01"),0)))-1)/4*100,"")</f>
        <v/>
      </c>
      <c r="Q374" t="str">
        <f>IF(H374="","",MIN(100,100*H374/Parametros!$B$4))</f>
        <v/>
      </c>
      <c r="R374" t="str">
        <f>IF(I374="","",IF(I374=0,100,MIN(100,100*Parametros!$B$5/I374)))</f>
        <v/>
      </c>
      <c r="S374" t="str">
        <f>IF(J374="","",IF(J374=0,100,MIN(100,100*Parametros!$B$6/J374)))</f>
        <v/>
      </c>
      <c r="T374" t="str">
        <f>IF(L374="","",MIN(100,100*L374/Parametros!$B$7))</f>
        <v/>
      </c>
      <c r="U374" t="str">
        <f>IF(K374="","",MIN(100,100*K374/Parametros!$B$8))</f>
        <v/>
      </c>
      <c r="V374" t="str">
        <f ca="1">IFERROR(((AVERAGEIFS(Documentacion!$C$2:$C$1000,Documentacion!$A$2:$A$1000,$A374,Documentacion!$B$2:$B$1000,"&gt;="&amp;DATEVALUE($B374&amp;"-01"),Documentacion!$B$2:$B$1000,"&lt;="&amp;EOMONTH(DATEVALUE($B374&amp;"-01"),0)))-1)/4*100,"")</f>
        <v/>
      </c>
      <c r="W374" t="str">
        <f ca="1">IFERROR(((AVERAGEIFS(Feedback_360!$D$2:$D$1000,Feedback_360!$A$2:$A$1000,$A374,Feedback_360!$B$2:$B$1000,"&gt;="&amp;DATEVALUE($B374&amp;"-01"),Feedback_360!$B$2:$B$1000,"&lt;="&amp;EOMONTH(DATEVALUE($B374&amp;"-01"),0)))-1)/4*100,"")</f>
        <v/>
      </c>
      <c r="X374" t="str">
        <f ca="1">IFERROR(((AVERAGEIFS(Observacion_Directa!$D$2:$D$1000,Observacion_Directa!$A$2:$A$1000,$A374,Observacion_Directa!$B$2:$B$1000,"&gt;="&amp;DATEVALUE($B374&amp;"-01"),Observacion_Directa!$B$2:$B$1000,"&lt;="&amp;EOMONTH(DATEVALUE($B374&amp;"-01"),0)))-1)/4*100,"")</f>
        <v/>
      </c>
      <c r="Y374" t="e">
        <f t="shared" ca="1" si="11"/>
        <v>#DIV/0!</v>
      </c>
    </row>
    <row r="375" spans="12:25" x14ac:dyDescent="0.2">
      <c r="L375" t="str">
        <f t="shared" si="10"/>
        <v/>
      </c>
      <c r="M375" t="str">
        <f>IFERROR(AVERAGEIFS(Prod_5dias!$H$2:$H$1000,Prod_5dias!$A$2:$A$1000,$A375,Prod_5dias!$B$2:$B$1000,$B375),"")</f>
        <v/>
      </c>
      <c r="N375" t="str">
        <f>IF(M375="","",MIN(100,100*M375/Parametros!$B$7))</f>
        <v/>
      </c>
      <c r="O375" t="str">
        <f>IF(F375="","",IF(F375=0,100,MIN(100,100*Parametros!$B$3/F375)))</f>
        <v/>
      </c>
      <c r="P375" t="str">
        <f ca="1">IFERROR(((AVERAGEIFS(Observacion_Directa!$E$2:$E$1000,Observacion_Directa!$A$2:$A$1000,$A375,Observacion_Directa!$B$2:$B$1000,"&gt;="&amp;DATEVALUE($B375&amp;"-01"),Observacion_Directa!$B$2:$B$1000,"&lt;="&amp;EOMONTH(DATEVALUE($B375&amp;"-01"),0)))-1)/4*100,"")</f>
        <v/>
      </c>
      <c r="Q375" t="str">
        <f>IF(H375="","",MIN(100,100*H375/Parametros!$B$4))</f>
        <v/>
      </c>
      <c r="R375" t="str">
        <f>IF(I375="","",IF(I375=0,100,MIN(100,100*Parametros!$B$5/I375)))</f>
        <v/>
      </c>
      <c r="S375" t="str">
        <f>IF(J375="","",IF(J375=0,100,MIN(100,100*Parametros!$B$6/J375)))</f>
        <v/>
      </c>
      <c r="T375" t="str">
        <f>IF(L375="","",MIN(100,100*L375/Parametros!$B$7))</f>
        <v/>
      </c>
      <c r="U375" t="str">
        <f>IF(K375="","",MIN(100,100*K375/Parametros!$B$8))</f>
        <v/>
      </c>
      <c r="V375" t="str">
        <f ca="1">IFERROR(((AVERAGEIFS(Documentacion!$C$2:$C$1000,Documentacion!$A$2:$A$1000,$A375,Documentacion!$B$2:$B$1000,"&gt;="&amp;DATEVALUE($B375&amp;"-01"),Documentacion!$B$2:$B$1000,"&lt;="&amp;EOMONTH(DATEVALUE($B375&amp;"-01"),0)))-1)/4*100,"")</f>
        <v/>
      </c>
      <c r="W375" t="str">
        <f ca="1">IFERROR(((AVERAGEIFS(Feedback_360!$D$2:$D$1000,Feedback_360!$A$2:$A$1000,$A375,Feedback_360!$B$2:$B$1000,"&gt;="&amp;DATEVALUE($B375&amp;"-01"),Feedback_360!$B$2:$B$1000,"&lt;="&amp;EOMONTH(DATEVALUE($B375&amp;"-01"),0)))-1)/4*100,"")</f>
        <v/>
      </c>
      <c r="X375" t="str">
        <f ca="1">IFERROR(((AVERAGEIFS(Observacion_Directa!$D$2:$D$1000,Observacion_Directa!$A$2:$A$1000,$A375,Observacion_Directa!$B$2:$B$1000,"&gt;="&amp;DATEVALUE($B375&amp;"-01"),Observacion_Directa!$B$2:$B$1000,"&lt;="&amp;EOMONTH(DATEVALUE($B375&amp;"-01"),0)))-1)/4*100,"")</f>
        <v/>
      </c>
      <c r="Y375" t="e">
        <f t="shared" ca="1" si="11"/>
        <v>#DIV/0!</v>
      </c>
    </row>
    <row r="376" spans="12:25" x14ac:dyDescent="0.2">
      <c r="L376" t="str">
        <f t="shared" si="10"/>
        <v/>
      </c>
      <c r="M376" t="str">
        <f>IFERROR(AVERAGEIFS(Prod_5dias!$H$2:$H$1000,Prod_5dias!$A$2:$A$1000,$A376,Prod_5dias!$B$2:$B$1000,$B376),"")</f>
        <v/>
      </c>
      <c r="N376" t="str">
        <f>IF(M376="","",MIN(100,100*M376/Parametros!$B$7))</f>
        <v/>
      </c>
      <c r="O376" t="str">
        <f>IF(F376="","",IF(F376=0,100,MIN(100,100*Parametros!$B$3/F376)))</f>
        <v/>
      </c>
      <c r="P376" t="str">
        <f ca="1">IFERROR(((AVERAGEIFS(Observacion_Directa!$E$2:$E$1000,Observacion_Directa!$A$2:$A$1000,$A376,Observacion_Directa!$B$2:$B$1000,"&gt;="&amp;DATEVALUE($B376&amp;"-01"),Observacion_Directa!$B$2:$B$1000,"&lt;="&amp;EOMONTH(DATEVALUE($B376&amp;"-01"),0)))-1)/4*100,"")</f>
        <v/>
      </c>
      <c r="Q376" t="str">
        <f>IF(H376="","",MIN(100,100*H376/Parametros!$B$4))</f>
        <v/>
      </c>
      <c r="R376" t="str">
        <f>IF(I376="","",IF(I376=0,100,MIN(100,100*Parametros!$B$5/I376)))</f>
        <v/>
      </c>
      <c r="S376" t="str">
        <f>IF(J376="","",IF(J376=0,100,MIN(100,100*Parametros!$B$6/J376)))</f>
        <v/>
      </c>
      <c r="T376" t="str">
        <f>IF(L376="","",MIN(100,100*L376/Parametros!$B$7))</f>
        <v/>
      </c>
      <c r="U376" t="str">
        <f>IF(K376="","",MIN(100,100*K376/Parametros!$B$8))</f>
        <v/>
      </c>
      <c r="V376" t="str">
        <f ca="1">IFERROR(((AVERAGEIFS(Documentacion!$C$2:$C$1000,Documentacion!$A$2:$A$1000,$A376,Documentacion!$B$2:$B$1000,"&gt;="&amp;DATEVALUE($B376&amp;"-01"),Documentacion!$B$2:$B$1000,"&lt;="&amp;EOMONTH(DATEVALUE($B376&amp;"-01"),0)))-1)/4*100,"")</f>
        <v/>
      </c>
      <c r="W376" t="str">
        <f ca="1">IFERROR(((AVERAGEIFS(Feedback_360!$D$2:$D$1000,Feedback_360!$A$2:$A$1000,$A376,Feedback_360!$B$2:$B$1000,"&gt;="&amp;DATEVALUE($B376&amp;"-01"),Feedback_360!$B$2:$B$1000,"&lt;="&amp;EOMONTH(DATEVALUE($B376&amp;"-01"),0)))-1)/4*100,"")</f>
        <v/>
      </c>
      <c r="X376" t="str">
        <f ca="1">IFERROR(((AVERAGEIFS(Observacion_Directa!$D$2:$D$1000,Observacion_Directa!$A$2:$A$1000,$A376,Observacion_Directa!$B$2:$B$1000,"&gt;="&amp;DATEVALUE($B376&amp;"-01"),Observacion_Directa!$B$2:$B$1000,"&lt;="&amp;EOMONTH(DATEVALUE($B376&amp;"-01"),0)))-1)/4*100,"")</f>
        <v/>
      </c>
      <c r="Y376" t="e">
        <f t="shared" ca="1" si="11"/>
        <v>#DIV/0!</v>
      </c>
    </row>
    <row r="377" spans="12:25" x14ac:dyDescent="0.2">
      <c r="L377" t="str">
        <f t="shared" si="10"/>
        <v/>
      </c>
      <c r="M377" t="str">
        <f>IFERROR(AVERAGEIFS(Prod_5dias!$H$2:$H$1000,Prod_5dias!$A$2:$A$1000,$A377,Prod_5dias!$B$2:$B$1000,$B377),"")</f>
        <v/>
      </c>
      <c r="N377" t="str">
        <f>IF(M377="","",MIN(100,100*M377/Parametros!$B$7))</f>
        <v/>
      </c>
      <c r="O377" t="str">
        <f>IF(F377="","",IF(F377=0,100,MIN(100,100*Parametros!$B$3/F377)))</f>
        <v/>
      </c>
      <c r="P377" t="str">
        <f ca="1">IFERROR(((AVERAGEIFS(Observacion_Directa!$E$2:$E$1000,Observacion_Directa!$A$2:$A$1000,$A377,Observacion_Directa!$B$2:$B$1000,"&gt;="&amp;DATEVALUE($B377&amp;"-01"),Observacion_Directa!$B$2:$B$1000,"&lt;="&amp;EOMONTH(DATEVALUE($B377&amp;"-01"),0)))-1)/4*100,"")</f>
        <v/>
      </c>
      <c r="Q377" t="str">
        <f>IF(H377="","",MIN(100,100*H377/Parametros!$B$4))</f>
        <v/>
      </c>
      <c r="R377" t="str">
        <f>IF(I377="","",IF(I377=0,100,MIN(100,100*Parametros!$B$5/I377)))</f>
        <v/>
      </c>
      <c r="S377" t="str">
        <f>IF(J377="","",IF(J377=0,100,MIN(100,100*Parametros!$B$6/J377)))</f>
        <v/>
      </c>
      <c r="T377" t="str">
        <f>IF(L377="","",MIN(100,100*L377/Parametros!$B$7))</f>
        <v/>
      </c>
      <c r="U377" t="str">
        <f>IF(K377="","",MIN(100,100*K377/Parametros!$B$8))</f>
        <v/>
      </c>
      <c r="V377" t="str">
        <f ca="1">IFERROR(((AVERAGEIFS(Documentacion!$C$2:$C$1000,Documentacion!$A$2:$A$1000,$A377,Documentacion!$B$2:$B$1000,"&gt;="&amp;DATEVALUE($B377&amp;"-01"),Documentacion!$B$2:$B$1000,"&lt;="&amp;EOMONTH(DATEVALUE($B377&amp;"-01"),0)))-1)/4*100,"")</f>
        <v/>
      </c>
      <c r="W377" t="str">
        <f ca="1">IFERROR(((AVERAGEIFS(Feedback_360!$D$2:$D$1000,Feedback_360!$A$2:$A$1000,$A377,Feedback_360!$B$2:$B$1000,"&gt;="&amp;DATEVALUE($B377&amp;"-01"),Feedback_360!$B$2:$B$1000,"&lt;="&amp;EOMONTH(DATEVALUE($B377&amp;"-01"),0)))-1)/4*100,"")</f>
        <v/>
      </c>
      <c r="X377" t="str">
        <f ca="1">IFERROR(((AVERAGEIFS(Observacion_Directa!$D$2:$D$1000,Observacion_Directa!$A$2:$A$1000,$A377,Observacion_Directa!$B$2:$B$1000,"&gt;="&amp;DATEVALUE($B377&amp;"-01"),Observacion_Directa!$B$2:$B$1000,"&lt;="&amp;EOMONTH(DATEVALUE($B377&amp;"-01"),0)))-1)/4*100,"")</f>
        <v/>
      </c>
      <c r="Y377" t="e">
        <f t="shared" ca="1" si="11"/>
        <v>#DIV/0!</v>
      </c>
    </row>
    <row r="378" spans="12:25" x14ac:dyDescent="0.2">
      <c r="L378" t="str">
        <f t="shared" si="10"/>
        <v/>
      </c>
      <c r="M378" t="str">
        <f>IFERROR(AVERAGEIFS(Prod_5dias!$H$2:$H$1000,Prod_5dias!$A$2:$A$1000,$A378,Prod_5dias!$B$2:$B$1000,$B378),"")</f>
        <v/>
      </c>
      <c r="N378" t="str">
        <f>IF(M378="","",MIN(100,100*M378/Parametros!$B$7))</f>
        <v/>
      </c>
      <c r="O378" t="str">
        <f>IF(F378="","",IF(F378=0,100,MIN(100,100*Parametros!$B$3/F378)))</f>
        <v/>
      </c>
      <c r="P378" t="str">
        <f ca="1">IFERROR(((AVERAGEIFS(Observacion_Directa!$E$2:$E$1000,Observacion_Directa!$A$2:$A$1000,$A378,Observacion_Directa!$B$2:$B$1000,"&gt;="&amp;DATEVALUE($B378&amp;"-01"),Observacion_Directa!$B$2:$B$1000,"&lt;="&amp;EOMONTH(DATEVALUE($B378&amp;"-01"),0)))-1)/4*100,"")</f>
        <v/>
      </c>
      <c r="Q378" t="str">
        <f>IF(H378="","",MIN(100,100*H378/Parametros!$B$4))</f>
        <v/>
      </c>
      <c r="R378" t="str">
        <f>IF(I378="","",IF(I378=0,100,MIN(100,100*Parametros!$B$5/I378)))</f>
        <v/>
      </c>
      <c r="S378" t="str">
        <f>IF(J378="","",IF(J378=0,100,MIN(100,100*Parametros!$B$6/J378)))</f>
        <v/>
      </c>
      <c r="T378" t="str">
        <f>IF(L378="","",MIN(100,100*L378/Parametros!$B$7))</f>
        <v/>
      </c>
      <c r="U378" t="str">
        <f>IF(K378="","",MIN(100,100*K378/Parametros!$B$8))</f>
        <v/>
      </c>
      <c r="V378" t="str">
        <f ca="1">IFERROR(((AVERAGEIFS(Documentacion!$C$2:$C$1000,Documentacion!$A$2:$A$1000,$A378,Documentacion!$B$2:$B$1000,"&gt;="&amp;DATEVALUE($B378&amp;"-01"),Documentacion!$B$2:$B$1000,"&lt;="&amp;EOMONTH(DATEVALUE($B378&amp;"-01"),0)))-1)/4*100,"")</f>
        <v/>
      </c>
      <c r="W378" t="str">
        <f ca="1">IFERROR(((AVERAGEIFS(Feedback_360!$D$2:$D$1000,Feedback_360!$A$2:$A$1000,$A378,Feedback_360!$B$2:$B$1000,"&gt;="&amp;DATEVALUE($B378&amp;"-01"),Feedback_360!$B$2:$B$1000,"&lt;="&amp;EOMONTH(DATEVALUE($B378&amp;"-01"),0)))-1)/4*100,"")</f>
        <v/>
      </c>
      <c r="X378" t="str">
        <f ca="1">IFERROR(((AVERAGEIFS(Observacion_Directa!$D$2:$D$1000,Observacion_Directa!$A$2:$A$1000,$A378,Observacion_Directa!$B$2:$B$1000,"&gt;="&amp;DATEVALUE($B378&amp;"-01"),Observacion_Directa!$B$2:$B$1000,"&lt;="&amp;EOMONTH(DATEVALUE($B378&amp;"-01"),0)))-1)/4*100,"")</f>
        <v/>
      </c>
      <c r="Y378" t="e">
        <f t="shared" ca="1" si="11"/>
        <v>#DIV/0!</v>
      </c>
    </row>
    <row r="379" spans="12:25" x14ac:dyDescent="0.2">
      <c r="L379" t="str">
        <f t="shared" si="10"/>
        <v/>
      </c>
      <c r="M379" t="str">
        <f>IFERROR(AVERAGEIFS(Prod_5dias!$H$2:$H$1000,Prod_5dias!$A$2:$A$1000,$A379,Prod_5dias!$B$2:$B$1000,$B379),"")</f>
        <v/>
      </c>
      <c r="N379" t="str">
        <f>IF(M379="","",MIN(100,100*M379/Parametros!$B$7))</f>
        <v/>
      </c>
      <c r="O379" t="str">
        <f>IF(F379="","",IF(F379=0,100,MIN(100,100*Parametros!$B$3/F379)))</f>
        <v/>
      </c>
      <c r="P379" t="str">
        <f ca="1">IFERROR(((AVERAGEIFS(Observacion_Directa!$E$2:$E$1000,Observacion_Directa!$A$2:$A$1000,$A379,Observacion_Directa!$B$2:$B$1000,"&gt;="&amp;DATEVALUE($B379&amp;"-01"),Observacion_Directa!$B$2:$B$1000,"&lt;="&amp;EOMONTH(DATEVALUE($B379&amp;"-01"),0)))-1)/4*100,"")</f>
        <v/>
      </c>
      <c r="Q379" t="str">
        <f>IF(H379="","",MIN(100,100*H379/Parametros!$B$4))</f>
        <v/>
      </c>
      <c r="R379" t="str">
        <f>IF(I379="","",IF(I379=0,100,MIN(100,100*Parametros!$B$5/I379)))</f>
        <v/>
      </c>
      <c r="S379" t="str">
        <f>IF(J379="","",IF(J379=0,100,MIN(100,100*Parametros!$B$6/J379)))</f>
        <v/>
      </c>
      <c r="T379" t="str">
        <f>IF(L379="","",MIN(100,100*L379/Parametros!$B$7))</f>
        <v/>
      </c>
      <c r="U379" t="str">
        <f>IF(K379="","",MIN(100,100*K379/Parametros!$B$8))</f>
        <v/>
      </c>
      <c r="V379" t="str">
        <f ca="1">IFERROR(((AVERAGEIFS(Documentacion!$C$2:$C$1000,Documentacion!$A$2:$A$1000,$A379,Documentacion!$B$2:$B$1000,"&gt;="&amp;DATEVALUE($B379&amp;"-01"),Documentacion!$B$2:$B$1000,"&lt;="&amp;EOMONTH(DATEVALUE($B379&amp;"-01"),0)))-1)/4*100,"")</f>
        <v/>
      </c>
      <c r="W379" t="str">
        <f ca="1">IFERROR(((AVERAGEIFS(Feedback_360!$D$2:$D$1000,Feedback_360!$A$2:$A$1000,$A379,Feedback_360!$B$2:$B$1000,"&gt;="&amp;DATEVALUE($B379&amp;"-01"),Feedback_360!$B$2:$B$1000,"&lt;="&amp;EOMONTH(DATEVALUE($B379&amp;"-01"),0)))-1)/4*100,"")</f>
        <v/>
      </c>
      <c r="X379" t="str">
        <f ca="1">IFERROR(((AVERAGEIFS(Observacion_Directa!$D$2:$D$1000,Observacion_Directa!$A$2:$A$1000,$A379,Observacion_Directa!$B$2:$B$1000,"&gt;="&amp;DATEVALUE($B379&amp;"-01"),Observacion_Directa!$B$2:$B$1000,"&lt;="&amp;EOMONTH(DATEVALUE($B379&amp;"-01"),0)))-1)/4*100,"")</f>
        <v/>
      </c>
      <c r="Y379" t="e">
        <f t="shared" ca="1" si="11"/>
        <v>#DIV/0!</v>
      </c>
    </row>
    <row r="380" spans="12:25" x14ac:dyDescent="0.2">
      <c r="L380" t="str">
        <f t="shared" si="10"/>
        <v/>
      </c>
      <c r="M380" t="str">
        <f>IFERROR(AVERAGEIFS(Prod_5dias!$H$2:$H$1000,Prod_5dias!$A$2:$A$1000,$A380,Prod_5dias!$B$2:$B$1000,$B380),"")</f>
        <v/>
      </c>
      <c r="N380" t="str">
        <f>IF(M380="","",MIN(100,100*M380/Parametros!$B$7))</f>
        <v/>
      </c>
      <c r="O380" t="str">
        <f>IF(F380="","",IF(F380=0,100,MIN(100,100*Parametros!$B$3/F380)))</f>
        <v/>
      </c>
      <c r="P380" t="str">
        <f ca="1">IFERROR(((AVERAGEIFS(Observacion_Directa!$E$2:$E$1000,Observacion_Directa!$A$2:$A$1000,$A380,Observacion_Directa!$B$2:$B$1000,"&gt;="&amp;DATEVALUE($B380&amp;"-01"),Observacion_Directa!$B$2:$B$1000,"&lt;="&amp;EOMONTH(DATEVALUE($B380&amp;"-01"),0)))-1)/4*100,"")</f>
        <v/>
      </c>
      <c r="Q380" t="str">
        <f>IF(H380="","",MIN(100,100*H380/Parametros!$B$4))</f>
        <v/>
      </c>
      <c r="R380" t="str">
        <f>IF(I380="","",IF(I380=0,100,MIN(100,100*Parametros!$B$5/I380)))</f>
        <v/>
      </c>
      <c r="S380" t="str">
        <f>IF(J380="","",IF(J380=0,100,MIN(100,100*Parametros!$B$6/J380)))</f>
        <v/>
      </c>
      <c r="T380" t="str">
        <f>IF(L380="","",MIN(100,100*L380/Parametros!$B$7))</f>
        <v/>
      </c>
      <c r="U380" t="str">
        <f>IF(K380="","",MIN(100,100*K380/Parametros!$B$8))</f>
        <v/>
      </c>
      <c r="V380" t="str">
        <f ca="1">IFERROR(((AVERAGEIFS(Documentacion!$C$2:$C$1000,Documentacion!$A$2:$A$1000,$A380,Documentacion!$B$2:$B$1000,"&gt;="&amp;DATEVALUE($B380&amp;"-01"),Documentacion!$B$2:$B$1000,"&lt;="&amp;EOMONTH(DATEVALUE($B380&amp;"-01"),0)))-1)/4*100,"")</f>
        <v/>
      </c>
      <c r="W380" t="str">
        <f ca="1">IFERROR(((AVERAGEIFS(Feedback_360!$D$2:$D$1000,Feedback_360!$A$2:$A$1000,$A380,Feedback_360!$B$2:$B$1000,"&gt;="&amp;DATEVALUE($B380&amp;"-01"),Feedback_360!$B$2:$B$1000,"&lt;="&amp;EOMONTH(DATEVALUE($B380&amp;"-01"),0)))-1)/4*100,"")</f>
        <v/>
      </c>
      <c r="X380" t="str">
        <f ca="1">IFERROR(((AVERAGEIFS(Observacion_Directa!$D$2:$D$1000,Observacion_Directa!$A$2:$A$1000,$A380,Observacion_Directa!$B$2:$B$1000,"&gt;="&amp;DATEVALUE($B380&amp;"-01"),Observacion_Directa!$B$2:$B$1000,"&lt;="&amp;EOMONTH(DATEVALUE($B380&amp;"-01"),0)))-1)/4*100,"")</f>
        <v/>
      </c>
      <c r="Y380" t="e">
        <f t="shared" ca="1" si="11"/>
        <v>#DIV/0!</v>
      </c>
    </row>
    <row r="381" spans="12:25" x14ac:dyDescent="0.2">
      <c r="L381" t="str">
        <f t="shared" si="10"/>
        <v/>
      </c>
      <c r="M381" t="str">
        <f>IFERROR(AVERAGEIFS(Prod_5dias!$H$2:$H$1000,Prod_5dias!$A$2:$A$1000,$A381,Prod_5dias!$B$2:$B$1000,$B381),"")</f>
        <v/>
      </c>
      <c r="N381" t="str">
        <f>IF(M381="","",MIN(100,100*M381/Parametros!$B$7))</f>
        <v/>
      </c>
      <c r="O381" t="str">
        <f>IF(F381="","",IF(F381=0,100,MIN(100,100*Parametros!$B$3/F381)))</f>
        <v/>
      </c>
      <c r="P381" t="str">
        <f ca="1">IFERROR(((AVERAGEIFS(Observacion_Directa!$E$2:$E$1000,Observacion_Directa!$A$2:$A$1000,$A381,Observacion_Directa!$B$2:$B$1000,"&gt;="&amp;DATEVALUE($B381&amp;"-01"),Observacion_Directa!$B$2:$B$1000,"&lt;="&amp;EOMONTH(DATEVALUE($B381&amp;"-01"),0)))-1)/4*100,"")</f>
        <v/>
      </c>
      <c r="Q381" t="str">
        <f>IF(H381="","",MIN(100,100*H381/Parametros!$B$4))</f>
        <v/>
      </c>
      <c r="R381" t="str">
        <f>IF(I381="","",IF(I381=0,100,MIN(100,100*Parametros!$B$5/I381)))</f>
        <v/>
      </c>
      <c r="S381" t="str">
        <f>IF(J381="","",IF(J381=0,100,MIN(100,100*Parametros!$B$6/J381)))</f>
        <v/>
      </c>
      <c r="T381" t="str">
        <f>IF(L381="","",MIN(100,100*L381/Parametros!$B$7))</f>
        <v/>
      </c>
      <c r="U381" t="str">
        <f>IF(K381="","",MIN(100,100*K381/Parametros!$B$8))</f>
        <v/>
      </c>
      <c r="V381" t="str">
        <f ca="1">IFERROR(((AVERAGEIFS(Documentacion!$C$2:$C$1000,Documentacion!$A$2:$A$1000,$A381,Documentacion!$B$2:$B$1000,"&gt;="&amp;DATEVALUE($B381&amp;"-01"),Documentacion!$B$2:$B$1000,"&lt;="&amp;EOMONTH(DATEVALUE($B381&amp;"-01"),0)))-1)/4*100,"")</f>
        <v/>
      </c>
      <c r="W381" t="str">
        <f ca="1">IFERROR(((AVERAGEIFS(Feedback_360!$D$2:$D$1000,Feedback_360!$A$2:$A$1000,$A381,Feedback_360!$B$2:$B$1000,"&gt;="&amp;DATEVALUE($B381&amp;"-01"),Feedback_360!$B$2:$B$1000,"&lt;="&amp;EOMONTH(DATEVALUE($B381&amp;"-01"),0)))-1)/4*100,"")</f>
        <v/>
      </c>
      <c r="X381" t="str">
        <f ca="1">IFERROR(((AVERAGEIFS(Observacion_Directa!$D$2:$D$1000,Observacion_Directa!$A$2:$A$1000,$A381,Observacion_Directa!$B$2:$B$1000,"&gt;="&amp;DATEVALUE($B381&amp;"-01"),Observacion_Directa!$B$2:$B$1000,"&lt;="&amp;EOMONTH(DATEVALUE($B381&amp;"-01"),0)))-1)/4*100,"")</f>
        <v/>
      </c>
      <c r="Y381" t="e">
        <f t="shared" ca="1" si="11"/>
        <v>#DIV/0!</v>
      </c>
    </row>
    <row r="382" spans="12:25" x14ac:dyDescent="0.2">
      <c r="L382" t="str">
        <f t="shared" si="10"/>
        <v/>
      </c>
      <c r="M382" t="str">
        <f>IFERROR(AVERAGEIFS(Prod_5dias!$H$2:$H$1000,Prod_5dias!$A$2:$A$1000,$A382,Prod_5dias!$B$2:$B$1000,$B382),"")</f>
        <v/>
      </c>
      <c r="N382" t="str">
        <f>IF(M382="","",MIN(100,100*M382/Parametros!$B$7))</f>
        <v/>
      </c>
      <c r="O382" t="str">
        <f>IF(F382="","",IF(F382=0,100,MIN(100,100*Parametros!$B$3/F382)))</f>
        <v/>
      </c>
      <c r="P382" t="str">
        <f ca="1">IFERROR(((AVERAGEIFS(Observacion_Directa!$E$2:$E$1000,Observacion_Directa!$A$2:$A$1000,$A382,Observacion_Directa!$B$2:$B$1000,"&gt;="&amp;DATEVALUE($B382&amp;"-01"),Observacion_Directa!$B$2:$B$1000,"&lt;="&amp;EOMONTH(DATEVALUE($B382&amp;"-01"),0)))-1)/4*100,"")</f>
        <v/>
      </c>
      <c r="Q382" t="str">
        <f>IF(H382="","",MIN(100,100*H382/Parametros!$B$4))</f>
        <v/>
      </c>
      <c r="R382" t="str">
        <f>IF(I382="","",IF(I382=0,100,MIN(100,100*Parametros!$B$5/I382)))</f>
        <v/>
      </c>
      <c r="S382" t="str">
        <f>IF(J382="","",IF(J382=0,100,MIN(100,100*Parametros!$B$6/J382)))</f>
        <v/>
      </c>
      <c r="T382" t="str">
        <f>IF(L382="","",MIN(100,100*L382/Parametros!$B$7))</f>
        <v/>
      </c>
      <c r="U382" t="str">
        <f>IF(K382="","",MIN(100,100*K382/Parametros!$B$8))</f>
        <v/>
      </c>
      <c r="V382" t="str">
        <f ca="1">IFERROR(((AVERAGEIFS(Documentacion!$C$2:$C$1000,Documentacion!$A$2:$A$1000,$A382,Documentacion!$B$2:$B$1000,"&gt;="&amp;DATEVALUE($B382&amp;"-01"),Documentacion!$B$2:$B$1000,"&lt;="&amp;EOMONTH(DATEVALUE($B382&amp;"-01"),0)))-1)/4*100,"")</f>
        <v/>
      </c>
      <c r="W382" t="str">
        <f ca="1">IFERROR(((AVERAGEIFS(Feedback_360!$D$2:$D$1000,Feedback_360!$A$2:$A$1000,$A382,Feedback_360!$B$2:$B$1000,"&gt;="&amp;DATEVALUE($B382&amp;"-01"),Feedback_360!$B$2:$B$1000,"&lt;="&amp;EOMONTH(DATEVALUE($B382&amp;"-01"),0)))-1)/4*100,"")</f>
        <v/>
      </c>
      <c r="X382" t="str">
        <f ca="1">IFERROR(((AVERAGEIFS(Observacion_Directa!$D$2:$D$1000,Observacion_Directa!$A$2:$A$1000,$A382,Observacion_Directa!$B$2:$B$1000,"&gt;="&amp;DATEVALUE($B382&amp;"-01"),Observacion_Directa!$B$2:$B$1000,"&lt;="&amp;EOMONTH(DATEVALUE($B382&amp;"-01"),0)))-1)/4*100,"")</f>
        <v/>
      </c>
      <c r="Y382" t="e">
        <f t="shared" ca="1" si="11"/>
        <v>#DIV/0!</v>
      </c>
    </row>
    <row r="383" spans="12:25" x14ac:dyDescent="0.2">
      <c r="L383" t="str">
        <f t="shared" si="10"/>
        <v/>
      </c>
      <c r="M383" t="str">
        <f>IFERROR(AVERAGEIFS(Prod_5dias!$H$2:$H$1000,Prod_5dias!$A$2:$A$1000,$A383,Prod_5dias!$B$2:$B$1000,$B383),"")</f>
        <v/>
      </c>
      <c r="N383" t="str">
        <f>IF(M383="","",MIN(100,100*M383/Parametros!$B$7))</f>
        <v/>
      </c>
      <c r="O383" t="str">
        <f>IF(F383="","",IF(F383=0,100,MIN(100,100*Parametros!$B$3/F383)))</f>
        <v/>
      </c>
      <c r="P383" t="str">
        <f ca="1">IFERROR(((AVERAGEIFS(Observacion_Directa!$E$2:$E$1000,Observacion_Directa!$A$2:$A$1000,$A383,Observacion_Directa!$B$2:$B$1000,"&gt;="&amp;DATEVALUE($B383&amp;"-01"),Observacion_Directa!$B$2:$B$1000,"&lt;="&amp;EOMONTH(DATEVALUE($B383&amp;"-01"),0)))-1)/4*100,"")</f>
        <v/>
      </c>
      <c r="Q383" t="str">
        <f>IF(H383="","",MIN(100,100*H383/Parametros!$B$4))</f>
        <v/>
      </c>
      <c r="R383" t="str">
        <f>IF(I383="","",IF(I383=0,100,MIN(100,100*Parametros!$B$5/I383)))</f>
        <v/>
      </c>
      <c r="S383" t="str">
        <f>IF(J383="","",IF(J383=0,100,MIN(100,100*Parametros!$B$6/J383)))</f>
        <v/>
      </c>
      <c r="T383" t="str">
        <f>IF(L383="","",MIN(100,100*L383/Parametros!$B$7))</f>
        <v/>
      </c>
      <c r="U383" t="str">
        <f>IF(K383="","",MIN(100,100*K383/Parametros!$B$8))</f>
        <v/>
      </c>
      <c r="V383" t="str">
        <f ca="1">IFERROR(((AVERAGEIFS(Documentacion!$C$2:$C$1000,Documentacion!$A$2:$A$1000,$A383,Documentacion!$B$2:$B$1000,"&gt;="&amp;DATEVALUE($B383&amp;"-01"),Documentacion!$B$2:$B$1000,"&lt;="&amp;EOMONTH(DATEVALUE($B383&amp;"-01"),0)))-1)/4*100,"")</f>
        <v/>
      </c>
      <c r="W383" t="str">
        <f ca="1">IFERROR(((AVERAGEIFS(Feedback_360!$D$2:$D$1000,Feedback_360!$A$2:$A$1000,$A383,Feedback_360!$B$2:$B$1000,"&gt;="&amp;DATEVALUE($B383&amp;"-01"),Feedback_360!$B$2:$B$1000,"&lt;="&amp;EOMONTH(DATEVALUE($B383&amp;"-01"),0)))-1)/4*100,"")</f>
        <v/>
      </c>
      <c r="X383" t="str">
        <f ca="1">IFERROR(((AVERAGEIFS(Observacion_Directa!$D$2:$D$1000,Observacion_Directa!$A$2:$A$1000,$A383,Observacion_Directa!$B$2:$B$1000,"&gt;="&amp;DATEVALUE($B383&amp;"-01"),Observacion_Directa!$B$2:$B$1000,"&lt;="&amp;EOMONTH(DATEVALUE($B383&amp;"-01"),0)))-1)/4*100,"")</f>
        <v/>
      </c>
      <c r="Y383" t="e">
        <f t="shared" ca="1" si="11"/>
        <v>#DIV/0!</v>
      </c>
    </row>
    <row r="384" spans="12:25" x14ac:dyDescent="0.2">
      <c r="L384" t="str">
        <f t="shared" si="10"/>
        <v/>
      </c>
      <c r="M384" t="str">
        <f>IFERROR(AVERAGEIFS(Prod_5dias!$H$2:$H$1000,Prod_5dias!$A$2:$A$1000,$A384,Prod_5dias!$B$2:$B$1000,$B384),"")</f>
        <v/>
      </c>
      <c r="N384" t="str">
        <f>IF(M384="","",MIN(100,100*M384/Parametros!$B$7))</f>
        <v/>
      </c>
      <c r="O384" t="str">
        <f>IF(F384="","",IF(F384=0,100,MIN(100,100*Parametros!$B$3/F384)))</f>
        <v/>
      </c>
      <c r="P384" t="str">
        <f ca="1">IFERROR(((AVERAGEIFS(Observacion_Directa!$E$2:$E$1000,Observacion_Directa!$A$2:$A$1000,$A384,Observacion_Directa!$B$2:$B$1000,"&gt;="&amp;DATEVALUE($B384&amp;"-01"),Observacion_Directa!$B$2:$B$1000,"&lt;="&amp;EOMONTH(DATEVALUE($B384&amp;"-01"),0)))-1)/4*100,"")</f>
        <v/>
      </c>
      <c r="Q384" t="str">
        <f>IF(H384="","",MIN(100,100*H384/Parametros!$B$4))</f>
        <v/>
      </c>
      <c r="R384" t="str">
        <f>IF(I384="","",IF(I384=0,100,MIN(100,100*Parametros!$B$5/I384)))</f>
        <v/>
      </c>
      <c r="S384" t="str">
        <f>IF(J384="","",IF(J384=0,100,MIN(100,100*Parametros!$B$6/J384)))</f>
        <v/>
      </c>
      <c r="T384" t="str">
        <f>IF(L384="","",MIN(100,100*L384/Parametros!$B$7))</f>
        <v/>
      </c>
      <c r="U384" t="str">
        <f>IF(K384="","",MIN(100,100*K384/Parametros!$B$8))</f>
        <v/>
      </c>
      <c r="V384" t="str">
        <f ca="1">IFERROR(((AVERAGEIFS(Documentacion!$C$2:$C$1000,Documentacion!$A$2:$A$1000,$A384,Documentacion!$B$2:$B$1000,"&gt;="&amp;DATEVALUE($B384&amp;"-01"),Documentacion!$B$2:$B$1000,"&lt;="&amp;EOMONTH(DATEVALUE($B384&amp;"-01"),0)))-1)/4*100,"")</f>
        <v/>
      </c>
      <c r="W384" t="str">
        <f ca="1">IFERROR(((AVERAGEIFS(Feedback_360!$D$2:$D$1000,Feedback_360!$A$2:$A$1000,$A384,Feedback_360!$B$2:$B$1000,"&gt;="&amp;DATEVALUE($B384&amp;"-01"),Feedback_360!$B$2:$B$1000,"&lt;="&amp;EOMONTH(DATEVALUE($B384&amp;"-01"),0)))-1)/4*100,"")</f>
        <v/>
      </c>
      <c r="X384" t="str">
        <f ca="1">IFERROR(((AVERAGEIFS(Observacion_Directa!$D$2:$D$1000,Observacion_Directa!$A$2:$A$1000,$A384,Observacion_Directa!$B$2:$B$1000,"&gt;="&amp;DATEVALUE($B384&amp;"-01"),Observacion_Directa!$B$2:$B$1000,"&lt;="&amp;EOMONTH(DATEVALUE($B384&amp;"-01"),0)))-1)/4*100,"")</f>
        <v/>
      </c>
      <c r="Y384" t="e">
        <f t="shared" ca="1" si="11"/>
        <v>#DIV/0!</v>
      </c>
    </row>
    <row r="385" spans="12:25" x14ac:dyDescent="0.2">
      <c r="L385" t="str">
        <f t="shared" si="10"/>
        <v/>
      </c>
      <c r="M385" t="str">
        <f>IFERROR(AVERAGEIFS(Prod_5dias!$H$2:$H$1000,Prod_5dias!$A$2:$A$1000,$A385,Prod_5dias!$B$2:$B$1000,$B385),"")</f>
        <v/>
      </c>
      <c r="N385" t="str">
        <f>IF(M385="","",MIN(100,100*M385/Parametros!$B$7))</f>
        <v/>
      </c>
      <c r="O385" t="str">
        <f>IF(F385="","",IF(F385=0,100,MIN(100,100*Parametros!$B$3/F385)))</f>
        <v/>
      </c>
      <c r="P385" t="str">
        <f ca="1">IFERROR(((AVERAGEIFS(Observacion_Directa!$E$2:$E$1000,Observacion_Directa!$A$2:$A$1000,$A385,Observacion_Directa!$B$2:$B$1000,"&gt;="&amp;DATEVALUE($B385&amp;"-01"),Observacion_Directa!$B$2:$B$1000,"&lt;="&amp;EOMONTH(DATEVALUE($B385&amp;"-01"),0)))-1)/4*100,"")</f>
        <v/>
      </c>
      <c r="Q385" t="str">
        <f>IF(H385="","",MIN(100,100*H385/Parametros!$B$4))</f>
        <v/>
      </c>
      <c r="R385" t="str">
        <f>IF(I385="","",IF(I385=0,100,MIN(100,100*Parametros!$B$5/I385)))</f>
        <v/>
      </c>
      <c r="S385" t="str">
        <f>IF(J385="","",IF(J385=0,100,MIN(100,100*Parametros!$B$6/J385)))</f>
        <v/>
      </c>
      <c r="T385" t="str">
        <f>IF(L385="","",MIN(100,100*L385/Parametros!$B$7))</f>
        <v/>
      </c>
      <c r="U385" t="str">
        <f>IF(K385="","",MIN(100,100*K385/Parametros!$B$8))</f>
        <v/>
      </c>
      <c r="V385" t="str">
        <f ca="1">IFERROR(((AVERAGEIFS(Documentacion!$C$2:$C$1000,Documentacion!$A$2:$A$1000,$A385,Documentacion!$B$2:$B$1000,"&gt;="&amp;DATEVALUE($B385&amp;"-01"),Documentacion!$B$2:$B$1000,"&lt;="&amp;EOMONTH(DATEVALUE($B385&amp;"-01"),0)))-1)/4*100,"")</f>
        <v/>
      </c>
      <c r="W385" t="str">
        <f ca="1">IFERROR(((AVERAGEIFS(Feedback_360!$D$2:$D$1000,Feedback_360!$A$2:$A$1000,$A385,Feedback_360!$B$2:$B$1000,"&gt;="&amp;DATEVALUE($B385&amp;"-01"),Feedback_360!$B$2:$B$1000,"&lt;="&amp;EOMONTH(DATEVALUE($B385&amp;"-01"),0)))-1)/4*100,"")</f>
        <v/>
      </c>
      <c r="X385" t="str">
        <f ca="1">IFERROR(((AVERAGEIFS(Observacion_Directa!$D$2:$D$1000,Observacion_Directa!$A$2:$A$1000,$A385,Observacion_Directa!$B$2:$B$1000,"&gt;="&amp;DATEVALUE($B385&amp;"-01"),Observacion_Directa!$B$2:$B$1000,"&lt;="&amp;EOMONTH(DATEVALUE($B385&amp;"-01"),0)))-1)/4*100,"")</f>
        <v/>
      </c>
      <c r="Y385" t="e">
        <f t="shared" ca="1" si="11"/>
        <v>#DIV/0!</v>
      </c>
    </row>
    <row r="386" spans="12:25" x14ac:dyDescent="0.2">
      <c r="L386" t="str">
        <f t="shared" ref="L386:L449" si="12">IF(OR(C386="",D386=""),"",C386/D386)</f>
        <v/>
      </c>
      <c r="M386" t="str">
        <f>IFERROR(AVERAGEIFS(Prod_5dias!$H$2:$H$1000,Prod_5dias!$A$2:$A$1000,$A386,Prod_5dias!$B$2:$B$1000,$B386),"")</f>
        <v/>
      </c>
      <c r="N386" t="str">
        <f>IF(M386="","",MIN(100,100*M386/Parametros!$B$7))</f>
        <v/>
      </c>
      <c r="O386" t="str">
        <f>IF(F386="","",IF(F386=0,100,MIN(100,100*Parametros!$B$3/F386)))</f>
        <v/>
      </c>
      <c r="P386" t="str">
        <f ca="1">IFERROR(((AVERAGEIFS(Observacion_Directa!$E$2:$E$1000,Observacion_Directa!$A$2:$A$1000,$A386,Observacion_Directa!$B$2:$B$1000,"&gt;="&amp;DATEVALUE($B386&amp;"-01"),Observacion_Directa!$B$2:$B$1000,"&lt;="&amp;EOMONTH(DATEVALUE($B386&amp;"-01"),0)))-1)/4*100,"")</f>
        <v/>
      </c>
      <c r="Q386" t="str">
        <f>IF(H386="","",MIN(100,100*H386/Parametros!$B$4))</f>
        <v/>
      </c>
      <c r="R386" t="str">
        <f>IF(I386="","",IF(I386=0,100,MIN(100,100*Parametros!$B$5/I386)))</f>
        <v/>
      </c>
      <c r="S386" t="str">
        <f>IF(J386="","",IF(J386=0,100,MIN(100,100*Parametros!$B$6/J386)))</f>
        <v/>
      </c>
      <c r="T386" t="str">
        <f>IF(L386="","",MIN(100,100*L386/Parametros!$B$7))</f>
        <v/>
      </c>
      <c r="U386" t="str">
        <f>IF(K386="","",MIN(100,100*K386/Parametros!$B$8))</f>
        <v/>
      </c>
      <c r="V386" t="str">
        <f ca="1">IFERROR(((AVERAGEIFS(Documentacion!$C$2:$C$1000,Documentacion!$A$2:$A$1000,$A386,Documentacion!$B$2:$B$1000,"&gt;="&amp;DATEVALUE($B386&amp;"-01"),Documentacion!$B$2:$B$1000,"&lt;="&amp;EOMONTH(DATEVALUE($B386&amp;"-01"),0)))-1)/4*100,"")</f>
        <v/>
      </c>
      <c r="W386" t="str">
        <f ca="1">IFERROR(((AVERAGEIFS(Feedback_360!$D$2:$D$1000,Feedback_360!$A$2:$A$1000,$A386,Feedback_360!$B$2:$B$1000,"&gt;="&amp;DATEVALUE($B386&amp;"-01"),Feedback_360!$B$2:$B$1000,"&lt;="&amp;EOMONTH(DATEVALUE($B386&amp;"-01"),0)))-1)/4*100,"")</f>
        <v/>
      </c>
      <c r="X386" t="str">
        <f ca="1">IFERROR(((AVERAGEIFS(Observacion_Directa!$D$2:$D$1000,Observacion_Directa!$A$2:$A$1000,$A386,Observacion_Directa!$B$2:$B$1000,"&gt;="&amp;DATEVALUE($B386&amp;"-01"),Observacion_Directa!$B$2:$B$1000,"&lt;="&amp;EOMONTH(DATEVALUE($B386&amp;"-01"),0)))-1)/4*100,"")</f>
        <v/>
      </c>
      <c r="Y386" t="e">
        <f t="shared" ref="Y386:Y449" ca="1" si="13">IF(COUNTA(N386:X386)=0,"",AVERAGE(N386:X386))</f>
        <v>#DIV/0!</v>
      </c>
    </row>
    <row r="387" spans="12:25" x14ac:dyDescent="0.2">
      <c r="L387" t="str">
        <f t="shared" si="12"/>
        <v/>
      </c>
      <c r="M387" t="str">
        <f>IFERROR(AVERAGEIFS(Prod_5dias!$H$2:$H$1000,Prod_5dias!$A$2:$A$1000,$A387,Prod_5dias!$B$2:$B$1000,$B387),"")</f>
        <v/>
      </c>
      <c r="N387" t="str">
        <f>IF(M387="","",MIN(100,100*M387/Parametros!$B$7))</f>
        <v/>
      </c>
      <c r="O387" t="str">
        <f>IF(F387="","",IF(F387=0,100,MIN(100,100*Parametros!$B$3/F387)))</f>
        <v/>
      </c>
      <c r="P387" t="str">
        <f ca="1">IFERROR(((AVERAGEIFS(Observacion_Directa!$E$2:$E$1000,Observacion_Directa!$A$2:$A$1000,$A387,Observacion_Directa!$B$2:$B$1000,"&gt;="&amp;DATEVALUE($B387&amp;"-01"),Observacion_Directa!$B$2:$B$1000,"&lt;="&amp;EOMONTH(DATEVALUE($B387&amp;"-01"),0)))-1)/4*100,"")</f>
        <v/>
      </c>
      <c r="Q387" t="str">
        <f>IF(H387="","",MIN(100,100*H387/Parametros!$B$4))</f>
        <v/>
      </c>
      <c r="R387" t="str">
        <f>IF(I387="","",IF(I387=0,100,MIN(100,100*Parametros!$B$5/I387)))</f>
        <v/>
      </c>
      <c r="S387" t="str">
        <f>IF(J387="","",IF(J387=0,100,MIN(100,100*Parametros!$B$6/J387)))</f>
        <v/>
      </c>
      <c r="T387" t="str">
        <f>IF(L387="","",MIN(100,100*L387/Parametros!$B$7))</f>
        <v/>
      </c>
      <c r="U387" t="str">
        <f>IF(K387="","",MIN(100,100*K387/Parametros!$B$8))</f>
        <v/>
      </c>
      <c r="V387" t="str">
        <f ca="1">IFERROR(((AVERAGEIFS(Documentacion!$C$2:$C$1000,Documentacion!$A$2:$A$1000,$A387,Documentacion!$B$2:$B$1000,"&gt;="&amp;DATEVALUE($B387&amp;"-01"),Documentacion!$B$2:$B$1000,"&lt;="&amp;EOMONTH(DATEVALUE($B387&amp;"-01"),0)))-1)/4*100,"")</f>
        <v/>
      </c>
      <c r="W387" t="str">
        <f ca="1">IFERROR(((AVERAGEIFS(Feedback_360!$D$2:$D$1000,Feedback_360!$A$2:$A$1000,$A387,Feedback_360!$B$2:$B$1000,"&gt;="&amp;DATEVALUE($B387&amp;"-01"),Feedback_360!$B$2:$B$1000,"&lt;="&amp;EOMONTH(DATEVALUE($B387&amp;"-01"),0)))-1)/4*100,"")</f>
        <v/>
      </c>
      <c r="X387" t="str">
        <f ca="1">IFERROR(((AVERAGEIFS(Observacion_Directa!$D$2:$D$1000,Observacion_Directa!$A$2:$A$1000,$A387,Observacion_Directa!$B$2:$B$1000,"&gt;="&amp;DATEVALUE($B387&amp;"-01"),Observacion_Directa!$B$2:$B$1000,"&lt;="&amp;EOMONTH(DATEVALUE($B387&amp;"-01"),0)))-1)/4*100,"")</f>
        <v/>
      </c>
      <c r="Y387" t="e">
        <f t="shared" ca="1" si="13"/>
        <v>#DIV/0!</v>
      </c>
    </row>
    <row r="388" spans="12:25" x14ac:dyDescent="0.2">
      <c r="L388" t="str">
        <f t="shared" si="12"/>
        <v/>
      </c>
      <c r="M388" t="str">
        <f>IFERROR(AVERAGEIFS(Prod_5dias!$H$2:$H$1000,Prod_5dias!$A$2:$A$1000,$A388,Prod_5dias!$B$2:$B$1000,$B388),"")</f>
        <v/>
      </c>
      <c r="N388" t="str">
        <f>IF(M388="","",MIN(100,100*M388/Parametros!$B$7))</f>
        <v/>
      </c>
      <c r="O388" t="str">
        <f>IF(F388="","",IF(F388=0,100,MIN(100,100*Parametros!$B$3/F388)))</f>
        <v/>
      </c>
      <c r="P388" t="str">
        <f ca="1">IFERROR(((AVERAGEIFS(Observacion_Directa!$E$2:$E$1000,Observacion_Directa!$A$2:$A$1000,$A388,Observacion_Directa!$B$2:$B$1000,"&gt;="&amp;DATEVALUE($B388&amp;"-01"),Observacion_Directa!$B$2:$B$1000,"&lt;="&amp;EOMONTH(DATEVALUE($B388&amp;"-01"),0)))-1)/4*100,"")</f>
        <v/>
      </c>
      <c r="Q388" t="str">
        <f>IF(H388="","",MIN(100,100*H388/Parametros!$B$4))</f>
        <v/>
      </c>
      <c r="R388" t="str">
        <f>IF(I388="","",IF(I388=0,100,MIN(100,100*Parametros!$B$5/I388)))</f>
        <v/>
      </c>
      <c r="S388" t="str">
        <f>IF(J388="","",IF(J388=0,100,MIN(100,100*Parametros!$B$6/J388)))</f>
        <v/>
      </c>
      <c r="T388" t="str">
        <f>IF(L388="","",MIN(100,100*L388/Parametros!$B$7))</f>
        <v/>
      </c>
      <c r="U388" t="str">
        <f>IF(K388="","",MIN(100,100*K388/Parametros!$B$8))</f>
        <v/>
      </c>
      <c r="V388" t="str">
        <f ca="1">IFERROR(((AVERAGEIFS(Documentacion!$C$2:$C$1000,Documentacion!$A$2:$A$1000,$A388,Documentacion!$B$2:$B$1000,"&gt;="&amp;DATEVALUE($B388&amp;"-01"),Documentacion!$B$2:$B$1000,"&lt;="&amp;EOMONTH(DATEVALUE($B388&amp;"-01"),0)))-1)/4*100,"")</f>
        <v/>
      </c>
      <c r="W388" t="str">
        <f ca="1">IFERROR(((AVERAGEIFS(Feedback_360!$D$2:$D$1000,Feedback_360!$A$2:$A$1000,$A388,Feedback_360!$B$2:$B$1000,"&gt;="&amp;DATEVALUE($B388&amp;"-01"),Feedback_360!$B$2:$B$1000,"&lt;="&amp;EOMONTH(DATEVALUE($B388&amp;"-01"),0)))-1)/4*100,"")</f>
        <v/>
      </c>
      <c r="X388" t="str">
        <f ca="1">IFERROR(((AVERAGEIFS(Observacion_Directa!$D$2:$D$1000,Observacion_Directa!$A$2:$A$1000,$A388,Observacion_Directa!$B$2:$B$1000,"&gt;="&amp;DATEVALUE($B388&amp;"-01"),Observacion_Directa!$B$2:$B$1000,"&lt;="&amp;EOMONTH(DATEVALUE($B388&amp;"-01"),0)))-1)/4*100,"")</f>
        <v/>
      </c>
      <c r="Y388" t="e">
        <f t="shared" ca="1" si="13"/>
        <v>#DIV/0!</v>
      </c>
    </row>
    <row r="389" spans="12:25" x14ac:dyDescent="0.2">
      <c r="L389" t="str">
        <f t="shared" si="12"/>
        <v/>
      </c>
      <c r="M389" t="str">
        <f>IFERROR(AVERAGEIFS(Prod_5dias!$H$2:$H$1000,Prod_5dias!$A$2:$A$1000,$A389,Prod_5dias!$B$2:$B$1000,$B389),"")</f>
        <v/>
      </c>
      <c r="N389" t="str">
        <f>IF(M389="","",MIN(100,100*M389/Parametros!$B$7))</f>
        <v/>
      </c>
      <c r="O389" t="str">
        <f>IF(F389="","",IF(F389=0,100,MIN(100,100*Parametros!$B$3/F389)))</f>
        <v/>
      </c>
      <c r="P389" t="str">
        <f ca="1">IFERROR(((AVERAGEIFS(Observacion_Directa!$E$2:$E$1000,Observacion_Directa!$A$2:$A$1000,$A389,Observacion_Directa!$B$2:$B$1000,"&gt;="&amp;DATEVALUE($B389&amp;"-01"),Observacion_Directa!$B$2:$B$1000,"&lt;="&amp;EOMONTH(DATEVALUE($B389&amp;"-01"),0)))-1)/4*100,"")</f>
        <v/>
      </c>
      <c r="Q389" t="str">
        <f>IF(H389="","",MIN(100,100*H389/Parametros!$B$4))</f>
        <v/>
      </c>
      <c r="R389" t="str">
        <f>IF(I389="","",IF(I389=0,100,MIN(100,100*Parametros!$B$5/I389)))</f>
        <v/>
      </c>
      <c r="S389" t="str">
        <f>IF(J389="","",IF(J389=0,100,MIN(100,100*Parametros!$B$6/J389)))</f>
        <v/>
      </c>
      <c r="T389" t="str">
        <f>IF(L389="","",MIN(100,100*L389/Parametros!$B$7))</f>
        <v/>
      </c>
      <c r="U389" t="str">
        <f>IF(K389="","",MIN(100,100*K389/Parametros!$B$8))</f>
        <v/>
      </c>
      <c r="V389" t="str">
        <f ca="1">IFERROR(((AVERAGEIFS(Documentacion!$C$2:$C$1000,Documentacion!$A$2:$A$1000,$A389,Documentacion!$B$2:$B$1000,"&gt;="&amp;DATEVALUE($B389&amp;"-01"),Documentacion!$B$2:$B$1000,"&lt;="&amp;EOMONTH(DATEVALUE($B389&amp;"-01"),0)))-1)/4*100,"")</f>
        <v/>
      </c>
      <c r="W389" t="str">
        <f ca="1">IFERROR(((AVERAGEIFS(Feedback_360!$D$2:$D$1000,Feedback_360!$A$2:$A$1000,$A389,Feedback_360!$B$2:$B$1000,"&gt;="&amp;DATEVALUE($B389&amp;"-01"),Feedback_360!$B$2:$B$1000,"&lt;="&amp;EOMONTH(DATEVALUE($B389&amp;"-01"),0)))-1)/4*100,"")</f>
        <v/>
      </c>
      <c r="X389" t="str">
        <f ca="1">IFERROR(((AVERAGEIFS(Observacion_Directa!$D$2:$D$1000,Observacion_Directa!$A$2:$A$1000,$A389,Observacion_Directa!$B$2:$B$1000,"&gt;="&amp;DATEVALUE($B389&amp;"-01"),Observacion_Directa!$B$2:$B$1000,"&lt;="&amp;EOMONTH(DATEVALUE($B389&amp;"-01"),0)))-1)/4*100,"")</f>
        <v/>
      </c>
      <c r="Y389" t="e">
        <f t="shared" ca="1" si="13"/>
        <v>#DIV/0!</v>
      </c>
    </row>
    <row r="390" spans="12:25" x14ac:dyDescent="0.2">
      <c r="L390" t="str">
        <f t="shared" si="12"/>
        <v/>
      </c>
      <c r="M390" t="str">
        <f>IFERROR(AVERAGEIFS(Prod_5dias!$H$2:$H$1000,Prod_5dias!$A$2:$A$1000,$A390,Prod_5dias!$B$2:$B$1000,$B390),"")</f>
        <v/>
      </c>
      <c r="N390" t="str">
        <f>IF(M390="","",MIN(100,100*M390/Parametros!$B$7))</f>
        <v/>
      </c>
      <c r="O390" t="str">
        <f>IF(F390="","",IF(F390=0,100,MIN(100,100*Parametros!$B$3/F390)))</f>
        <v/>
      </c>
      <c r="P390" t="str">
        <f ca="1">IFERROR(((AVERAGEIFS(Observacion_Directa!$E$2:$E$1000,Observacion_Directa!$A$2:$A$1000,$A390,Observacion_Directa!$B$2:$B$1000,"&gt;="&amp;DATEVALUE($B390&amp;"-01"),Observacion_Directa!$B$2:$B$1000,"&lt;="&amp;EOMONTH(DATEVALUE($B390&amp;"-01"),0)))-1)/4*100,"")</f>
        <v/>
      </c>
      <c r="Q390" t="str">
        <f>IF(H390="","",MIN(100,100*H390/Parametros!$B$4))</f>
        <v/>
      </c>
      <c r="R390" t="str">
        <f>IF(I390="","",IF(I390=0,100,MIN(100,100*Parametros!$B$5/I390)))</f>
        <v/>
      </c>
      <c r="S390" t="str">
        <f>IF(J390="","",IF(J390=0,100,MIN(100,100*Parametros!$B$6/J390)))</f>
        <v/>
      </c>
      <c r="T390" t="str">
        <f>IF(L390="","",MIN(100,100*L390/Parametros!$B$7))</f>
        <v/>
      </c>
      <c r="U390" t="str">
        <f>IF(K390="","",MIN(100,100*K390/Parametros!$B$8))</f>
        <v/>
      </c>
      <c r="V390" t="str">
        <f ca="1">IFERROR(((AVERAGEIFS(Documentacion!$C$2:$C$1000,Documentacion!$A$2:$A$1000,$A390,Documentacion!$B$2:$B$1000,"&gt;="&amp;DATEVALUE($B390&amp;"-01"),Documentacion!$B$2:$B$1000,"&lt;="&amp;EOMONTH(DATEVALUE($B390&amp;"-01"),0)))-1)/4*100,"")</f>
        <v/>
      </c>
      <c r="W390" t="str">
        <f ca="1">IFERROR(((AVERAGEIFS(Feedback_360!$D$2:$D$1000,Feedback_360!$A$2:$A$1000,$A390,Feedback_360!$B$2:$B$1000,"&gt;="&amp;DATEVALUE($B390&amp;"-01"),Feedback_360!$B$2:$B$1000,"&lt;="&amp;EOMONTH(DATEVALUE($B390&amp;"-01"),0)))-1)/4*100,"")</f>
        <v/>
      </c>
      <c r="X390" t="str">
        <f ca="1">IFERROR(((AVERAGEIFS(Observacion_Directa!$D$2:$D$1000,Observacion_Directa!$A$2:$A$1000,$A390,Observacion_Directa!$B$2:$B$1000,"&gt;="&amp;DATEVALUE($B390&amp;"-01"),Observacion_Directa!$B$2:$B$1000,"&lt;="&amp;EOMONTH(DATEVALUE($B390&amp;"-01"),0)))-1)/4*100,"")</f>
        <v/>
      </c>
      <c r="Y390" t="e">
        <f t="shared" ca="1" si="13"/>
        <v>#DIV/0!</v>
      </c>
    </row>
    <row r="391" spans="12:25" x14ac:dyDescent="0.2">
      <c r="L391" t="str">
        <f t="shared" si="12"/>
        <v/>
      </c>
      <c r="M391" t="str">
        <f>IFERROR(AVERAGEIFS(Prod_5dias!$H$2:$H$1000,Prod_5dias!$A$2:$A$1000,$A391,Prod_5dias!$B$2:$B$1000,$B391),"")</f>
        <v/>
      </c>
      <c r="N391" t="str">
        <f>IF(M391="","",MIN(100,100*M391/Parametros!$B$7))</f>
        <v/>
      </c>
      <c r="O391" t="str">
        <f>IF(F391="","",IF(F391=0,100,MIN(100,100*Parametros!$B$3/F391)))</f>
        <v/>
      </c>
      <c r="P391" t="str">
        <f ca="1">IFERROR(((AVERAGEIFS(Observacion_Directa!$E$2:$E$1000,Observacion_Directa!$A$2:$A$1000,$A391,Observacion_Directa!$B$2:$B$1000,"&gt;="&amp;DATEVALUE($B391&amp;"-01"),Observacion_Directa!$B$2:$B$1000,"&lt;="&amp;EOMONTH(DATEVALUE($B391&amp;"-01"),0)))-1)/4*100,"")</f>
        <v/>
      </c>
      <c r="Q391" t="str">
        <f>IF(H391="","",MIN(100,100*H391/Parametros!$B$4))</f>
        <v/>
      </c>
      <c r="R391" t="str">
        <f>IF(I391="","",IF(I391=0,100,MIN(100,100*Parametros!$B$5/I391)))</f>
        <v/>
      </c>
      <c r="S391" t="str">
        <f>IF(J391="","",IF(J391=0,100,MIN(100,100*Parametros!$B$6/J391)))</f>
        <v/>
      </c>
      <c r="T391" t="str">
        <f>IF(L391="","",MIN(100,100*L391/Parametros!$B$7))</f>
        <v/>
      </c>
      <c r="U391" t="str">
        <f>IF(K391="","",MIN(100,100*K391/Parametros!$B$8))</f>
        <v/>
      </c>
      <c r="V391" t="str">
        <f ca="1">IFERROR(((AVERAGEIFS(Documentacion!$C$2:$C$1000,Documentacion!$A$2:$A$1000,$A391,Documentacion!$B$2:$B$1000,"&gt;="&amp;DATEVALUE($B391&amp;"-01"),Documentacion!$B$2:$B$1000,"&lt;="&amp;EOMONTH(DATEVALUE($B391&amp;"-01"),0)))-1)/4*100,"")</f>
        <v/>
      </c>
      <c r="W391" t="str">
        <f ca="1">IFERROR(((AVERAGEIFS(Feedback_360!$D$2:$D$1000,Feedback_360!$A$2:$A$1000,$A391,Feedback_360!$B$2:$B$1000,"&gt;="&amp;DATEVALUE($B391&amp;"-01"),Feedback_360!$B$2:$B$1000,"&lt;="&amp;EOMONTH(DATEVALUE($B391&amp;"-01"),0)))-1)/4*100,"")</f>
        <v/>
      </c>
      <c r="X391" t="str">
        <f ca="1">IFERROR(((AVERAGEIFS(Observacion_Directa!$D$2:$D$1000,Observacion_Directa!$A$2:$A$1000,$A391,Observacion_Directa!$B$2:$B$1000,"&gt;="&amp;DATEVALUE($B391&amp;"-01"),Observacion_Directa!$B$2:$B$1000,"&lt;="&amp;EOMONTH(DATEVALUE($B391&amp;"-01"),0)))-1)/4*100,"")</f>
        <v/>
      </c>
      <c r="Y391" t="e">
        <f t="shared" ca="1" si="13"/>
        <v>#DIV/0!</v>
      </c>
    </row>
    <row r="392" spans="12:25" x14ac:dyDescent="0.2">
      <c r="L392" t="str">
        <f t="shared" si="12"/>
        <v/>
      </c>
      <c r="M392" t="str">
        <f>IFERROR(AVERAGEIFS(Prod_5dias!$H$2:$H$1000,Prod_5dias!$A$2:$A$1000,$A392,Prod_5dias!$B$2:$B$1000,$B392),"")</f>
        <v/>
      </c>
      <c r="N392" t="str">
        <f>IF(M392="","",MIN(100,100*M392/Parametros!$B$7))</f>
        <v/>
      </c>
      <c r="O392" t="str">
        <f>IF(F392="","",IF(F392=0,100,MIN(100,100*Parametros!$B$3/F392)))</f>
        <v/>
      </c>
      <c r="P392" t="str">
        <f ca="1">IFERROR(((AVERAGEIFS(Observacion_Directa!$E$2:$E$1000,Observacion_Directa!$A$2:$A$1000,$A392,Observacion_Directa!$B$2:$B$1000,"&gt;="&amp;DATEVALUE($B392&amp;"-01"),Observacion_Directa!$B$2:$B$1000,"&lt;="&amp;EOMONTH(DATEVALUE($B392&amp;"-01"),0)))-1)/4*100,"")</f>
        <v/>
      </c>
      <c r="Q392" t="str">
        <f>IF(H392="","",MIN(100,100*H392/Parametros!$B$4))</f>
        <v/>
      </c>
      <c r="R392" t="str">
        <f>IF(I392="","",IF(I392=0,100,MIN(100,100*Parametros!$B$5/I392)))</f>
        <v/>
      </c>
      <c r="S392" t="str">
        <f>IF(J392="","",IF(J392=0,100,MIN(100,100*Parametros!$B$6/J392)))</f>
        <v/>
      </c>
      <c r="T392" t="str">
        <f>IF(L392="","",MIN(100,100*L392/Parametros!$B$7))</f>
        <v/>
      </c>
      <c r="U392" t="str">
        <f>IF(K392="","",MIN(100,100*K392/Parametros!$B$8))</f>
        <v/>
      </c>
      <c r="V392" t="str">
        <f ca="1">IFERROR(((AVERAGEIFS(Documentacion!$C$2:$C$1000,Documentacion!$A$2:$A$1000,$A392,Documentacion!$B$2:$B$1000,"&gt;="&amp;DATEVALUE($B392&amp;"-01"),Documentacion!$B$2:$B$1000,"&lt;="&amp;EOMONTH(DATEVALUE($B392&amp;"-01"),0)))-1)/4*100,"")</f>
        <v/>
      </c>
      <c r="W392" t="str">
        <f ca="1">IFERROR(((AVERAGEIFS(Feedback_360!$D$2:$D$1000,Feedback_360!$A$2:$A$1000,$A392,Feedback_360!$B$2:$B$1000,"&gt;="&amp;DATEVALUE($B392&amp;"-01"),Feedback_360!$B$2:$B$1000,"&lt;="&amp;EOMONTH(DATEVALUE($B392&amp;"-01"),0)))-1)/4*100,"")</f>
        <v/>
      </c>
      <c r="X392" t="str">
        <f ca="1">IFERROR(((AVERAGEIFS(Observacion_Directa!$D$2:$D$1000,Observacion_Directa!$A$2:$A$1000,$A392,Observacion_Directa!$B$2:$B$1000,"&gt;="&amp;DATEVALUE($B392&amp;"-01"),Observacion_Directa!$B$2:$B$1000,"&lt;="&amp;EOMONTH(DATEVALUE($B392&amp;"-01"),0)))-1)/4*100,"")</f>
        <v/>
      </c>
      <c r="Y392" t="e">
        <f t="shared" ca="1" si="13"/>
        <v>#DIV/0!</v>
      </c>
    </row>
    <row r="393" spans="12:25" x14ac:dyDescent="0.2">
      <c r="L393" t="str">
        <f t="shared" si="12"/>
        <v/>
      </c>
      <c r="M393" t="str">
        <f>IFERROR(AVERAGEIFS(Prod_5dias!$H$2:$H$1000,Prod_5dias!$A$2:$A$1000,$A393,Prod_5dias!$B$2:$B$1000,$B393),"")</f>
        <v/>
      </c>
      <c r="N393" t="str">
        <f>IF(M393="","",MIN(100,100*M393/Parametros!$B$7))</f>
        <v/>
      </c>
      <c r="O393" t="str">
        <f>IF(F393="","",IF(F393=0,100,MIN(100,100*Parametros!$B$3/F393)))</f>
        <v/>
      </c>
      <c r="P393" t="str">
        <f ca="1">IFERROR(((AVERAGEIFS(Observacion_Directa!$E$2:$E$1000,Observacion_Directa!$A$2:$A$1000,$A393,Observacion_Directa!$B$2:$B$1000,"&gt;="&amp;DATEVALUE($B393&amp;"-01"),Observacion_Directa!$B$2:$B$1000,"&lt;="&amp;EOMONTH(DATEVALUE($B393&amp;"-01"),0)))-1)/4*100,"")</f>
        <v/>
      </c>
      <c r="Q393" t="str">
        <f>IF(H393="","",MIN(100,100*H393/Parametros!$B$4))</f>
        <v/>
      </c>
      <c r="R393" t="str">
        <f>IF(I393="","",IF(I393=0,100,MIN(100,100*Parametros!$B$5/I393)))</f>
        <v/>
      </c>
      <c r="S393" t="str">
        <f>IF(J393="","",IF(J393=0,100,MIN(100,100*Parametros!$B$6/J393)))</f>
        <v/>
      </c>
      <c r="T393" t="str">
        <f>IF(L393="","",MIN(100,100*L393/Parametros!$B$7))</f>
        <v/>
      </c>
      <c r="U393" t="str">
        <f>IF(K393="","",MIN(100,100*K393/Parametros!$B$8))</f>
        <v/>
      </c>
      <c r="V393" t="str">
        <f ca="1">IFERROR(((AVERAGEIFS(Documentacion!$C$2:$C$1000,Documentacion!$A$2:$A$1000,$A393,Documentacion!$B$2:$B$1000,"&gt;="&amp;DATEVALUE($B393&amp;"-01"),Documentacion!$B$2:$B$1000,"&lt;="&amp;EOMONTH(DATEVALUE($B393&amp;"-01"),0)))-1)/4*100,"")</f>
        <v/>
      </c>
      <c r="W393" t="str">
        <f ca="1">IFERROR(((AVERAGEIFS(Feedback_360!$D$2:$D$1000,Feedback_360!$A$2:$A$1000,$A393,Feedback_360!$B$2:$B$1000,"&gt;="&amp;DATEVALUE($B393&amp;"-01"),Feedback_360!$B$2:$B$1000,"&lt;="&amp;EOMONTH(DATEVALUE($B393&amp;"-01"),0)))-1)/4*100,"")</f>
        <v/>
      </c>
      <c r="X393" t="str">
        <f ca="1">IFERROR(((AVERAGEIFS(Observacion_Directa!$D$2:$D$1000,Observacion_Directa!$A$2:$A$1000,$A393,Observacion_Directa!$B$2:$B$1000,"&gt;="&amp;DATEVALUE($B393&amp;"-01"),Observacion_Directa!$B$2:$B$1000,"&lt;="&amp;EOMONTH(DATEVALUE($B393&amp;"-01"),0)))-1)/4*100,"")</f>
        <v/>
      </c>
      <c r="Y393" t="e">
        <f t="shared" ca="1" si="13"/>
        <v>#DIV/0!</v>
      </c>
    </row>
    <row r="394" spans="12:25" x14ac:dyDescent="0.2">
      <c r="L394" t="str">
        <f t="shared" si="12"/>
        <v/>
      </c>
      <c r="M394" t="str">
        <f>IFERROR(AVERAGEIFS(Prod_5dias!$H$2:$H$1000,Prod_5dias!$A$2:$A$1000,$A394,Prod_5dias!$B$2:$B$1000,$B394),"")</f>
        <v/>
      </c>
      <c r="N394" t="str">
        <f>IF(M394="","",MIN(100,100*M394/Parametros!$B$7))</f>
        <v/>
      </c>
      <c r="O394" t="str">
        <f>IF(F394="","",IF(F394=0,100,MIN(100,100*Parametros!$B$3/F394)))</f>
        <v/>
      </c>
      <c r="P394" t="str">
        <f ca="1">IFERROR(((AVERAGEIFS(Observacion_Directa!$E$2:$E$1000,Observacion_Directa!$A$2:$A$1000,$A394,Observacion_Directa!$B$2:$B$1000,"&gt;="&amp;DATEVALUE($B394&amp;"-01"),Observacion_Directa!$B$2:$B$1000,"&lt;="&amp;EOMONTH(DATEVALUE($B394&amp;"-01"),0)))-1)/4*100,"")</f>
        <v/>
      </c>
      <c r="Q394" t="str">
        <f>IF(H394="","",MIN(100,100*H394/Parametros!$B$4))</f>
        <v/>
      </c>
      <c r="R394" t="str">
        <f>IF(I394="","",IF(I394=0,100,MIN(100,100*Parametros!$B$5/I394)))</f>
        <v/>
      </c>
      <c r="S394" t="str">
        <f>IF(J394="","",IF(J394=0,100,MIN(100,100*Parametros!$B$6/J394)))</f>
        <v/>
      </c>
      <c r="T394" t="str">
        <f>IF(L394="","",MIN(100,100*L394/Parametros!$B$7))</f>
        <v/>
      </c>
      <c r="U394" t="str">
        <f>IF(K394="","",MIN(100,100*K394/Parametros!$B$8))</f>
        <v/>
      </c>
      <c r="V394" t="str">
        <f ca="1">IFERROR(((AVERAGEIFS(Documentacion!$C$2:$C$1000,Documentacion!$A$2:$A$1000,$A394,Documentacion!$B$2:$B$1000,"&gt;="&amp;DATEVALUE($B394&amp;"-01"),Documentacion!$B$2:$B$1000,"&lt;="&amp;EOMONTH(DATEVALUE($B394&amp;"-01"),0)))-1)/4*100,"")</f>
        <v/>
      </c>
      <c r="W394" t="str">
        <f ca="1">IFERROR(((AVERAGEIFS(Feedback_360!$D$2:$D$1000,Feedback_360!$A$2:$A$1000,$A394,Feedback_360!$B$2:$B$1000,"&gt;="&amp;DATEVALUE($B394&amp;"-01"),Feedback_360!$B$2:$B$1000,"&lt;="&amp;EOMONTH(DATEVALUE($B394&amp;"-01"),0)))-1)/4*100,"")</f>
        <v/>
      </c>
      <c r="X394" t="str">
        <f ca="1">IFERROR(((AVERAGEIFS(Observacion_Directa!$D$2:$D$1000,Observacion_Directa!$A$2:$A$1000,$A394,Observacion_Directa!$B$2:$B$1000,"&gt;="&amp;DATEVALUE($B394&amp;"-01"),Observacion_Directa!$B$2:$B$1000,"&lt;="&amp;EOMONTH(DATEVALUE($B394&amp;"-01"),0)))-1)/4*100,"")</f>
        <v/>
      </c>
      <c r="Y394" t="e">
        <f t="shared" ca="1" si="13"/>
        <v>#DIV/0!</v>
      </c>
    </row>
    <row r="395" spans="12:25" x14ac:dyDescent="0.2">
      <c r="L395" t="str">
        <f t="shared" si="12"/>
        <v/>
      </c>
      <c r="M395" t="str">
        <f>IFERROR(AVERAGEIFS(Prod_5dias!$H$2:$H$1000,Prod_5dias!$A$2:$A$1000,$A395,Prod_5dias!$B$2:$B$1000,$B395),"")</f>
        <v/>
      </c>
      <c r="N395" t="str">
        <f>IF(M395="","",MIN(100,100*M395/Parametros!$B$7))</f>
        <v/>
      </c>
      <c r="O395" t="str">
        <f>IF(F395="","",IF(F395=0,100,MIN(100,100*Parametros!$B$3/F395)))</f>
        <v/>
      </c>
      <c r="P395" t="str">
        <f ca="1">IFERROR(((AVERAGEIFS(Observacion_Directa!$E$2:$E$1000,Observacion_Directa!$A$2:$A$1000,$A395,Observacion_Directa!$B$2:$B$1000,"&gt;="&amp;DATEVALUE($B395&amp;"-01"),Observacion_Directa!$B$2:$B$1000,"&lt;="&amp;EOMONTH(DATEVALUE($B395&amp;"-01"),0)))-1)/4*100,"")</f>
        <v/>
      </c>
      <c r="Q395" t="str">
        <f>IF(H395="","",MIN(100,100*H395/Parametros!$B$4))</f>
        <v/>
      </c>
      <c r="R395" t="str">
        <f>IF(I395="","",IF(I395=0,100,MIN(100,100*Parametros!$B$5/I395)))</f>
        <v/>
      </c>
      <c r="S395" t="str">
        <f>IF(J395="","",IF(J395=0,100,MIN(100,100*Parametros!$B$6/J395)))</f>
        <v/>
      </c>
      <c r="T395" t="str">
        <f>IF(L395="","",MIN(100,100*L395/Parametros!$B$7))</f>
        <v/>
      </c>
      <c r="U395" t="str">
        <f>IF(K395="","",MIN(100,100*K395/Parametros!$B$8))</f>
        <v/>
      </c>
      <c r="V395" t="str">
        <f ca="1">IFERROR(((AVERAGEIFS(Documentacion!$C$2:$C$1000,Documentacion!$A$2:$A$1000,$A395,Documentacion!$B$2:$B$1000,"&gt;="&amp;DATEVALUE($B395&amp;"-01"),Documentacion!$B$2:$B$1000,"&lt;="&amp;EOMONTH(DATEVALUE($B395&amp;"-01"),0)))-1)/4*100,"")</f>
        <v/>
      </c>
      <c r="W395" t="str">
        <f ca="1">IFERROR(((AVERAGEIFS(Feedback_360!$D$2:$D$1000,Feedback_360!$A$2:$A$1000,$A395,Feedback_360!$B$2:$B$1000,"&gt;="&amp;DATEVALUE($B395&amp;"-01"),Feedback_360!$B$2:$B$1000,"&lt;="&amp;EOMONTH(DATEVALUE($B395&amp;"-01"),0)))-1)/4*100,"")</f>
        <v/>
      </c>
      <c r="X395" t="str">
        <f ca="1">IFERROR(((AVERAGEIFS(Observacion_Directa!$D$2:$D$1000,Observacion_Directa!$A$2:$A$1000,$A395,Observacion_Directa!$B$2:$B$1000,"&gt;="&amp;DATEVALUE($B395&amp;"-01"),Observacion_Directa!$B$2:$B$1000,"&lt;="&amp;EOMONTH(DATEVALUE($B395&amp;"-01"),0)))-1)/4*100,"")</f>
        <v/>
      </c>
      <c r="Y395" t="e">
        <f t="shared" ca="1" si="13"/>
        <v>#DIV/0!</v>
      </c>
    </row>
    <row r="396" spans="12:25" x14ac:dyDescent="0.2">
      <c r="L396" t="str">
        <f t="shared" si="12"/>
        <v/>
      </c>
      <c r="M396" t="str">
        <f>IFERROR(AVERAGEIFS(Prod_5dias!$H$2:$H$1000,Prod_5dias!$A$2:$A$1000,$A396,Prod_5dias!$B$2:$B$1000,$B396),"")</f>
        <v/>
      </c>
      <c r="N396" t="str">
        <f>IF(M396="","",MIN(100,100*M396/Parametros!$B$7))</f>
        <v/>
      </c>
      <c r="O396" t="str">
        <f>IF(F396="","",IF(F396=0,100,MIN(100,100*Parametros!$B$3/F396)))</f>
        <v/>
      </c>
      <c r="P396" t="str">
        <f ca="1">IFERROR(((AVERAGEIFS(Observacion_Directa!$E$2:$E$1000,Observacion_Directa!$A$2:$A$1000,$A396,Observacion_Directa!$B$2:$B$1000,"&gt;="&amp;DATEVALUE($B396&amp;"-01"),Observacion_Directa!$B$2:$B$1000,"&lt;="&amp;EOMONTH(DATEVALUE($B396&amp;"-01"),0)))-1)/4*100,"")</f>
        <v/>
      </c>
      <c r="Q396" t="str">
        <f>IF(H396="","",MIN(100,100*H396/Parametros!$B$4))</f>
        <v/>
      </c>
      <c r="R396" t="str">
        <f>IF(I396="","",IF(I396=0,100,MIN(100,100*Parametros!$B$5/I396)))</f>
        <v/>
      </c>
      <c r="S396" t="str">
        <f>IF(J396="","",IF(J396=0,100,MIN(100,100*Parametros!$B$6/J396)))</f>
        <v/>
      </c>
      <c r="T396" t="str">
        <f>IF(L396="","",MIN(100,100*L396/Parametros!$B$7))</f>
        <v/>
      </c>
      <c r="U396" t="str">
        <f>IF(K396="","",MIN(100,100*K396/Parametros!$B$8))</f>
        <v/>
      </c>
      <c r="V396" t="str">
        <f ca="1">IFERROR(((AVERAGEIFS(Documentacion!$C$2:$C$1000,Documentacion!$A$2:$A$1000,$A396,Documentacion!$B$2:$B$1000,"&gt;="&amp;DATEVALUE($B396&amp;"-01"),Documentacion!$B$2:$B$1000,"&lt;="&amp;EOMONTH(DATEVALUE($B396&amp;"-01"),0)))-1)/4*100,"")</f>
        <v/>
      </c>
      <c r="W396" t="str">
        <f ca="1">IFERROR(((AVERAGEIFS(Feedback_360!$D$2:$D$1000,Feedback_360!$A$2:$A$1000,$A396,Feedback_360!$B$2:$B$1000,"&gt;="&amp;DATEVALUE($B396&amp;"-01"),Feedback_360!$B$2:$B$1000,"&lt;="&amp;EOMONTH(DATEVALUE($B396&amp;"-01"),0)))-1)/4*100,"")</f>
        <v/>
      </c>
      <c r="X396" t="str">
        <f ca="1">IFERROR(((AVERAGEIFS(Observacion_Directa!$D$2:$D$1000,Observacion_Directa!$A$2:$A$1000,$A396,Observacion_Directa!$B$2:$B$1000,"&gt;="&amp;DATEVALUE($B396&amp;"-01"),Observacion_Directa!$B$2:$B$1000,"&lt;="&amp;EOMONTH(DATEVALUE($B396&amp;"-01"),0)))-1)/4*100,"")</f>
        <v/>
      </c>
      <c r="Y396" t="e">
        <f t="shared" ca="1" si="13"/>
        <v>#DIV/0!</v>
      </c>
    </row>
    <row r="397" spans="12:25" x14ac:dyDescent="0.2">
      <c r="L397" t="str">
        <f t="shared" si="12"/>
        <v/>
      </c>
      <c r="M397" t="str">
        <f>IFERROR(AVERAGEIFS(Prod_5dias!$H$2:$H$1000,Prod_5dias!$A$2:$A$1000,$A397,Prod_5dias!$B$2:$B$1000,$B397),"")</f>
        <v/>
      </c>
      <c r="N397" t="str">
        <f>IF(M397="","",MIN(100,100*M397/Parametros!$B$7))</f>
        <v/>
      </c>
      <c r="O397" t="str">
        <f>IF(F397="","",IF(F397=0,100,MIN(100,100*Parametros!$B$3/F397)))</f>
        <v/>
      </c>
      <c r="P397" t="str">
        <f ca="1">IFERROR(((AVERAGEIFS(Observacion_Directa!$E$2:$E$1000,Observacion_Directa!$A$2:$A$1000,$A397,Observacion_Directa!$B$2:$B$1000,"&gt;="&amp;DATEVALUE($B397&amp;"-01"),Observacion_Directa!$B$2:$B$1000,"&lt;="&amp;EOMONTH(DATEVALUE($B397&amp;"-01"),0)))-1)/4*100,"")</f>
        <v/>
      </c>
      <c r="Q397" t="str">
        <f>IF(H397="","",MIN(100,100*H397/Parametros!$B$4))</f>
        <v/>
      </c>
      <c r="R397" t="str">
        <f>IF(I397="","",IF(I397=0,100,MIN(100,100*Parametros!$B$5/I397)))</f>
        <v/>
      </c>
      <c r="S397" t="str">
        <f>IF(J397="","",IF(J397=0,100,MIN(100,100*Parametros!$B$6/J397)))</f>
        <v/>
      </c>
      <c r="T397" t="str">
        <f>IF(L397="","",MIN(100,100*L397/Parametros!$B$7))</f>
        <v/>
      </c>
      <c r="U397" t="str">
        <f>IF(K397="","",MIN(100,100*K397/Parametros!$B$8))</f>
        <v/>
      </c>
      <c r="V397" t="str">
        <f ca="1">IFERROR(((AVERAGEIFS(Documentacion!$C$2:$C$1000,Documentacion!$A$2:$A$1000,$A397,Documentacion!$B$2:$B$1000,"&gt;="&amp;DATEVALUE($B397&amp;"-01"),Documentacion!$B$2:$B$1000,"&lt;="&amp;EOMONTH(DATEVALUE($B397&amp;"-01"),0)))-1)/4*100,"")</f>
        <v/>
      </c>
      <c r="W397" t="str">
        <f ca="1">IFERROR(((AVERAGEIFS(Feedback_360!$D$2:$D$1000,Feedback_360!$A$2:$A$1000,$A397,Feedback_360!$B$2:$B$1000,"&gt;="&amp;DATEVALUE($B397&amp;"-01"),Feedback_360!$B$2:$B$1000,"&lt;="&amp;EOMONTH(DATEVALUE($B397&amp;"-01"),0)))-1)/4*100,"")</f>
        <v/>
      </c>
      <c r="X397" t="str">
        <f ca="1">IFERROR(((AVERAGEIFS(Observacion_Directa!$D$2:$D$1000,Observacion_Directa!$A$2:$A$1000,$A397,Observacion_Directa!$B$2:$B$1000,"&gt;="&amp;DATEVALUE($B397&amp;"-01"),Observacion_Directa!$B$2:$B$1000,"&lt;="&amp;EOMONTH(DATEVALUE($B397&amp;"-01"),0)))-1)/4*100,"")</f>
        <v/>
      </c>
      <c r="Y397" t="e">
        <f t="shared" ca="1" si="13"/>
        <v>#DIV/0!</v>
      </c>
    </row>
    <row r="398" spans="12:25" x14ac:dyDescent="0.2">
      <c r="L398" t="str">
        <f t="shared" si="12"/>
        <v/>
      </c>
      <c r="M398" t="str">
        <f>IFERROR(AVERAGEIFS(Prod_5dias!$H$2:$H$1000,Prod_5dias!$A$2:$A$1000,$A398,Prod_5dias!$B$2:$B$1000,$B398),"")</f>
        <v/>
      </c>
      <c r="N398" t="str">
        <f>IF(M398="","",MIN(100,100*M398/Parametros!$B$7))</f>
        <v/>
      </c>
      <c r="O398" t="str">
        <f>IF(F398="","",IF(F398=0,100,MIN(100,100*Parametros!$B$3/F398)))</f>
        <v/>
      </c>
      <c r="P398" t="str">
        <f ca="1">IFERROR(((AVERAGEIFS(Observacion_Directa!$E$2:$E$1000,Observacion_Directa!$A$2:$A$1000,$A398,Observacion_Directa!$B$2:$B$1000,"&gt;="&amp;DATEVALUE($B398&amp;"-01"),Observacion_Directa!$B$2:$B$1000,"&lt;="&amp;EOMONTH(DATEVALUE($B398&amp;"-01"),0)))-1)/4*100,"")</f>
        <v/>
      </c>
      <c r="Q398" t="str">
        <f>IF(H398="","",MIN(100,100*H398/Parametros!$B$4))</f>
        <v/>
      </c>
      <c r="R398" t="str">
        <f>IF(I398="","",IF(I398=0,100,MIN(100,100*Parametros!$B$5/I398)))</f>
        <v/>
      </c>
      <c r="S398" t="str">
        <f>IF(J398="","",IF(J398=0,100,MIN(100,100*Parametros!$B$6/J398)))</f>
        <v/>
      </c>
      <c r="T398" t="str">
        <f>IF(L398="","",MIN(100,100*L398/Parametros!$B$7))</f>
        <v/>
      </c>
      <c r="U398" t="str">
        <f>IF(K398="","",MIN(100,100*K398/Parametros!$B$8))</f>
        <v/>
      </c>
      <c r="V398" t="str">
        <f ca="1">IFERROR(((AVERAGEIFS(Documentacion!$C$2:$C$1000,Documentacion!$A$2:$A$1000,$A398,Documentacion!$B$2:$B$1000,"&gt;="&amp;DATEVALUE($B398&amp;"-01"),Documentacion!$B$2:$B$1000,"&lt;="&amp;EOMONTH(DATEVALUE($B398&amp;"-01"),0)))-1)/4*100,"")</f>
        <v/>
      </c>
      <c r="W398" t="str">
        <f ca="1">IFERROR(((AVERAGEIFS(Feedback_360!$D$2:$D$1000,Feedback_360!$A$2:$A$1000,$A398,Feedback_360!$B$2:$B$1000,"&gt;="&amp;DATEVALUE($B398&amp;"-01"),Feedback_360!$B$2:$B$1000,"&lt;="&amp;EOMONTH(DATEVALUE($B398&amp;"-01"),0)))-1)/4*100,"")</f>
        <v/>
      </c>
      <c r="X398" t="str">
        <f ca="1">IFERROR(((AVERAGEIFS(Observacion_Directa!$D$2:$D$1000,Observacion_Directa!$A$2:$A$1000,$A398,Observacion_Directa!$B$2:$B$1000,"&gt;="&amp;DATEVALUE($B398&amp;"-01"),Observacion_Directa!$B$2:$B$1000,"&lt;="&amp;EOMONTH(DATEVALUE($B398&amp;"-01"),0)))-1)/4*100,"")</f>
        <v/>
      </c>
      <c r="Y398" t="e">
        <f t="shared" ca="1" si="13"/>
        <v>#DIV/0!</v>
      </c>
    </row>
    <row r="399" spans="12:25" x14ac:dyDescent="0.2">
      <c r="L399" t="str">
        <f t="shared" si="12"/>
        <v/>
      </c>
      <c r="M399" t="str">
        <f>IFERROR(AVERAGEIFS(Prod_5dias!$H$2:$H$1000,Prod_5dias!$A$2:$A$1000,$A399,Prod_5dias!$B$2:$B$1000,$B399),"")</f>
        <v/>
      </c>
      <c r="N399" t="str">
        <f>IF(M399="","",MIN(100,100*M399/Parametros!$B$7))</f>
        <v/>
      </c>
      <c r="O399" t="str">
        <f>IF(F399="","",IF(F399=0,100,MIN(100,100*Parametros!$B$3/F399)))</f>
        <v/>
      </c>
      <c r="P399" t="str">
        <f ca="1">IFERROR(((AVERAGEIFS(Observacion_Directa!$E$2:$E$1000,Observacion_Directa!$A$2:$A$1000,$A399,Observacion_Directa!$B$2:$B$1000,"&gt;="&amp;DATEVALUE($B399&amp;"-01"),Observacion_Directa!$B$2:$B$1000,"&lt;="&amp;EOMONTH(DATEVALUE($B399&amp;"-01"),0)))-1)/4*100,"")</f>
        <v/>
      </c>
      <c r="Q399" t="str">
        <f>IF(H399="","",MIN(100,100*H399/Parametros!$B$4))</f>
        <v/>
      </c>
      <c r="R399" t="str">
        <f>IF(I399="","",IF(I399=0,100,MIN(100,100*Parametros!$B$5/I399)))</f>
        <v/>
      </c>
      <c r="S399" t="str">
        <f>IF(J399="","",IF(J399=0,100,MIN(100,100*Parametros!$B$6/J399)))</f>
        <v/>
      </c>
      <c r="T399" t="str">
        <f>IF(L399="","",MIN(100,100*L399/Parametros!$B$7))</f>
        <v/>
      </c>
      <c r="U399" t="str">
        <f>IF(K399="","",MIN(100,100*K399/Parametros!$B$8))</f>
        <v/>
      </c>
      <c r="V399" t="str">
        <f ca="1">IFERROR(((AVERAGEIFS(Documentacion!$C$2:$C$1000,Documentacion!$A$2:$A$1000,$A399,Documentacion!$B$2:$B$1000,"&gt;="&amp;DATEVALUE($B399&amp;"-01"),Documentacion!$B$2:$B$1000,"&lt;="&amp;EOMONTH(DATEVALUE($B399&amp;"-01"),0)))-1)/4*100,"")</f>
        <v/>
      </c>
      <c r="W399" t="str">
        <f ca="1">IFERROR(((AVERAGEIFS(Feedback_360!$D$2:$D$1000,Feedback_360!$A$2:$A$1000,$A399,Feedback_360!$B$2:$B$1000,"&gt;="&amp;DATEVALUE($B399&amp;"-01"),Feedback_360!$B$2:$B$1000,"&lt;="&amp;EOMONTH(DATEVALUE($B399&amp;"-01"),0)))-1)/4*100,"")</f>
        <v/>
      </c>
      <c r="X399" t="str">
        <f ca="1">IFERROR(((AVERAGEIFS(Observacion_Directa!$D$2:$D$1000,Observacion_Directa!$A$2:$A$1000,$A399,Observacion_Directa!$B$2:$B$1000,"&gt;="&amp;DATEVALUE($B399&amp;"-01"),Observacion_Directa!$B$2:$B$1000,"&lt;="&amp;EOMONTH(DATEVALUE($B399&amp;"-01"),0)))-1)/4*100,"")</f>
        <v/>
      </c>
      <c r="Y399" t="e">
        <f t="shared" ca="1" si="13"/>
        <v>#DIV/0!</v>
      </c>
    </row>
    <row r="400" spans="12:25" x14ac:dyDescent="0.2">
      <c r="L400" t="str">
        <f t="shared" si="12"/>
        <v/>
      </c>
      <c r="M400" t="str">
        <f>IFERROR(AVERAGEIFS(Prod_5dias!$H$2:$H$1000,Prod_5dias!$A$2:$A$1000,$A400,Prod_5dias!$B$2:$B$1000,$B400),"")</f>
        <v/>
      </c>
      <c r="N400" t="str">
        <f>IF(M400="","",MIN(100,100*M400/Parametros!$B$7))</f>
        <v/>
      </c>
      <c r="O400" t="str">
        <f>IF(F400="","",IF(F400=0,100,MIN(100,100*Parametros!$B$3/F400)))</f>
        <v/>
      </c>
      <c r="P400" t="str">
        <f ca="1">IFERROR(((AVERAGEIFS(Observacion_Directa!$E$2:$E$1000,Observacion_Directa!$A$2:$A$1000,$A400,Observacion_Directa!$B$2:$B$1000,"&gt;="&amp;DATEVALUE($B400&amp;"-01"),Observacion_Directa!$B$2:$B$1000,"&lt;="&amp;EOMONTH(DATEVALUE($B400&amp;"-01"),0)))-1)/4*100,"")</f>
        <v/>
      </c>
      <c r="Q400" t="str">
        <f>IF(H400="","",MIN(100,100*H400/Parametros!$B$4))</f>
        <v/>
      </c>
      <c r="R400" t="str">
        <f>IF(I400="","",IF(I400=0,100,MIN(100,100*Parametros!$B$5/I400)))</f>
        <v/>
      </c>
      <c r="S400" t="str">
        <f>IF(J400="","",IF(J400=0,100,MIN(100,100*Parametros!$B$6/J400)))</f>
        <v/>
      </c>
      <c r="T400" t="str">
        <f>IF(L400="","",MIN(100,100*L400/Parametros!$B$7))</f>
        <v/>
      </c>
      <c r="U400" t="str">
        <f>IF(K400="","",MIN(100,100*K400/Parametros!$B$8))</f>
        <v/>
      </c>
      <c r="V400" t="str">
        <f ca="1">IFERROR(((AVERAGEIFS(Documentacion!$C$2:$C$1000,Documentacion!$A$2:$A$1000,$A400,Documentacion!$B$2:$B$1000,"&gt;="&amp;DATEVALUE($B400&amp;"-01"),Documentacion!$B$2:$B$1000,"&lt;="&amp;EOMONTH(DATEVALUE($B400&amp;"-01"),0)))-1)/4*100,"")</f>
        <v/>
      </c>
      <c r="W400" t="str">
        <f ca="1">IFERROR(((AVERAGEIFS(Feedback_360!$D$2:$D$1000,Feedback_360!$A$2:$A$1000,$A400,Feedback_360!$B$2:$B$1000,"&gt;="&amp;DATEVALUE($B400&amp;"-01"),Feedback_360!$B$2:$B$1000,"&lt;="&amp;EOMONTH(DATEVALUE($B400&amp;"-01"),0)))-1)/4*100,"")</f>
        <v/>
      </c>
      <c r="X400" t="str">
        <f ca="1">IFERROR(((AVERAGEIFS(Observacion_Directa!$D$2:$D$1000,Observacion_Directa!$A$2:$A$1000,$A400,Observacion_Directa!$B$2:$B$1000,"&gt;="&amp;DATEVALUE($B400&amp;"-01"),Observacion_Directa!$B$2:$B$1000,"&lt;="&amp;EOMONTH(DATEVALUE($B400&amp;"-01"),0)))-1)/4*100,"")</f>
        <v/>
      </c>
      <c r="Y400" t="e">
        <f t="shared" ca="1" si="13"/>
        <v>#DIV/0!</v>
      </c>
    </row>
    <row r="401" spans="12:25" x14ac:dyDescent="0.2">
      <c r="L401" t="str">
        <f t="shared" si="12"/>
        <v/>
      </c>
      <c r="M401" t="str">
        <f>IFERROR(AVERAGEIFS(Prod_5dias!$H$2:$H$1000,Prod_5dias!$A$2:$A$1000,$A401,Prod_5dias!$B$2:$B$1000,$B401),"")</f>
        <v/>
      </c>
      <c r="N401" t="str">
        <f>IF(M401="","",MIN(100,100*M401/Parametros!$B$7))</f>
        <v/>
      </c>
      <c r="O401" t="str">
        <f>IF(F401="","",IF(F401=0,100,MIN(100,100*Parametros!$B$3/F401)))</f>
        <v/>
      </c>
      <c r="P401" t="str">
        <f ca="1">IFERROR(((AVERAGEIFS(Observacion_Directa!$E$2:$E$1000,Observacion_Directa!$A$2:$A$1000,$A401,Observacion_Directa!$B$2:$B$1000,"&gt;="&amp;DATEVALUE($B401&amp;"-01"),Observacion_Directa!$B$2:$B$1000,"&lt;="&amp;EOMONTH(DATEVALUE($B401&amp;"-01"),0)))-1)/4*100,"")</f>
        <v/>
      </c>
      <c r="Q401" t="str">
        <f>IF(H401="","",MIN(100,100*H401/Parametros!$B$4))</f>
        <v/>
      </c>
      <c r="R401" t="str">
        <f>IF(I401="","",IF(I401=0,100,MIN(100,100*Parametros!$B$5/I401)))</f>
        <v/>
      </c>
      <c r="S401" t="str">
        <f>IF(J401="","",IF(J401=0,100,MIN(100,100*Parametros!$B$6/J401)))</f>
        <v/>
      </c>
      <c r="T401" t="str">
        <f>IF(L401="","",MIN(100,100*L401/Parametros!$B$7))</f>
        <v/>
      </c>
      <c r="U401" t="str">
        <f>IF(K401="","",MIN(100,100*K401/Parametros!$B$8))</f>
        <v/>
      </c>
      <c r="V401" t="str">
        <f ca="1">IFERROR(((AVERAGEIFS(Documentacion!$C$2:$C$1000,Documentacion!$A$2:$A$1000,$A401,Documentacion!$B$2:$B$1000,"&gt;="&amp;DATEVALUE($B401&amp;"-01"),Documentacion!$B$2:$B$1000,"&lt;="&amp;EOMONTH(DATEVALUE($B401&amp;"-01"),0)))-1)/4*100,"")</f>
        <v/>
      </c>
      <c r="W401" t="str">
        <f ca="1">IFERROR(((AVERAGEIFS(Feedback_360!$D$2:$D$1000,Feedback_360!$A$2:$A$1000,$A401,Feedback_360!$B$2:$B$1000,"&gt;="&amp;DATEVALUE($B401&amp;"-01"),Feedback_360!$B$2:$B$1000,"&lt;="&amp;EOMONTH(DATEVALUE($B401&amp;"-01"),0)))-1)/4*100,"")</f>
        <v/>
      </c>
      <c r="X401" t="str">
        <f ca="1">IFERROR(((AVERAGEIFS(Observacion_Directa!$D$2:$D$1000,Observacion_Directa!$A$2:$A$1000,$A401,Observacion_Directa!$B$2:$B$1000,"&gt;="&amp;DATEVALUE($B401&amp;"-01"),Observacion_Directa!$B$2:$B$1000,"&lt;="&amp;EOMONTH(DATEVALUE($B401&amp;"-01"),0)))-1)/4*100,"")</f>
        <v/>
      </c>
      <c r="Y401" t="e">
        <f t="shared" ca="1" si="13"/>
        <v>#DIV/0!</v>
      </c>
    </row>
    <row r="402" spans="12:25" x14ac:dyDescent="0.2">
      <c r="L402" t="str">
        <f t="shared" si="12"/>
        <v/>
      </c>
      <c r="M402" t="str">
        <f>IFERROR(AVERAGEIFS(Prod_5dias!$H$2:$H$1000,Prod_5dias!$A$2:$A$1000,$A402,Prod_5dias!$B$2:$B$1000,$B402),"")</f>
        <v/>
      </c>
      <c r="N402" t="str">
        <f>IF(M402="","",MIN(100,100*M402/Parametros!$B$7))</f>
        <v/>
      </c>
      <c r="O402" t="str">
        <f>IF(F402="","",IF(F402=0,100,MIN(100,100*Parametros!$B$3/F402)))</f>
        <v/>
      </c>
      <c r="P402" t="str">
        <f ca="1">IFERROR(((AVERAGEIFS(Observacion_Directa!$E$2:$E$1000,Observacion_Directa!$A$2:$A$1000,$A402,Observacion_Directa!$B$2:$B$1000,"&gt;="&amp;DATEVALUE($B402&amp;"-01"),Observacion_Directa!$B$2:$B$1000,"&lt;="&amp;EOMONTH(DATEVALUE($B402&amp;"-01"),0)))-1)/4*100,"")</f>
        <v/>
      </c>
      <c r="Q402" t="str">
        <f>IF(H402="","",MIN(100,100*H402/Parametros!$B$4))</f>
        <v/>
      </c>
      <c r="R402" t="str">
        <f>IF(I402="","",IF(I402=0,100,MIN(100,100*Parametros!$B$5/I402)))</f>
        <v/>
      </c>
      <c r="S402" t="str">
        <f>IF(J402="","",IF(J402=0,100,MIN(100,100*Parametros!$B$6/J402)))</f>
        <v/>
      </c>
      <c r="T402" t="str">
        <f>IF(L402="","",MIN(100,100*L402/Parametros!$B$7))</f>
        <v/>
      </c>
      <c r="U402" t="str">
        <f>IF(K402="","",MIN(100,100*K402/Parametros!$B$8))</f>
        <v/>
      </c>
      <c r="V402" t="str">
        <f ca="1">IFERROR(((AVERAGEIFS(Documentacion!$C$2:$C$1000,Documentacion!$A$2:$A$1000,$A402,Documentacion!$B$2:$B$1000,"&gt;="&amp;DATEVALUE($B402&amp;"-01"),Documentacion!$B$2:$B$1000,"&lt;="&amp;EOMONTH(DATEVALUE($B402&amp;"-01"),0)))-1)/4*100,"")</f>
        <v/>
      </c>
      <c r="W402" t="str">
        <f ca="1">IFERROR(((AVERAGEIFS(Feedback_360!$D$2:$D$1000,Feedback_360!$A$2:$A$1000,$A402,Feedback_360!$B$2:$B$1000,"&gt;="&amp;DATEVALUE($B402&amp;"-01"),Feedback_360!$B$2:$B$1000,"&lt;="&amp;EOMONTH(DATEVALUE($B402&amp;"-01"),0)))-1)/4*100,"")</f>
        <v/>
      </c>
      <c r="X402" t="str">
        <f ca="1">IFERROR(((AVERAGEIFS(Observacion_Directa!$D$2:$D$1000,Observacion_Directa!$A$2:$A$1000,$A402,Observacion_Directa!$B$2:$B$1000,"&gt;="&amp;DATEVALUE($B402&amp;"-01"),Observacion_Directa!$B$2:$B$1000,"&lt;="&amp;EOMONTH(DATEVALUE($B402&amp;"-01"),0)))-1)/4*100,"")</f>
        <v/>
      </c>
      <c r="Y402" t="e">
        <f t="shared" ca="1" si="13"/>
        <v>#DIV/0!</v>
      </c>
    </row>
    <row r="403" spans="12:25" x14ac:dyDescent="0.2">
      <c r="L403" t="str">
        <f t="shared" si="12"/>
        <v/>
      </c>
      <c r="M403" t="str">
        <f>IFERROR(AVERAGEIFS(Prod_5dias!$H$2:$H$1000,Prod_5dias!$A$2:$A$1000,$A403,Prod_5dias!$B$2:$B$1000,$B403),"")</f>
        <v/>
      </c>
      <c r="N403" t="str">
        <f>IF(M403="","",MIN(100,100*M403/Parametros!$B$7))</f>
        <v/>
      </c>
      <c r="O403" t="str">
        <f>IF(F403="","",IF(F403=0,100,MIN(100,100*Parametros!$B$3/F403)))</f>
        <v/>
      </c>
      <c r="P403" t="str">
        <f ca="1">IFERROR(((AVERAGEIFS(Observacion_Directa!$E$2:$E$1000,Observacion_Directa!$A$2:$A$1000,$A403,Observacion_Directa!$B$2:$B$1000,"&gt;="&amp;DATEVALUE($B403&amp;"-01"),Observacion_Directa!$B$2:$B$1000,"&lt;="&amp;EOMONTH(DATEVALUE($B403&amp;"-01"),0)))-1)/4*100,"")</f>
        <v/>
      </c>
      <c r="Q403" t="str">
        <f>IF(H403="","",MIN(100,100*H403/Parametros!$B$4))</f>
        <v/>
      </c>
      <c r="R403" t="str">
        <f>IF(I403="","",IF(I403=0,100,MIN(100,100*Parametros!$B$5/I403)))</f>
        <v/>
      </c>
      <c r="S403" t="str">
        <f>IF(J403="","",IF(J403=0,100,MIN(100,100*Parametros!$B$6/J403)))</f>
        <v/>
      </c>
      <c r="T403" t="str">
        <f>IF(L403="","",MIN(100,100*L403/Parametros!$B$7))</f>
        <v/>
      </c>
      <c r="U403" t="str">
        <f>IF(K403="","",MIN(100,100*K403/Parametros!$B$8))</f>
        <v/>
      </c>
      <c r="V403" t="str">
        <f ca="1">IFERROR(((AVERAGEIFS(Documentacion!$C$2:$C$1000,Documentacion!$A$2:$A$1000,$A403,Documentacion!$B$2:$B$1000,"&gt;="&amp;DATEVALUE($B403&amp;"-01"),Documentacion!$B$2:$B$1000,"&lt;="&amp;EOMONTH(DATEVALUE($B403&amp;"-01"),0)))-1)/4*100,"")</f>
        <v/>
      </c>
      <c r="W403" t="str">
        <f ca="1">IFERROR(((AVERAGEIFS(Feedback_360!$D$2:$D$1000,Feedback_360!$A$2:$A$1000,$A403,Feedback_360!$B$2:$B$1000,"&gt;="&amp;DATEVALUE($B403&amp;"-01"),Feedback_360!$B$2:$B$1000,"&lt;="&amp;EOMONTH(DATEVALUE($B403&amp;"-01"),0)))-1)/4*100,"")</f>
        <v/>
      </c>
      <c r="X403" t="str">
        <f ca="1">IFERROR(((AVERAGEIFS(Observacion_Directa!$D$2:$D$1000,Observacion_Directa!$A$2:$A$1000,$A403,Observacion_Directa!$B$2:$B$1000,"&gt;="&amp;DATEVALUE($B403&amp;"-01"),Observacion_Directa!$B$2:$B$1000,"&lt;="&amp;EOMONTH(DATEVALUE($B403&amp;"-01"),0)))-1)/4*100,"")</f>
        <v/>
      </c>
      <c r="Y403" t="e">
        <f t="shared" ca="1" si="13"/>
        <v>#DIV/0!</v>
      </c>
    </row>
    <row r="404" spans="12:25" x14ac:dyDescent="0.2">
      <c r="L404" t="str">
        <f t="shared" si="12"/>
        <v/>
      </c>
      <c r="M404" t="str">
        <f>IFERROR(AVERAGEIFS(Prod_5dias!$H$2:$H$1000,Prod_5dias!$A$2:$A$1000,$A404,Prod_5dias!$B$2:$B$1000,$B404),"")</f>
        <v/>
      </c>
      <c r="N404" t="str">
        <f>IF(M404="","",MIN(100,100*M404/Parametros!$B$7))</f>
        <v/>
      </c>
      <c r="O404" t="str">
        <f>IF(F404="","",IF(F404=0,100,MIN(100,100*Parametros!$B$3/F404)))</f>
        <v/>
      </c>
      <c r="P404" t="str">
        <f ca="1">IFERROR(((AVERAGEIFS(Observacion_Directa!$E$2:$E$1000,Observacion_Directa!$A$2:$A$1000,$A404,Observacion_Directa!$B$2:$B$1000,"&gt;="&amp;DATEVALUE($B404&amp;"-01"),Observacion_Directa!$B$2:$B$1000,"&lt;="&amp;EOMONTH(DATEVALUE($B404&amp;"-01"),0)))-1)/4*100,"")</f>
        <v/>
      </c>
      <c r="Q404" t="str">
        <f>IF(H404="","",MIN(100,100*H404/Parametros!$B$4))</f>
        <v/>
      </c>
      <c r="R404" t="str">
        <f>IF(I404="","",IF(I404=0,100,MIN(100,100*Parametros!$B$5/I404)))</f>
        <v/>
      </c>
      <c r="S404" t="str">
        <f>IF(J404="","",IF(J404=0,100,MIN(100,100*Parametros!$B$6/J404)))</f>
        <v/>
      </c>
      <c r="T404" t="str">
        <f>IF(L404="","",MIN(100,100*L404/Parametros!$B$7))</f>
        <v/>
      </c>
      <c r="U404" t="str">
        <f>IF(K404="","",MIN(100,100*K404/Parametros!$B$8))</f>
        <v/>
      </c>
      <c r="V404" t="str">
        <f ca="1">IFERROR(((AVERAGEIFS(Documentacion!$C$2:$C$1000,Documentacion!$A$2:$A$1000,$A404,Documentacion!$B$2:$B$1000,"&gt;="&amp;DATEVALUE($B404&amp;"-01"),Documentacion!$B$2:$B$1000,"&lt;="&amp;EOMONTH(DATEVALUE($B404&amp;"-01"),0)))-1)/4*100,"")</f>
        <v/>
      </c>
      <c r="W404" t="str">
        <f ca="1">IFERROR(((AVERAGEIFS(Feedback_360!$D$2:$D$1000,Feedback_360!$A$2:$A$1000,$A404,Feedback_360!$B$2:$B$1000,"&gt;="&amp;DATEVALUE($B404&amp;"-01"),Feedback_360!$B$2:$B$1000,"&lt;="&amp;EOMONTH(DATEVALUE($B404&amp;"-01"),0)))-1)/4*100,"")</f>
        <v/>
      </c>
      <c r="X404" t="str">
        <f ca="1">IFERROR(((AVERAGEIFS(Observacion_Directa!$D$2:$D$1000,Observacion_Directa!$A$2:$A$1000,$A404,Observacion_Directa!$B$2:$B$1000,"&gt;="&amp;DATEVALUE($B404&amp;"-01"),Observacion_Directa!$B$2:$B$1000,"&lt;="&amp;EOMONTH(DATEVALUE($B404&amp;"-01"),0)))-1)/4*100,"")</f>
        <v/>
      </c>
      <c r="Y404" t="e">
        <f t="shared" ca="1" si="13"/>
        <v>#DIV/0!</v>
      </c>
    </row>
    <row r="405" spans="12:25" x14ac:dyDescent="0.2">
      <c r="L405" t="str">
        <f t="shared" si="12"/>
        <v/>
      </c>
      <c r="M405" t="str">
        <f>IFERROR(AVERAGEIFS(Prod_5dias!$H$2:$H$1000,Prod_5dias!$A$2:$A$1000,$A405,Prod_5dias!$B$2:$B$1000,$B405),"")</f>
        <v/>
      </c>
      <c r="N405" t="str">
        <f>IF(M405="","",MIN(100,100*M405/Parametros!$B$7))</f>
        <v/>
      </c>
      <c r="O405" t="str">
        <f>IF(F405="","",IF(F405=0,100,MIN(100,100*Parametros!$B$3/F405)))</f>
        <v/>
      </c>
      <c r="P405" t="str">
        <f ca="1">IFERROR(((AVERAGEIFS(Observacion_Directa!$E$2:$E$1000,Observacion_Directa!$A$2:$A$1000,$A405,Observacion_Directa!$B$2:$B$1000,"&gt;="&amp;DATEVALUE($B405&amp;"-01"),Observacion_Directa!$B$2:$B$1000,"&lt;="&amp;EOMONTH(DATEVALUE($B405&amp;"-01"),0)))-1)/4*100,"")</f>
        <v/>
      </c>
      <c r="Q405" t="str">
        <f>IF(H405="","",MIN(100,100*H405/Parametros!$B$4))</f>
        <v/>
      </c>
      <c r="R405" t="str">
        <f>IF(I405="","",IF(I405=0,100,MIN(100,100*Parametros!$B$5/I405)))</f>
        <v/>
      </c>
      <c r="S405" t="str">
        <f>IF(J405="","",IF(J405=0,100,MIN(100,100*Parametros!$B$6/J405)))</f>
        <v/>
      </c>
      <c r="T405" t="str">
        <f>IF(L405="","",MIN(100,100*L405/Parametros!$B$7))</f>
        <v/>
      </c>
      <c r="U405" t="str">
        <f>IF(K405="","",MIN(100,100*K405/Parametros!$B$8))</f>
        <v/>
      </c>
      <c r="V405" t="str">
        <f ca="1">IFERROR(((AVERAGEIFS(Documentacion!$C$2:$C$1000,Documentacion!$A$2:$A$1000,$A405,Documentacion!$B$2:$B$1000,"&gt;="&amp;DATEVALUE($B405&amp;"-01"),Documentacion!$B$2:$B$1000,"&lt;="&amp;EOMONTH(DATEVALUE($B405&amp;"-01"),0)))-1)/4*100,"")</f>
        <v/>
      </c>
      <c r="W405" t="str">
        <f ca="1">IFERROR(((AVERAGEIFS(Feedback_360!$D$2:$D$1000,Feedback_360!$A$2:$A$1000,$A405,Feedback_360!$B$2:$B$1000,"&gt;="&amp;DATEVALUE($B405&amp;"-01"),Feedback_360!$B$2:$B$1000,"&lt;="&amp;EOMONTH(DATEVALUE($B405&amp;"-01"),0)))-1)/4*100,"")</f>
        <v/>
      </c>
      <c r="X405" t="str">
        <f ca="1">IFERROR(((AVERAGEIFS(Observacion_Directa!$D$2:$D$1000,Observacion_Directa!$A$2:$A$1000,$A405,Observacion_Directa!$B$2:$B$1000,"&gt;="&amp;DATEVALUE($B405&amp;"-01"),Observacion_Directa!$B$2:$B$1000,"&lt;="&amp;EOMONTH(DATEVALUE($B405&amp;"-01"),0)))-1)/4*100,"")</f>
        <v/>
      </c>
      <c r="Y405" t="e">
        <f t="shared" ca="1" si="13"/>
        <v>#DIV/0!</v>
      </c>
    </row>
    <row r="406" spans="12:25" x14ac:dyDescent="0.2">
      <c r="L406" t="str">
        <f t="shared" si="12"/>
        <v/>
      </c>
      <c r="M406" t="str">
        <f>IFERROR(AVERAGEIFS(Prod_5dias!$H$2:$H$1000,Prod_5dias!$A$2:$A$1000,$A406,Prod_5dias!$B$2:$B$1000,$B406),"")</f>
        <v/>
      </c>
      <c r="N406" t="str">
        <f>IF(M406="","",MIN(100,100*M406/Parametros!$B$7))</f>
        <v/>
      </c>
      <c r="O406" t="str">
        <f>IF(F406="","",IF(F406=0,100,MIN(100,100*Parametros!$B$3/F406)))</f>
        <v/>
      </c>
      <c r="P406" t="str">
        <f ca="1">IFERROR(((AVERAGEIFS(Observacion_Directa!$E$2:$E$1000,Observacion_Directa!$A$2:$A$1000,$A406,Observacion_Directa!$B$2:$B$1000,"&gt;="&amp;DATEVALUE($B406&amp;"-01"),Observacion_Directa!$B$2:$B$1000,"&lt;="&amp;EOMONTH(DATEVALUE($B406&amp;"-01"),0)))-1)/4*100,"")</f>
        <v/>
      </c>
      <c r="Q406" t="str">
        <f>IF(H406="","",MIN(100,100*H406/Parametros!$B$4))</f>
        <v/>
      </c>
      <c r="R406" t="str">
        <f>IF(I406="","",IF(I406=0,100,MIN(100,100*Parametros!$B$5/I406)))</f>
        <v/>
      </c>
      <c r="S406" t="str">
        <f>IF(J406="","",IF(J406=0,100,MIN(100,100*Parametros!$B$6/J406)))</f>
        <v/>
      </c>
      <c r="T406" t="str">
        <f>IF(L406="","",MIN(100,100*L406/Parametros!$B$7))</f>
        <v/>
      </c>
      <c r="U406" t="str">
        <f>IF(K406="","",MIN(100,100*K406/Parametros!$B$8))</f>
        <v/>
      </c>
      <c r="V406" t="str">
        <f ca="1">IFERROR(((AVERAGEIFS(Documentacion!$C$2:$C$1000,Documentacion!$A$2:$A$1000,$A406,Documentacion!$B$2:$B$1000,"&gt;="&amp;DATEVALUE($B406&amp;"-01"),Documentacion!$B$2:$B$1000,"&lt;="&amp;EOMONTH(DATEVALUE($B406&amp;"-01"),0)))-1)/4*100,"")</f>
        <v/>
      </c>
      <c r="W406" t="str">
        <f ca="1">IFERROR(((AVERAGEIFS(Feedback_360!$D$2:$D$1000,Feedback_360!$A$2:$A$1000,$A406,Feedback_360!$B$2:$B$1000,"&gt;="&amp;DATEVALUE($B406&amp;"-01"),Feedback_360!$B$2:$B$1000,"&lt;="&amp;EOMONTH(DATEVALUE($B406&amp;"-01"),0)))-1)/4*100,"")</f>
        <v/>
      </c>
      <c r="X406" t="str">
        <f ca="1">IFERROR(((AVERAGEIFS(Observacion_Directa!$D$2:$D$1000,Observacion_Directa!$A$2:$A$1000,$A406,Observacion_Directa!$B$2:$B$1000,"&gt;="&amp;DATEVALUE($B406&amp;"-01"),Observacion_Directa!$B$2:$B$1000,"&lt;="&amp;EOMONTH(DATEVALUE($B406&amp;"-01"),0)))-1)/4*100,"")</f>
        <v/>
      </c>
      <c r="Y406" t="e">
        <f t="shared" ca="1" si="13"/>
        <v>#DIV/0!</v>
      </c>
    </row>
    <row r="407" spans="12:25" x14ac:dyDescent="0.2">
      <c r="L407" t="str">
        <f t="shared" si="12"/>
        <v/>
      </c>
      <c r="M407" t="str">
        <f>IFERROR(AVERAGEIFS(Prod_5dias!$H$2:$H$1000,Prod_5dias!$A$2:$A$1000,$A407,Prod_5dias!$B$2:$B$1000,$B407),"")</f>
        <v/>
      </c>
      <c r="N407" t="str">
        <f>IF(M407="","",MIN(100,100*M407/Parametros!$B$7))</f>
        <v/>
      </c>
      <c r="O407" t="str">
        <f>IF(F407="","",IF(F407=0,100,MIN(100,100*Parametros!$B$3/F407)))</f>
        <v/>
      </c>
      <c r="P407" t="str">
        <f ca="1">IFERROR(((AVERAGEIFS(Observacion_Directa!$E$2:$E$1000,Observacion_Directa!$A$2:$A$1000,$A407,Observacion_Directa!$B$2:$B$1000,"&gt;="&amp;DATEVALUE($B407&amp;"-01"),Observacion_Directa!$B$2:$B$1000,"&lt;="&amp;EOMONTH(DATEVALUE($B407&amp;"-01"),0)))-1)/4*100,"")</f>
        <v/>
      </c>
      <c r="Q407" t="str">
        <f>IF(H407="","",MIN(100,100*H407/Parametros!$B$4))</f>
        <v/>
      </c>
      <c r="R407" t="str">
        <f>IF(I407="","",IF(I407=0,100,MIN(100,100*Parametros!$B$5/I407)))</f>
        <v/>
      </c>
      <c r="S407" t="str">
        <f>IF(J407="","",IF(J407=0,100,MIN(100,100*Parametros!$B$6/J407)))</f>
        <v/>
      </c>
      <c r="T407" t="str">
        <f>IF(L407="","",MIN(100,100*L407/Parametros!$B$7))</f>
        <v/>
      </c>
      <c r="U407" t="str">
        <f>IF(K407="","",MIN(100,100*K407/Parametros!$B$8))</f>
        <v/>
      </c>
      <c r="V407" t="str">
        <f ca="1">IFERROR(((AVERAGEIFS(Documentacion!$C$2:$C$1000,Documentacion!$A$2:$A$1000,$A407,Documentacion!$B$2:$B$1000,"&gt;="&amp;DATEVALUE($B407&amp;"-01"),Documentacion!$B$2:$B$1000,"&lt;="&amp;EOMONTH(DATEVALUE($B407&amp;"-01"),0)))-1)/4*100,"")</f>
        <v/>
      </c>
      <c r="W407" t="str">
        <f ca="1">IFERROR(((AVERAGEIFS(Feedback_360!$D$2:$D$1000,Feedback_360!$A$2:$A$1000,$A407,Feedback_360!$B$2:$B$1000,"&gt;="&amp;DATEVALUE($B407&amp;"-01"),Feedback_360!$B$2:$B$1000,"&lt;="&amp;EOMONTH(DATEVALUE($B407&amp;"-01"),0)))-1)/4*100,"")</f>
        <v/>
      </c>
      <c r="X407" t="str">
        <f ca="1">IFERROR(((AVERAGEIFS(Observacion_Directa!$D$2:$D$1000,Observacion_Directa!$A$2:$A$1000,$A407,Observacion_Directa!$B$2:$B$1000,"&gt;="&amp;DATEVALUE($B407&amp;"-01"),Observacion_Directa!$B$2:$B$1000,"&lt;="&amp;EOMONTH(DATEVALUE($B407&amp;"-01"),0)))-1)/4*100,"")</f>
        <v/>
      </c>
      <c r="Y407" t="e">
        <f t="shared" ca="1" si="13"/>
        <v>#DIV/0!</v>
      </c>
    </row>
    <row r="408" spans="12:25" x14ac:dyDescent="0.2">
      <c r="L408" t="str">
        <f t="shared" si="12"/>
        <v/>
      </c>
      <c r="M408" t="str">
        <f>IFERROR(AVERAGEIFS(Prod_5dias!$H$2:$H$1000,Prod_5dias!$A$2:$A$1000,$A408,Prod_5dias!$B$2:$B$1000,$B408),"")</f>
        <v/>
      </c>
      <c r="N408" t="str">
        <f>IF(M408="","",MIN(100,100*M408/Parametros!$B$7))</f>
        <v/>
      </c>
      <c r="O408" t="str">
        <f>IF(F408="","",IF(F408=0,100,MIN(100,100*Parametros!$B$3/F408)))</f>
        <v/>
      </c>
      <c r="P408" t="str">
        <f ca="1">IFERROR(((AVERAGEIFS(Observacion_Directa!$E$2:$E$1000,Observacion_Directa!$A$2:$A$1000,$A408,Observacion_Directa!$B$2:$B$1000,"&gt;="&amp;DATEVALUE($B408&amp;"-01"),Observacion_Directa!$B$2:$B$1000,"&lt;="&amp;EOMONTH(DATEVALUE($B408&amp;"-01"),0)))-1)/4*100,"")</f>
        <v/>
      </c>
      <c r="Q408" t="str">
        <f>IF(H408="","",MIN(100,100*H408/Parametros!$B$4))</f>
        <v/>
      </c>
      <c r="R408" t="str">
        <f>IF(I408="","",IF(I408=0,100,MIN(100,100*Parametros!$B$5/I408)))</f>
        <v/>
      </c>
      <c r="S408" t="str">
        <f>IF(J408="","",IF(J408=0,100,MIN(100,100*Parametros!$B$6/J408)))</f>
        <v/>
      </c>
      <c r="T408" t="str">
        <f>IF(L408="","",MIN(100,100*L408/Parametros!$B$7))</f>
        <v/>
      </c>
      <c r="U408" t="str">
        <f>IF(K408="","",MIN(100,100*K408/Parametros!$B$8))</f>
        <v/>
      </c>
      <c r="V408" t="str">
        <f ca="1">IFERROR(((AVERAGEIFS(Documentacion!$C$2:$C$1000,Documentacion!$A$2:$A$1000,$A408,Documentacion!$B$2:$B$1000,"&gt;="&amp;DATEVALUE($B408&amp;"-01"),Documentacion!$B$2:$B$1000,"&lt;="&amp;EOMONTH(DATEVALUE($B408&amp;"-01"),0)))-1)/4*100,"")</f>
        <v/>
      </c>
      <c r="W408" t="str">
        <f ca="1">IFERROR(((AVERAGEIFS(Feedback_360!$D$2:$D$1000,Feedback_360!$A$2:$A$1000,$A408,Feedback_360!$B$2:$B$1000,"&gt;="&amp;DATEVALUE($B408&amp;"-01"),Feedback_360!$B$2:$B$1000,"&lt;="&amp;EOMONTH(DATEVALUE($B408&amp;"-01"),0)))-1)/4*100,"")</f>
        <v/>
      </c>
      <c r="X408" t="str">
        <f ca="1">IFERROR(((AVERAGEIFS(Observacion_Directa!$D$2:$D$1000,Observacion_Directa!$A$2:$A$1000,$A408,Observacion_Directa!$B$2:$B$1000,"&gt;="&amp;DATEVALUE($B408&amp;"-01"),Observacion_Directa!$B$2:$B$1000,"&lt;="&amp;EOMONTH(DATEVALUE($B408&amp;"-01"),0)))-1)/4*100,"")</f>
        <v/>
      </c>
      <c r="Y408" t="e">
        <f t="shared" ca="1" si="13"/>
        <v>#DIV/0!</v>
      </c>
    </row>
    <row r="409" spans="12:25" x14ac:dyDescent="0.2">
      <c r="L409" t="str">
        <f t="shared" si="12"/>
        <v/>
      </c>
      <c r="M409" t="str">
        <f>IFERROR(AVERAGEIFS(Prod_5dias!$H$2:$H$1000,Prod_5dias!$A$2:$A$1000,$A409,Prod_5dias!$B$2:$B$1000,$B409),"")</f>
        <v/>
      </c>
      <c r="N409" t="str">
        <f>IF(M409="","",MIN(100,100*M409/Parametros!$B$7))</f>
        <v/>
      </c>
      <c r="O409" t="str">
        <f>IF(F409="","",IF(F409=0,100,MIN(100,100*Parametros!$B$3/F409)))</f>
        <v/>
      </c>
      <c r="P409" t="str">
        <f ca="1">IFERROR(((AVERAGEIFS(Observacion_Directa!$E$2:$E$1000,Observacion_Directa!$A$2:$A$1000,$A409,Observacion_Directa!$B$2:$B$1000,"&gt;="&amp;DATEVALUE($B409&amp;"-01"),Observacion_Directa!$B$2:$B$1000,"&lt;="&amp;EOMONTH(DATEVALUE($B409&amp;"-01"),0)))-1)/4*100,"")</f>
        <v/>
      </c>
      <c r="Q409" t="str">
        <f>IF(H409="","",MIN(100,100*H409/Parametros!$B$4))</f>
        <v/>
      </c>
      <c r="R409" t="str">
        <f>IF(I409="","",IF(I409=0,100,MIN(100,100*Parametros!$B$5/I409)))</f>
        <v/>
      </c>
      <c r="S409" t="str">
        <f>IF(J409="","",IF(J409=0,100,MIN(100,100*Parametros!$B$6/J409)))</f>
        <v/>
      </c>
      <c r="T409" t="str">
        <f>IF(L409="","",MIN(100,100*L409/Parametros!$B$7))</f>
        <v/>
      </c>
      <c r="U409" t="str">
        <f>IF(K409="","",MIN(100,100*K409/Parametros!$B$8))</f>
        <v/>
      </c>
      <c r="V409" t="str">
        <f ca="1">IFERROR(((AVERAGEIFS(Documentacion!$C$2:$C$1000,Documentacion!$A$2:$A$1000,$A409,Documentacion!$B$2:$B$1000,"&gt;="&amp;DATEVALUE($B409&amp;"-01"),Documentacion!$B$2:$B$1000,"&lt;="&amp;EOMONTH(DATEVALUE($B409&amp;"-01"),0)))-1)/4*100,"")</f>
        <v/>
      </c>
      <c r="W409" t="str">
        <f ca="1">IFERROR(((AVERAGEIFS(Feedback_360!$D$2:$D$1000,Feedback_360!$A$2:$A$1000,$A409,Feedback_360!$B$2:$B$1000,"&gt;="&amp;DATEVALUE($B409&amp;"-01"),Feedback_360!$B$2:$B$1000,"&lt;="&amp;EOMONTH(DATEVALUE($B409&amp;"-01"),0)))-1)/4*100,"")</f>
        <v/>
      </c>
      <c r="X409" t="str">
        <f ca="1">IFERROR(((AVERAGEIFS(Observacion_Directa!$D$2:$D$1000,Observacion_Directa!$A$2:$A$1000,$A409,Observacion_Directa!$B$2:$B$1000,"&gt;="&amp;DATEVALUE($B409&amp;"-01"),Observacion_Directa!$B$2:$B$1000,"&lt;="&amp;EOMONTH(DATEVALUE($B409&amp;"-01"),0)))-1)/4*100,"")</f>
        <v/>
      </c>
      <c r="Y409" t="e">
        <f t="shared" ca="1" si="13"/>
        <v>#DIV/0!</v>
      </c>
    </row>
    <row r="410" spans="12:25" x14ac:dyDescent="0.2">
      <c r="L410" t="str">
        <f t="shared" si="12"/>
        <v/>
      </c>
      <c r="M410" t="str">
        <f>IFERROR(AVERAGEIFS(Prod_5dias!$H$2:$H$1000,Prod_5dias!$A$2:$A$1000,$A410,Prod_5dias!$B$2:$B$1000,$B410),"")</f>
        <v/>
      </c>
      <c r="N410" t="str">
        <f>IF(M410="","",MIN(100,100*M410/Parametros!$B$7))</f>
        <v/>
      </c>
      <c r="O410" t="str">
        <f>IF(F410="","",IF(F410=0,100,MIN(100,100*Parametros!$B$3/F410)))</f>
        <v/>
      </c>
      <c r="P410" t="str">
        <f ca="1">IFERROR(((AVERAGEIFS(Observacion_Directa!$E$2:$E$1000,Observacion_Directa!$A$2:$A$1000,$A410,Observacion_Directa!$B$2:$B$1000,"&gt;="&amp;DATEVALUE($B410&amp;"-01"),Observacion_Directa!$B$2:$B$1000,"&lt;="&amp;EOMONTH(DATEVALUE($B410&amp;"-01"),0)))-1)/4*100,"")</f>
        <v/>
      </c>
      <c r="Q410" t="str">
        <f>IF(H410="","",MIN(100,100*H410/Parametros!$B$4))</f>
        <v/>
      </c>
      <c r="R410" t="str">
        <f>IF(I410="","",IF(I410=0,100,MIN(100,100*Parametros!$B$5/I410)))</f>
        <v/>
      </c>
      <c r="S410" t="str">
        <f>IF(J410="","",IF(J410=0,100,MIN(100,100*Parametros!$B$6/J410)))</f>
        <v/>
      </c>
      <c r="T410" t="str">
        <f>IF(L410="","",MIN(100,100*L410/Parametros!$B$7))</f>
        <v/>
      </c>
      <c r="U410" t="str">
        <f>IF(K410="","",MIN(100,100*K410/Parametros!$B$8))</f>
        <v/>
      </c>
      <c r="V410" t="str">
        <f ca="1">IFERROR(((AVERAGEIFS(Documentacion!$C$2:$C$1000,Documentacion!$A$2:$A$1000,$A410,Documentacion!$B$2:$B$1000,"&gt;="&amp;DATEVALUE($B410&amp;"-01"),Documentacion!$B$2:$B$1000,"&lt;="&amp;EOMONTH(DATEVALUE($B410&amp;"-01"),0)))-1)/4*100,"")</f>
        <v/>
      </c>
      <c r="W410" t="str">
        <f ca="1">IFERROR(((AVERAGEIFS(Feedback_360!$D$2:$D$1000,Feedback_360!$A$2:$A$1000,$A410,Feedback_360!$B$2:$B$1000,"&gt;="&amp;DATEVALUE($B410&amp;"-01"),Feedback_360!$B$2:$B$1000,"&lt;="&amp;EOMONTH(DATEVALUE($B410&amp;"-01"),0)))-1)/4*100,"")</f>
        <v/>
      </c>
      <c r="X410" t="str">
        <f ca="1">IFERROR(((AVERAGEIFS(Observacion_Directa!$D$2:$D$1000,Observacion_Directa!$A$2:$A$1000,$A410,Observacion_Directa!$B$2:$B$1000,"&gt;="&amp;DATEVALUE($B410&amp;"-01"),Observacion_Directa!$B$2:$B$1000,"&lt;="&amp;EOMONTH(DATEVALUE($B410&amp;"-01"),0)))-1)/4*100,"")</f>
        <v/>
      </c>
      <c r="Y410" t="e">
        <f t="shared" ca="1" si="13"/>
        <v>#DIV/0!</v>
      </c>
    </row>
    <row r="411" spans="12:25" x14ac:dyDescent="0.2">
      <c r="L411" t="str">
        <f t="shared" si="12"/>
        <v/>
      </c>
      <c r="M411" t="str">
        <f>IFERROR(AVERAGEIFS(Prod_5dias!$H$2:$H$1000,Prod_5dias!$A$2:$A$1000,$A411,Prod_5dias!$B$2:$B$1000,$B411),"")</f>
        <v/>
      </c>
      <c r="N411" t="str">
        <f>IF(M411="","",MIN(100,100*M411/Parametros!$B$7))</f>
        <v/>
      </c>
      <c r="O411" t="str">
        <f>IF(F411="","",IF(F411=0,100,MIN(100,100*Parametros!$B$3/F411)))</f>
        <v/>
      </c>
      <c r="P411" t="str">
        <f ca="1">IFERROR(((AVERAGEIFS(Observacion_Directa!$E$2:$E$1000,Observacion_Directa!$A$2:$A$1000,$A411,Observacion_Directa!$B$2:$B$1000,"&gt;="&amp;DATEVALUE($B411&amp;"-01"),Observacion_Directa!$B$2:$B$1000,"&lt;="&amp;EOMONTH(DATEVALUE($B411&amp;"-01"),0)))-1)/4*100,"")</f>
        <v/>
      </c>
      <c r="Q411" t="str">
        <f>IF(H411="","",MIN(100,100*H411/Parametros!$B$4))</f>
        <v/>
      </c>
      <c r="R411" t="str">
        <f>IF(I411="","",IF(I411=0,100,MIN(100,100*Parametros!$B$5/I411)))</f>
        <v/>
      </c>
      <c r="S411" t="str">
        <f>IF(J411="","",IF(J411=0,100,MIN(100,100*Parametros!$B$6/J411)))</f>
        <v/>
      </c>
      <c r="T411" t="str">
        <f>IF(L411="","",MIN(100,100*L411/Parametros!$B$7))</f>
        <v/>
      </c>
      <c r="U411" t="str">
        <f>IF(K411="","",MIN(100,100*K411/Parametros!$B$8))</f>
        <v/>
      </c>
      <c r="V411" t="str">
        <f ca="1">IFERROR(((AVERAGEIFS(Documentacion!$C$2:$C$1000,Documentacion!$A$2:$A$1000,$A411,Documentacion!$B$2:$B$1000,"&gt;="&amp;DATEVALUE($B411&amp;"-01"),Documentacion!$B$2:$B$1000,"&lt;="&amp;EOMONTH(DATEVALUE($B411&amp;"-01"),0)))-1)/4*100,"")</f>
        <v/>
      </c>
      <c r="W411" t="str">
        <f ca="1">IFERROR(((AVERAGEIFS(Feedback_360!$D$2:$D$1000,Feedback_360!$A$2:$A$1000,$A411,Feedback_360!$B$2:$B$1000,"&gt;="&amp;DATEVALUE($B411&amp;"-01"),Feedback_360!$B$2:$B$1000,"&lt;="&amp;EOMONTH(DATEVALUE($B411&amp;"-01"),0)))-1)/4*100,"")</f>
        <v/>
      </c>
      <c r="X411" t="str">
        <f ca="1">IFERROR(((AVERAGEIFS(Observacion_Directa!$D$2:$D$1000,Observacion_Directa!$A$2:$A$1000,$A411,Observacion_Directa!$B$2:$B$1000,"&gt;="&amp;DATEVALUE($B411&amp;"-01"),Observacion_Directa!$B$2:$B$1000,"&lt;="&amp;EOMONTH(DATEVALUE($B411&amp;"-01"),0)))-1)/4*100,"")</f>
        <v/>
      </c>
      <c r="Y411" t="e">
        <f t="shared" ca="1" si="13"/>
        <v>#DIV/0!</v>
      </c>
    </row>
    <row r="412" spans="12:25" x14ac:dyDescent="0.2">
      <c r="L412" t="str">
        <f t="shared" si="12"/>
        <v/>
      </c>
      <c r="M412" t="str">
        <f>IFERROR(AVERAGEIFS(Prod_5dias!$H$2:$H$1000,Prod_5dias!$A$2:$A$1000,$A412,Prod_5dias!$B$2:$B$1000,$B412),"")</f>
        <v/>
      </c>
      <c r="N412" t="str">
        <f>IF(M412="","",MIN(100,100*M412/Parametros!$B$7))</f>
        <v/>
      </c>
      <c r="O412" t="str">
        <f>IF(F412="","",IF(F412=0,100,MIN(100,100*Parametros!$B$3/F412)))</f>
        <v/>
      </c>
      <c r="P412" t="str">
        <f ca="1">IFERROR(((AVERAGEIFS(Observacion_Directa!$E$2:$E$1000,Observacion_Directa!$A$2:$A$1000,$A412,Observacion_Directa!$B$2:$B$1000,"&gt;="&amp;DATEVALUE($B412&amp;"-01"),Observacion_Directa!$B$2:$B$1000,"&lt;="&amp;EOMONTH(DATEVALUE($B412&amp;"-01"),0)))-1)/4*100,"")</f>
        <v/>
      </c>
      <c r="Q412" t="str">
        <f>IF(H412="","",MIN(100,100*H412/Parametros!$B$4))</f>
        <v/>
      </c>
      <c r="R412" t="str">
        <f>IF(I412="","",IF(I412=0,100,MIN(100,100*Parametros!$B$5/I412)))</f>
        <v/>
      </c>
      <c r="S412" t="str">
        <f>IF(J412="","",IF(J412=0,100,MIN(100,100*Parametros!$B$6/J412)))</f>
        <v/>
      </c>
      <c r="T412" t="str">
        <f>IF(L412="","",MIN(100,100*L412/Parametros!$B$7))</f>
        <v/>
      </c>
      <c r="U412" t="str">
        <f>IF(K412="","",MIN(100,100*K412/Parametros!$B$8))</f>
        <v/>
      </c>
      <c r="V412" t="str">
        <f ca="1">IFERROR(((AVERAGEIFS(Documentacion!$C$2:$C$1000,Documentacion!$A$2:$A$1000,$A412,Documentacion!$B$2:$B$1000,"&gt;="&amp;DATEVALUE($B412&amp;"-01"),Documentacion!$B$2:$B$1000,"&lt;="&amp;EOMONTH(DATEVALUE($B412&amp;"-01"),0)))-1)/4*100,"")</f>
        <v/>
      </c>
      <c r="W412" t="str">
        <f ca="1">IFERROR(((AVERAGEIFS(Feedback_360!$D$2:$D$1000,Feedback_360!$A$2:$A$1000,$A412,Feedback_360!$B$2:$B$1000,"&gt;="&amp;DATEVALUE($B412&amp;"-01"),Feedback_360!$B$2:$B$1000,"&lt;="&amp;EOMONTH(DATEVALUE($B412&amp;"-01"),0)))-1)/4*100,"")</f>
        <v/>
      </c>
      <c r="X412" t="str">
        <f ca="1">IFERROR(((AVERAGEIFS(Observacion_Directa!$D$2:$D$1000,Observacion_Directa!$A$2:$A$1000,$A412,Observacion_Directa!$B$2:$B$1000,"&gt;="&amp;DATEVALUE($B412&amp;"-01"),Observacion_Directa!$B$2:$B$1000,"&lt;="&amp;EOMONTH(DATEVALUE($B412&amp;"-01"),0)))-1)/4*100,"")</f>
        <v/>
      </c>
      <c r="Y412" t="e">
        <f t="shared" ca="1" si="13"/>
        <v>#DIV/0!</v>
      </c>
    </row>
    <row r="413" spans="12:25" x14ac:dyDescent="0.2">
      <c r="L413" t="str">
        <f t="shared" si="12"/>
        <v/>
      </c>
      <c r="M413" t="str">
        <f>IFERROR(AVERAGEIFS(Prod_5dias!$H$2:$H$1000,Prod_5dias!$A$2:$A$1000,$A413,Prod_5dias!$B$2:$B$1000,$B413),"")</f>
        <v/>
      </c>
      <c r="N413" t="str">
        <f>IF(M413="","",MIN(100,100*M413/Parametros!$B$7))</f>
        <v/>
      </c>
      <c r="O413" t="str">
        <f>IF(F413="","",IF(F413=0,100,MIN(100,100*Parametros!$B$3/F413)))</f>
        <v/>
      </c>
      <c r="P413" t="str">
        <f ca="1">IFERROR(((AVERAGEIFS(Observacion_Directa!$E$2:$E$1000,Observacion_Directa!$A$2:$A$1000,$A413,Observacion_Directa!$B$2:$B$1000,"&gt;="&amp;DATEVALUE($B413&amp;"-01"),Observacion_Directa!$B$2:$B$1000,"&lt;="&amp;EOMONTH(DATEVALUE($B413&amp;"-01"),0)))-1)/4*100,"")</f>
        <v/>
      </c>
      <c r="Q413" t="str">
        <f>IF(H413="","",MIN(100,100*H413/Parametros!$B$4))</f>
        <v/>
      </c>
      <c r="R413" t="str">
        <f>IF(I413="","",IF(I413=0,100,MIN(100,100*Parametros!$B$5/I413)))</f>
        <v/>
      </c>
      <c r="S413" t="str">
        <f>IF(J413="","",IF(J413=0,100,MIN(100,100*Parametros!$B$6/J413)))</f>
        <v/>
      </c>
      <c r="T413" t="str">
        <f>IF(L413="","",MIN(100,100*L413/Parametros!$B$7))</f>
        <v/>
      </c>
      <c r="U413" t="str">
        <f>IF(K413="","",MIN(100,100*K413/Parametros!$B$8))</f>
        <v/>
      </c>
      <c r="V413" t="str">
        <f ca="1">IFERROR(((AVERAGEIFS(Documentacion!$C$2:$C$1000,Documentacion!$A$2:$A$1000,$A413,Documentacion!$B$2:$B$1000,"&gt;="&amp;DATEVALUE($B413&amp;"-01"),Documentacion!$B$2:$B$1000,"&lt;="&amp;EOMONTH(DATEVALUE($B413&amp;"-01"),0)))-1)/4*100,"")</f>
        <v/>
      </c>
      <c r="W413" t="str">
        <f ca="1">IFERROR(((AVERAGEIFS(Feedback_360!$D$2:$D$1000,Feedback_360!$A$2:$A$1000,$A413,Feedback_360!$B$2:$B$1000,"&gt;="&amp;DATEVALUE($B413&amp;"-01"),Feedback_360!$B$2:$B$1000,"&lt;="&amp;EOMONTH(DATEVALUE($B413&amp;"-01"),0)))-1)/4*100,"")</f>
        <v/>
      </c>
      <c r="X413" t="str">
        <f ca="1">IFERROR(((AVERAGEIFS(Observacion_Directa!$D$2:$D$1000,Observacion_Directa!$A$2:$A$1000,$A413,Observacion_Directa!$B$2:$B$1000,"&gt;="&amp;DATEVALUE($B413&amp;"-01"),Observacion_Directa!$B$2:$B$1000,"&lt;="&amp;EOMONTH(DATEVALUE($B413&amp;"-01"),0)))-1)/4*100,"")</f>
        <v/>
      </c>
      <c r="Y413" t="e">
        <f t="shared" ca="1" si="13"/>
        <v>#DIV/0!</v>
      </c>
    </row>
    <row r="414" spans="12:25" x14ac:dyDescent="0.2">
      <c r="L414" t="str">
        <f t="shared" si="12"/>
        <v/>
      </c>
      <c r="M414" t="str">
        <f>IFERROR(AVERAGEIFS(Prod_5dias!$H$2:$H$1000,Prod_5dias!$A$2:$A$1000,$A414,Prod_5dias!$B$2:$B$1000,$B414),"")</f>
        <v/>
      </c>
      <c r="N414" t="str">
        <f>IF(M414="","",MIN(100,100*M414/Parametros!$B$7))</f>
        <v/>
      </c>
      <c r="O414" t="str">
        <f>IF(F414="","",IF(F414=0,100,MIN(100,100*Parametros!$B$3/F414)))</f>
        <v/>
      </c>
      <c r="P414" t="str">
        <f ca="1">IFERROR(((AVERAGEIFS(Observacion_Directa!$E$2:$E$1000,Observacion_Directa!$A$2:$A$1000,$A414,Observacion_Directa!$B$2:$B$1000,"&gt;="&amp;DATEVALUE($B414&amp;"-01"),Observacion_Directa!$B$2:$B$1000,"&lt;="&amp;EOMONTH(DATEVALUE($B414&amp;"-01"),0)))-1)/4*100,"")</f>
        <v/>
      </c>
      <c r="Q414" t="str">
        <f>IF(H414="","",MIN(100,100*H414/Parametros!$B$4))</f>
        <v/>
      </c>
      <c r="R414" t="str">
        <f>IF(I414="","",IF(I414=0,100,MIN(100,100*Parametros!$B$5/I414)))</f>
        <v/>
      </c>
      <c r="S414" t="str">
        <f>IF(J414="","",IF(J414=0,100,MIN(100,100*Parametros!$B$6/J414)))</f>
        <v/>
      </c>
      <c r="T414" t="str">
        <f>IF(L414="","",MIN(100,100*L414/Parametros!$B$7))</f>
        <v/>
      </c>
      <c r="U414" t="str">
        <f>IF(K414="","",MIN(100,100*K414/Parametros!$B$8))</f>
        <v/>
      </c>
      <c r="V414" t="str">
        <f ca="1">IFERROR(((AVERAGEIFS(Documentacion!$C$2:$C$1000,Documentacion!$A$2:$A$1000,$A414,Documentacion!$B$2:$B$1000,"&gt;="&amp;DATEVALUE($B414&amp;"-01"),Documentacion!$B$2:$B$1000,"&lt;="&amp;EOMONTH(DATEVALUE($B414&amp;"-01"),0)))-1)/4*100,"")</f>
        <v/>
      </c>
      <c r="W414" t="str">
        <f ca="1">IFERROR(((AVERAGEIFS(Feedback_360!$D$2:$D$1000,Feedback_360!$A$2:$A$1000,$A414,Feedback_360!$B$2:$B$1000,"&gt;="&amp;DATEVALUE($B414&amp;"-01"),Feedback_360!$B$2:$B$1000,"&lt;="&amp;EOMONTH(DATEVALUE($B414&amp;"-01"),0)))-1)/4*100,"")</f>
        <v/>
      </c>
      <c r="X414" t="str">
        <f ca="1">IFERROR(((AVERAGEIFS(Observacion_Directa!$D$2:$D$1000,Observacion_Directa!$A$2:$A$1000,$A414,Observacion_Directa!$B$2:$B$1000,"&gt;="&amp;DATEVALUE($B414&amp;"-01"),Observacion_Directa!$B$2:$B$1000,"&lt;="&amp;EOMONTH(DATEVALUE($B414&amp;"-01"),0)))-1)/4*100,"")</f>
        <v/>
      </c>
      <c r="Y414" t="e">
        <f t="shared" ca="1" si="13"/>
        <v>#DIV/0!</v>
      </c>
    </row>
    <row r="415" spans="12:25" x14ac:dyDescent="0.2">
      <c r="L415" t="str">
        <f t="shared" si="12"/>
        <v/>
      </c>
      <c r="M415" t="str">
        <f>IFERROR(AVERAGEIFS(Prod_5dias!$H$2:$H$1000,Prod_5dias!$A$2:$A$1000,$A415,Prod_5dias!$B$2:$B$1000,$B415),"")</f>
        <v/>
      </c>
      <c r="N415" t="str">
        <f>IF(M415="","",MIN(100,100*M415/Parametros!$B$7))</f>
        <v/>
      </c>
      <c r="O415" t="str">
        <f>IF(F415="","",IF(F415=0,100,MIN(100,100*Parametros!$B$3/F415)))</f>
        <v/>
      </c>
      <c r="P415" t="str">
        <f ca="1">IFERROR(((AVERAGEIFS(Observacion_Directa!$E$2:$E$1000,Observacion_Directa!$A$2:$A$1000,$A415,Observacion_Directa!$B$2:$B$1000,"&gt;="&amp;DATEVALUE($B415&amp;"-01"),Observacion_Directa!$B$2:$B$1000,"&lt;="&amp;EOMONTH(DATEVALUE($B415&amp;"-01"),0)))-1)/4*100,"")</f>
        <v/>
      </c>
      <c r="Q415" t="str">
        <f>IF(H415="","",MIN(100,100*H415/Parametros!$B$4))</f>
        <v/>
      </c>
      <c r="R415" t="str">
        <f>IF(I415="","",IF(I415=0,100,MIN(100,100*Parametros!$B$5/I415)))</f>
        <v/>
      </c>
      <c r="S415" t="str">
        <f>IF(J415="","",IF(J415=0,100,MIN(100,100*Parametros!$B$6/J415)))</f>
        <v/>
      </c>
      <c r="T415" t="str">
        <f>IF(L415="","",MIN(100,100*L415/Parametros!$B$7))</f>
        <v/>
      </c>
      <c r="U415" t="str">
        <f>IF(K415="","",MIN(100,100*K415/Parametros!$B$8))</f>
        <v/>
      </c>
      <c r="V415" t="str">
        <f ca="1">IFERROR(((AVERAGEIFS(Documentacion!$C$2:$C$1000,Documentacion!$A$2:$A$1000,$A415,Documentacion!$B$2:$B$1000,"&gt;="&amp;DATEVALUE($B415&amp;"-01"),Documentacion!$B$2:$B$1000,"&lt;="&amp;EOMONTH(DATEVALUE($B415&amp;"-01"),0)))-1)/4*100,"")</f>
        <v/>
      </c>
      <c r="W415" t="str">
        <f ca="1">IFERROR(((AVERAGEIFS(Feedback_360!$D$2:$D$1000,Feedback_360!$A$2:$A$1000,$A415,Feedback_360!$B$2:$B$1000,"&gt;="&amp;DATEVALUE($B415&amp;"-01"),Feedback_360!$B$2:$B$1000,"&lt;="&amp;EOMONTH(DATEVALUE($B415&amp;"-01"),0)))-1)/4*100,"")</f>
        <v/>
      </c>
      <c r="X415" t="str">
        <f ca="1">IFERROR(((AVERAGEIFS(Observacion_Directa!$D$2:$D$1000,Observacion_Directa!$A$2:$A$1000,$A415,Observacion_Directa!$B$2:$B$1000,"&gt;="&amp;DATEVALUE($B415&amp;"-01"),Observacion_Directa!$B$2:$B$1000,"&lt;="&amp;EOMONTH(DATEVALUE($B415&amp;"-01"),0)))-1)/4*100,"")</f>
        <v/>
      </c>
      <c r="Y415" t="e">
        <f t="shared" ca="1" si="13"/>
        <v>#DIV/0!</v>
      </c>
    </row>
    <row r="416" spans="12:25" x14ac:dyDescent="0.2">
      <c r="L416" t="str">
        <f t="shared" si="12"/>
        <v/>
      </c>
      <c r="M416" t="str">
        <f>IFERROR(AVERAGEIFS(Prod_5dias!$H$2:$H$1000,Prod_5dias!$A$2:$A$1000,$A416,Prod_5dias!$B$2:$B$1000,$B416),"")</f>
        <v/>
      </c>
      <c r="N416" t="str">
        <f>IF(M416="","",MIN(100,100*M416/Parametros!$B$7))</f>
        <v/>
      </c>
      <c r="O416" t="str">
        <f>IF(F416="","",IF(F416=0,100,MIN(100,100*Parametros!$B$3/F416)))</f>
        <v/>
      </c>
      <c r="P416" t="str">
        <f ca="1">IFERROR(((AVERAGEIFS(Observacion_Directa!$E$2:$E$1000,Observacion_Directa!$A$2:$A$1000,$A416,Observacion_Directa!$B$2:$B$1000,"&gt;="&amp;DATEVALUE($B416&amp;"-01"),Observacion_Directa!$B$2:$B$1000,"&lt;="&amp;EOMONTH(DATEVALUE($B416&amp;"-01"),0)))-1)/4*100,"")</f>
        <v/>
      </c>
      <c r="Q416" t="str">
        <f>IF(H416="","",MIN(100,100*H416/Parametros!$B$4))</f>
        <v/>
      </c>
      <c r="R416" t="str">
        <f>IF(I416="","",IF(I416=0,100,MIN(100,100*Parametros!$B$5/I416)))</f>
        <v/>
      </c>
      <c r="S416" t="str">
        <f>IF(J416="","",IF(J416=0,100,MIN(100,100*Parametros!$B$6/J416)))</f>
        <v/>
      </c>
      <c r="T416" t="str">
        <f>IF(L416="","",MIN(100,100*L416/Parametros!$B$7))</f>
        <v/>
      </c>
      <c r="U416" t="str">
        <f>IF(K416="","",MIN(100,100*K416/Parametros!$B$8))</f>
        <v/>
      </c>
      <c r="V416" t="str">
        <f ca="1">IFERROR(((AVERAGEIFS(Documentacion!$C$2:$C$1000,Documentacion!$A$2:$A$1000,$A416,Documentacion!$B$2:$B$1000,"&gt;="&amp;DATEVALUE($B416&amp;"-01"),Documentacion!$B$2:$B$1000,"&lt;="&amp;EOMONTH(DATEVALUE($B416&amp;"-01"),0)))-1)/4*100,"")</f>
        <v/>
      </c>
      <c r="W416" t="str">
        <f ca="1">IFERROR(((AVERAGEIFS(Feedback_360!$D$2:$D$1000,Feedback_360!$A$2:$A$1000,$A416,Feedback_360!$B$2:$B$1000,"&gt;="&amp;DATEVALUE($B416&amp;"-01"),Feedback_360!$B$2:$B$1000,"&lt;="&amp;EOMONTH(DATEVALUE($B416&amp;"-01"),0)))-1)/4*100,"")</f>
        <v/>
      </c>
      <c r="X416" t="str">
        <f ca="1">IFERROR(((AVERAGEIFS(Observacion_Directa!$D$2:$D$1000,Observacion_Directa!$A$2:$A$1000,$A416,Observacion_Directa!$B$2:$B$1000,"&gt;="&amp;DATEVALUE($B416&amp;"-01"),Observacion_Directa!$B$2:$B$1000,"&lt;="&amp;EOMONTH(DATEVALUE($B416&amp;"-01"),0)))-1)/4*100,"")</f>
        <v/>
      </c>
      <c r="Y416" t="e">
        <f t="shared" ca="1" si="13"/>
        <v>#DIV/0!</v>
      </c>
    </row>
    <row r="417" spans="12:25" x14ac:dyDescent="0.2">
      <c r="L417" t="str">
        <f t="shared" si="12"/>
        <v/>
      </c>
      <c r="M417" t="str">
        <f>IFERROR(AVERAGEIFS(Prod_5dias!$H$2:$H$1000,Prod_5dias!$A$2:$A$1000,$A417,Prod_5dias!$B$2:$B$1000,$B417),"")</f>
        <v/>
      </c>
      <c r="N417" t="str">
        <f>IF(M417="","",MIN(100,100*M417/Parametros!$B$7))</f>
        <v/>
      </c>
      <c r="O417" t="str">
        <f>IF(F417="","",IF(F417=0,100,MIN(100,100*Parametros!$B$3/F417)))</f>
        <v/>
      </c>
      <c r="P417" t="str">
        <f ca="1">IFERROR(((AVERAGEIFS(Observacion_Directa!$E$2:$E$1000,Observacion_Directa!$A$2:$A$1000,$A417,Observacion_Directa!$B$2:$B$1000,"&gt;="&amp;DATEVALUE($B417&amp;"-01"),Observacion_Directa!$B$2:$B$1000,"&lt;="&amp;EOMONTH(DATEVALUE($B417&amp;"-01"),0)))-1)/4*100,"")</f>
        <v/>
      </c>
      <c r="Q417" t="str">
        <f>IF(H417="","",MIN(100,100*H417/Parametros!$B$4))</f>
        <v/>
      </c>
      <c r="R417" t="str">
        <f>IF(I417="","",IF(I417=0,100,MIN(100,100*Parametros!$B$5/I417)))</f>
        <v/>
      </c>
      <c r="S417" t="str">
        <f>IF(J417="","",IF(J417=0,100,MIN(100,100*Parametros!$B$6/J417)))</f>
        <v/>
      </c>
      <c r="T417" t="str">
        <f>IF(L417="","",MIN(100,100*L417/Parametros!$B$7))</f>
        <v/>
      </c>
      <c r="U417" t="str">
        <f>IF(K417="","",MIN(100,100*K417/Parametros!$B$8))</f>
        <v/>
      </c>
      <c r="V417" t="str">
        <f ca="1">IFERROR(((AVERAGEIFS(Documentacion!$C$2:$C$1000,Documentacion!$A$2:$A$1000,$A417,Documentacion!$B$2:$B$1000,"&gt;="&amp;DATEVALUE($B417&amp;"-01"),Documentacion!$B$2:$B$1000,"&lt;="&amp;EOMONTH(DATEVALUE($B417&amp;"-01"),0)))-1)/4*100,"")</f>
        <v/>
      </c>
      <c r="W417" t="str">
        <f ca="1">IFERROR(((AVERAGEIFS(Feedback_360!$D$2:$D$1000,Feedback_360!$A$2:$A$1000,$A417,Feedback_360!$B$2:$B$1000,"&gt;="&amp;DATEVALUE($B417&amp;"-01"),Feedback_360!$B$2:$B$1000,"&lt;="&amp;EOMONTH(DATEVALUE($B417&amp;"-01"),0)))-1)/4*100,"")</f>
        <v/>
      </c>
      <c r="X417" t="str">
        <f ca="1">IFERROR(((AVERAGEIFS(Observacion_Directa!$D$2:$D$1000,Observacion_Directa!$A$2:$A$1000,$A417,Observacion_Directa!$B$2:$B$1000,"&gt;="&amp;DATEVALUE($B417&amp;"-01"),Observacion_Directa!$B$2:$B$1000,"&lt;="&amp;EOMONTH(DATEVALUE($B417&amp;"-01"),0)))-1)/4*100,"")</f>
        <v/>
      </c>
      <c r="Y417" t="e">
        <f t="shared" ca="1" si="13"/>
        <v>#DIV/0!</v>
      </c>
    </row>
    <row r="418" spans="12:25" x14ac:dyDescent="0.2">
      <c r="L418" t="str">
        <f t="shared" si="12"/>
        <v/>
      </c>
      <c r="M418" t="str">
        <f>IFERROR(AVERAGEIFS(Prod_5dias!$H$2:$H$1000,Prod_5dias!$A$2:$A$1000,$A418,Prod_5dias!$B$2:$B$1000,$B418),"")</f>
        <v/>
      </c>
      <c r="N418" t="str">
        <f>IF(M418="","",MIN(100,100*M418/Parametros!$B$7))</f>
        <v/>
      </c>
      <c r="O418" t="str">
        <f>IF(F418="","",IF(F418=0,100,MIN(100,100*Parametros!$B$3/F418)))</f>
        <v/>
      </c>
      <c r="P418" t="str">
        <f ca="1">IFERROR(((AVERAGEIFS(Observacion_Directa!$E$2:$E$1000,Observacion_Directa!$A$2:$A$1000,$A418,Observacion_Directa!$B$2:$B$1000,"&gt;="&amp;DATEVALUE($B418&amp;"-01"),Observacion_Directa!$B$2:$B$1000,"&lt;="&amp;EOMONTH(DATEVALUE($B418&amp;"-01"),0)))-1)/4*100,"")</f>
        <v/>
      </c>
      <c r="Q418" t="str">
        <f>IF(H418="","",MIN(100,100*H418/Parametros!$B$4))</f>
        <v/>
      </c>
      <c r="R418" t="str">
        <f>IF(I418="","",IF(I418=0,100,MIN(100,100*Parametros!$B$5/I418)))</f>
        <v/>
      </c>
      <c r="S418" t="str">
        <f>IF(J418="","",IF(J418=0,100,MIN(100,100*Parametros!$B$6/J418)))</f>
        <v/>
      </c>
      <c r="T418" t="str">
        <f>IF(L418="","",MIN(100,100*L418/Parametros!$B$7))</f>
        <v/>
      </c>
      <c r="U418" t="str">
        <f>IF(K418="","",MIN(100,100*K418/Parametros!$B$8))</f>
        <v/>
      </c>
      <c r="V418" t="str">
        <f ca="1">IFERROR(((AVERAGEIFS(Documentacion!$C$2:$C$1000,Documentacion!$A$2:$A$1000,$A418,Documentacion!$B$2:$B$1000,"&gt;="&amp;DATEVALUE($B418&amp;"-01"),Documentacion!$B$2:$B$1000,"&lt;="&amp;EOMONTH(DATEVALUE($B418&amp;"-01"),0)))-1)/4*100,"")</f>
        <v/>
      </c>
      <c r="W418" t="str">
        <f ca="1">IFERROR(((AVERAGEIFS(Feedback_360!$D$2:$D$1000,Feedback_360!$A$2:$A$1000,$A418,Feedback_360!$B$2:$B$1000,"&gt;="&amp;DATEVALUE($B418&amp;"-01"),Feedback_360!$B$2:$B$1000,"&lt;="&amp;EOMONTH(DATEVALUE($B418&amp;"-01"),0)))-1)/4*100,"")</f>
        <v/>
      </c>
      <c r="X418" t="str">
        <f ca="1">IFERROR(((AVERAGEIFS(Observacion_Directa!$D$2:$D$1000,Observacion_Directa!$A$2:$A$1000,$A418,Observacion_Directa!$B$2:$B$1000,"&gt;="&amp;DATEVALUE($B418&amp;"-01"),Observacion_Directa!$B$2:$B$1000,"&lt;="&amp;EOMONTH(DATEVALUE($B418&amp;"-01"),0)))-1)/4*100,"")</f>
        <v/>
      </c>
      <c r="Y418" t="e">
        <f t="shared" ca="1" si="13"/>
        <v>#DIV/0!</v>
      </c>
    </row>
    <row r="419" spans="12:25" x14ac:dyDescent="0.2">
      <c r="L419" t="str">
        <f t="shared" si="12"/>
        <v/>
      </c>
      <c r="M419" t="str">
        <f>IFERROR(AVERAGEIFS(Prod_5dias!$H$2:$H$1000,Prod_5dias!$A$2:$A$1000,$A419,Prod_5dias!$B$2:$B$1000,$B419),"")</f>
        <v/>
      </c>
      <c r="N419" t="str">
        <f>IF(M419="","",MIN(100,100*M419/Parametros!$B$7))</f>
        <v/>
      </c>
      <c r="O419" t="str">
        <f>IF(F419="","",IF(F419=0,100,MIN(100,100*Parametros!$B$3/F419)))</f>
        <v/>
      </c>
      <c r="P419" t="str">
        <f ca="1">IFERROR(((AVERAGEIFS(Observacion_Directa!$E$2:$E$1000,Observacion_Directa!$A$2:$A$1000,$A419,Observacion_Directa!$B$2:$B$1000,"&gt;="&amp;DATEVALUE($B419&amp;"-01"),Observacion_Directa!$B$2:$B$1000,"&lt;="&amp;EOMONTH(DATEVALUE($B419&amp;"-01"),0)))-1)/4*100,"")</f>
        <v/>
      </c>
      <c r="Q419" t="str">
        <f>IF(H419="","",MIN(100,100*H419/Parametros!$B$4))</f>
        <v/>
      </c>
      <c r="R419" t="str">
        <f>IF(I419="","",IF(I419=0,100,MIN(100,100*Parametros!$B$5/I419)))</f>
        <v/>
      </c>
      <c r="S419" t="str">
        <f>IF(J419="","",IF(J419=0,100,MIN(100,100*Parametros!$B$6/J419)))</f>
        <v/>
      </c>
      <c r="T419" t="str">
        <f>IF(L419="","",MIN(100,100*L419/Parametros!$B$7))</f>
        <v/>
      </c>
      <c r="U419" t="str">
        <f>IF(K419="","",MIN(100,100*K419/Parametros!$B$8))</f>
        <v/>
      </c>
      <c r="V419" t="str">
        <f ca="1">IFERROR(((AVERAGEIFS(Documentacion!$C$2:$C$1000,Documentacion!$A$2:$A$1000,$A419,Documentacion!$B$2:$B$1000,"&gt;="&amp;DATEVALUE($B419&amp;"-01"),Documentacion!$B$2:$B$1000,"&lt;="&amp;EOMONTH(DATEVALUE($B419&amp;"-01"),0)))-1)/4*100,"")</f>
        <v/>
      </c>
      <c r="W419" t="str">
        <f ca="1">IFERROR(((AVERAGEIFS(Feedback_360!$D$2:$D$1000,Feedback_360!$A$2:$A$1000,$A419,Feedback_360!$B$2:$B$1000,"&gt;="&amp;DATEVALUE($B419&amp;"-01"),Feedback_360!$B$2:$B$1000,"&lt;="&amp;EOMONTH(DATEVALUE($B419&amp;"-01"),0)))-1)/4*100,"")</f>
        <v/>
      </c>
      <c r="X419" t="str">
        <f ca="1">IFERROR(((AVERAGEIFS(Observacion_Directa!$D$2:$D$1000,Observacion_Directa!$A$2:$A$1000,$A419,Observacion_Directa!$B$2:$B$1000,"&gt;="&amp;DATEVALUE($B419&amp;"-01"),Observacion_Directa!$B$2:$B$1000,"&lt;="&amp;EOMONTH(DATEVALUE($B419&amp;"-01"),0)))-1)/4*100,"")</f>
        <v/>
      </c>
      <c r="Y419" t="e">
        <f t="shared" ca="1" si="13"/>
        <v>#DIV/0!</v>
      </c>
    </row>
    <row r="420" spans="12:25" x14ac:dyDescent="0.2">
      <c r="L420" t="str">
        <f t="shared" si="12"/>
        <v/>
      </c>
      <c r="M420" t="str">
        <f>IFERROR(AVERAGEIFS(Prod_5dias!$H$2:$H$1000,Prod_5dias!$A$2:$A$1000,$A420,Prod_5dias!$B$2:$B$1000,$B420),"")</f>
        <v/>
      </c>
      <c r="N420" t="str">
        <f>IF(M420="","",MIN(100,100*M420/Parametros!$B$7))</f>
        <v/>
      </c>
      <c r="O420" t="str">
        <f>IF(F420="","",IF(F420=0,100,MIN(100,100*Parametros!$B$3/F420)))</f>
        <v/>
      </c>
      <c r="P420" t="str">
        <f ca="1">IFERROR(((AVERAGEIFS(Observacion_Directa!$E$2:$E$1000,Observacion_Directa!$A$2:$A$1000,$A420,Observacion_Directa!$B$2:$B$1000,"&gt;="&amp;DATEVALUE($B420&amp;"-01"),Observacion_Directa!$B$2:$B$1000,"&lt;="&amp;EOMONTH(DATEVALUE($B420&amp;"-01"),0)))-1)/4*100,"")</f>
        <v/>
      </c>
      <c r="Q420" t="str">
        <f>IF(H420="","",MIN(100,100*H420/Parametros!$B$4))</f>
        <v/>
      </c>
      <c r="R420" t="str">
        <f>IF(I420="","",IF(I420=0,100,MIN(100,100*Parametros!$B$5/I420)))</f>
        <v/>
      </c>
      <c r="S420" t="str">
        <f>IF(J420="","",IF(J420=0,100,MIN(100,100*Parametros!$B$6/J420)))</f>
        <v/>
      </c>
      <c r="T420" t="str">
        <f>IF(L420="","",MIN(100,100*L420/Parametros!$B$7))</f>
        <v/>
      </c>
      <c r="U420" t="str">
        <f>IF(K420="","",MIN(100,100*K420/Parametros!$B$8))</f>
        <v/>
      </c>
      <c r="V420" t="str">
        <f ca="1">IFERROR(((AVERAGEIFS(Documentacion!$C$2:$C$1000,Documentacion!$A$2:$A$1000,$A420,Documentacion!$B$2:$B$1000,"&gt;="&amp;DATEVALUE($B420&amp;"-01"),Documentacion!$B$2:$B$1000,"&lt;="&amp;EOMONTH(DATEVALUE($B420&amp;"-01"),0)))-1)/4*100,"")</f>
        <v/>
      </c>
      <c r="W420" t="str">
        <f ca="1">IFERROR(((AVERAGEIFS(Feedback_360!$D$2:$D$1000,Feedback_360!$A$2:$A$1000,$A420,Feedback_360!$B$2:$B$1000,"&gt;="&amp;DATEVALUE($B420&amp;"-01"),Feedback_360!$B$2:$B$1000,"&lt;="&amp;EOMONTH(DATEVALUE($B420&amp;"-01"),0)))-1)/4*100,"")</f>
        <v/>
      </c>
      <c r="X420" t="str">
        <f ca="1">IFERROR(((AVERAGEIFS(Observacion_Directa!$D$2:$D$1000,Observacion_Directa!$A$2:$A$1000,$A420,Observacion_Directa!$B$2:$B$1000,"&gt;="&amp;DATEVALUE($B420&amp;"-01"),Observacion_Directa!$B$2:$B$1000,"&lt;="&amp;EOMONTH(DATEVALUE($B420&amp;"-01"),0)))-1)/4*100,"")</f>
        <v/>
      </c>
      <c r="Y420" t="e">
        <f t="shared" ca="1" si="13"/>
        <v>#DIV/0!</v>
      </c>
    </row>
    <row r="421" spans="12:25" x14ac:dyDescent="0.2">
      <c r="L421" t="str">
        <f t="shared" si="12"/>
        <v/>
      </c>
      <c r="M421" t="str">
        <f>IFERROR(AVERAGEIFS(Prod_5dias!$H$2:$H$1000,Prod_5dias!$A$2:$A$1000,$A421,Prod_5dias!$B$2:$B$1000,$B421),"")</f>
        <v/>
      </c>
      <c r="N421" t="str">
        <f>IF(M421="","",MIN(100,100*M421/Parametros!$B$7))</f>
        <v/>
      </c>
      <c r="O421" t="str">
        <f>IF(F421="","",IF(F421=0,100,MIN(100,100*Parametros!$B$3/F421)))</f>
        <v/>
      </c>
      <c r="P421" t="str">
        <f ca="1">IFERROR(((AVERAGEIFS(Observacion_Directa!$E$2:$E$1000,Observacion_Directa!$A$2:$A$1000,$A421,Observacion_Directa!$B$2:$B$1000,"&gt;="&amp;DATEVALUE($B421&amp;"-01"),Observacion_Directa!$B$2:$B$1000,"&lt;="&amp;EOMONTH(DATEVALUE($B421&amp;"-01"),0)))-1)/4*100,"")</f>
        <v/>
      </c>
      <c r="Q421" t="str">
        <f>IF(H421="","",MIN(100,100*H421/Parametros!$B$4))</f>
        <v/>
      </c>
      <c r="R421" t="str">
        <f>IF(I421="","",IF(I421=0,100,MIN(100,100*Parametros!$B$5/I421)))</f>
        <v/>
      </c>
      <c r="S421" t="str">
        <f>IF(J421="","",IF(J421=0,100,MIN(100,100*Parametros!$B$6/J421)))</f>
        <v/>
      </c>
      <c r="T421" t="str">
        <f>IF(L421="","",MIN(100,100*L421/Parametros!$B$7))</f>
        <v/>
      </c>
      <c r="U421" t="str">
        <f>IF(K421="","",MIN(100,100*K421/Parametros!$B$8))</f>
        <v/>
      </c>
      <c r="V421" t="str">
        <f ca="1">IFERROR(((AVERAGEIFS(Documentacion!$C$2:$C$1000,Documentacion!$A$2:$A$1000,$A421,Documentacion!$B$2:$B$1000,"&gt;="&amp;DATEVALUE($B421&amp;"-01"),Documentacion!$B$2:$B$1000,"&lt;="&amp;EOMONTH(DATEVALUE($B421&amp;"-01"),0)))-1)/4*100,"")</f>
        <v/>
      </c>
      <c r="W421" t="str">
        <f ca="1">IFERROR(((AVERAGEIFS(Feedback_360!$D$2:$D$1000,Feedback_360!$A$2:$A$1000,$A421,Feedback_360!$B$2:$B$1000,"&gt;="&amp;DATEVALUE($B421&amp;"-01"),Feedback_360!$B$2:$B$1000,"&lt;="&amp;EOMONTH(DATEVALUE($B421&amp;"-01"),0)))-1)/4*100,"")</f>
        <v/>
      </c>
      <c r="X421" t="str">
        <f ca="1">IFERROR(((AVERAGEIFS(Observacion_Directa!$D$2:$D$1000,Observacion_Directa!$A$2:$A$1000,$A421,Observacion_Directa!$B$2:$B$1000,"&gt;="&amp;DATEVALUE($B421&amp;"-01"),Observacion_Directa!$B$2:$B$1000,"&lt;="&amp;EOMONTH(DATEVALUE($B421&amp;"-01"),0)))-1)/4*100,"")</f>
        <v/>
      </c>
      <c r="Y421" t="e">
        <f t="shared" ca="1" si="13"/>
        <v>#DIV/0!</v>
      </c>
    </row>
    <row r="422" spans="12:25" x14ac:dyDescent="0.2">
      <c r="L422" t="str">
        <f t="shared" si="12"/>
        <v/>
      </c>
      <c r="M422" t="str">
        <f>IFERROR(AVERAGEIFS(Prod_5dias!$H$2:$H$1000,Prod_5dias!$A$2:$A$1000,$A422,Prod_5dias!$B$2:$B$1000,$B422),"")</f>
        <v/>
      </c>
      <c r="N422" t="str">
        <f>IF(M422="","",MIN(100,100*M422/Parametros!$B$7))</f>
        <v/>
      </c>
      <c r="O422" t="str">
        <f>IF(F422="","",IF(F422=0,100,MIN(100,100*Parametros!$B$3/F422)))</f>
        <v/>
      </c>
      <c r="P422" t="str">
        <f ca="1">IFERROR(((AVERAGEIFS(Observacion_Directa!$E$2:$E$1000,Observacion_Directa!$A$2:$A$1000,$A422,Observacion_Directa!$B$2:$B$1000,"&gt;="&amp;DATEVALUE($B422&amp;"-01"),Observacion_Directa!$B$2:$B$1000,"&lt;="&amp;EOMONTH(DATEVALUE($B422&amp;"-01"),0)))-1)/4*100,"")</f>
        <v/>
      </c>
      <c r="Q422" t="str">
        <f>IF(H422="","",MIN(100,100*H422/Parametros!$B$4))</f>
        <v/>
      </c>
      <c r="R422" t="str">
        <f>IF(I422="","",IF(I422=0,100,MIN(100,100*Parametros!$B$5/I422)))</f>
        <v/>
      </c>
      <c r="S422" t="str">
        <f>IF(J422="","",IF(J422=0,100,MIN(100,100*Parametros!$B$6/J422)))</f>
        <v/>
      </c>
      <c r="T422" t="str">
        <f>IF(L422="","",MIN(100,100*L422/Parametros!$B$7))</f>
        <v/>
      </c>
      <c r="U422" t="str">
        <f>IF(K422="","",MIN(100,100*K422/Parametros!$B$8))</f>
        <v/>
      </c>
      <c r="V422" t="str">
        <f ca="1">IFERROR(((AVERAGEIFS(Documentacion!$C$2:$C$1000,Documentacion!$A$2:$A$1000,$A422,Documentacion!$B$2:$B$1000,"&gt;="&amp;DATEVALUE($B422&amp;"-01"),Documentacion!$B$2:$B$1000,"&lt;="&amp;EOMONTH(DATEVALUE($B422&amp;"-01"),0)))-1)/4*100,"")</f>
        <v/>
      </c>
      <c r="W422" t="str">
        <f ca="1">IFERROR(((AVERAGEIFS(Feedback_360!$D$2:$D$1000,Feedback_360!$A$2:$A$1000,$A422,Feedback_360!$B$2:$B$1000,"&gt;="&amp;DATEVALUE($B422&amp;"-01"),Feedback_360!$B$2:$B$1000,"&lt;="&amp;EOMONTH(DATEVALUE($B422&amp;"-01"),0)))-1)/4*100,"")</f>
        <v/>
      </c>
      <c r="X422" t="str">
        <f ca="1">IFERROR(((AVERAGEIFS(Observacion_Directa!$D$2:$D$1000,Observacion_Directa!$A$2:$A$1000,$A422,Observacion_Directa!$B$2:$B$1000,"&gt;="&amp;DATEVALUE($B422&amp;"-01"),Observacion_Directa!$B$2:$B$1000,"&lt;="&amp;EOMONTH(DATEVALUE($B422&amp;"-01"),0)))-1)/4*100,"")</f>
        <v/>
      </c>
      <c r="Y422" t="e">
        <f t="shared" ca="1" si="13"/>
        <v>#DIV/0!</v>
      </c>
    </row>
    <row r="423" spans="12:25" x14ac:dyDescent="0.2">
      <c r="L423" t="str">
        <f t="shared" si="12"/>
        <v/>
      </c>
      <c r="M423" t="str">
        <f>IFERROR(AVERAGEIFS(Prod_5dias!$H$2:$H$1000,Prod_5dias!$A$2:$A$1000,$A423,Prod_5dias!$B$2:$B$1000,$B423),"")</f>
        <v/>
      </c>
      <c r="N423" t="str">
        <f>IF(M423="","",MIN(100,100*M423/Parametros!$B$7))</f>
        <v/>
      </c>
      <c r="O423" t="str">
        <f>IF(F423="","",IF(F423=0,100,MIN(100,100*Parametros!$B$3/F423)))</f>
        <v/>
      </c>
      <c r="P423" t="str">
        <f ca="1">IFERROR(((AVERAGEIFS(Observacion_Directa!$E$2:$E$1000,Observacion_Directa!$A$2:$A$1000,$A423,Observacion_Directa!$B$2:$B$1000,"&gt;="&amp;DATEVALUE($B423&amp;"-01"),Observacion_Directa!$B$2:$B$1000,"&lt;="&amp;EOMONTH(DATEVALUE($B423&amp;"-01"),0)))-1)/4*100,"")</f>
        <v/>
      </c>
      <c r="Q423" t="str">
        <f>IF(H423="","",MIN(100,100*H423/Parametros!$B$4))</f>
        <v/>
      </c>
      <c r="R423" t="str">
        <f>IF(I423="","",IF(I423=0,100,MIN(100,100*Parametros!$B$5/I423)))</f>
        <v/>
      </c>
      <c r="S423" t="str">
        <f>IF(J423="","",IF(J423=0,100,MIN(100,100*Parametros!$B$6/J423)))</f>
        <v/>
      </c>
      <c r="T423" t="str">
        <f>IF(L423="","",MIN(100,100*L423/Parametros!$B$7))</f>
        <v/>
      </c>
      <c r="U423" t="str">
        <f>IF(K423="","",MIN(100,100*K423/Parametros!$B$8))</f>
        <v/>
      </c>
      <c r="V423" t="str">
        <f ca="1">IFERROR(((AVERAGEIFS(Documentacion!$C$2:$C$1000,Documentacion!$A$2:$A$1000,$A423,Documentacion!$B$2:$B$1000,"&gt;="&amp;DATEVALUE($B423&amp;"-01"),Documentacion!$B$2:$B$1000,"&lt;="&amp;EOMONTH(DATEVALUE($B423&amp;"-01"),0)))-1)/4*100,"")</f>
        <v/>
      </c>
      <c r="W423" t="str">
        <f ca="1">IFERROR(((AVERAGEIFS(Feedback_360!$D$2:$D$1000,Feedback_360!$A$2:$A$1000,$A423,Feedback_360!$B$2:$B$1000,"&gt;="&amp;DATEVALUE($B423&amp;"-01"),Feedback_360!$B$2:$B$1000,"&lt;="&amp;EOMONTH(DATEVALUE($B423&amp;"-01"),0)))-1)/4*100,"")</f>
        <v/>
      </c>
      <c r="X423" t="str">
        <f ca="1">IFERROR(((AVERAGEIFS(Observacion_Directa!$D$2:$D$1000,Observacion_Directa!$A$2:$A$1000,$A423,Observacion_Directa!$B$2:$B$1000,"&gt;="&amp;DATEVALUE($B423&amp;"-01"),Observacion_Directa!$B$2:$B$1000,"&lt;="&amp;EOMONTH(DATEVALUE($B423&amp;"-01"),0)))-1)/4*100,"")</f>
        <v/>
      </c>
      <c r="Y423" t="e">
        <f t="shared" ca="1" si="13"/>
        <v>#DIV/0!</v>
      </c>
    </row>
    <row r="424" spans="12:25" x14ac:dyDescent="0.2">
      <c r="L424" t="str">
        <f t="shared" si="12"/>
        <v/>
      </c>
      <c r="M424" t="str">
        <f>IFERROR(AVERAGEIFS(Prod_5dias!$H$2:$H$1000,Prod_5dias!$A$2:$A$1000,$A424,Prod_5dias!$B$2:$B$1000,$B424),"")</f>
        <v/>
      </c>
      <c r="N424" t="str">
        <f>IF(M424="","",MIN(100,100*M424/Parametros!$B$7))</f>
        <v/>
      </c>
      <c r="O424" t="str">
        <f>IF(F424="","",IF(F424=0,100,MIN(100,100*Parametros!$B$3/F424)))</f>
        <v/>
      </c>
      <c r="P424" t="str">
        <f ca="1">IFERROR(((AVERAGEIFS(Observacion_Directa!$E$2:$E$1000,Observacion_Directa!$A$2:$A$1000,$A424,Observacion_Directa!$B$2:$B$1000,"&gt;="&amp;DATEVALUE($B424&amp;"-01"),Observacion_Directa!$B$2:$B$1000,"&lt;="&amp;EOMONTH(DATEVALUE($B424&amp;"-01"),0)))-1)/4*100,"")</f>
        <v/>
      </c>
      <c r="Q424" t="str">
        <f>IF(H424="","",MIN(100,100*H424/Parametros!$B$4))</f>
        <v/>
      </c>
      <c r="R424" t="str">
        <f>IF(I424="","",IF(I424=0,100,MIN(100,100*Parametros!$B$5/I424)))</f>
        <v/>
      </c>
      <c r="S424" t="str">
        <f>IF(J424="","",IF(J424=0,100,MIN(100,100*Parametros!$B$6/J424)))</f>
        <v/>
      </c>
      <c r="T424" t="str">
        <f>IF(L424="","",MIN(100,100*L424/Parametros!$B$7))</f>
        <v/>
      </c>
      <c r="U424" t="str">
        <f>IF(K424="","",MIN(100,100*K424/Parametros!$B$8))</f>
        <v/>
      </c>
      <c r="V424" t="str">
        <f ca="1">IFERROR(((AVERAGEIFS(Documentacion!$C$2:$C$1000,Documentacion!$A$2:$A$1000,$A424,Documentacion!$B$2:$B$1000,"&gt;="&amp;DATEVALUE($B424&amp;"-01"),Documentacion!$B$2:$B$1000,"&lt;="&amp;EOMONTH(DATEVALUE($B424&amp;"-01"),0)))-1)/4*100,"")</f>
        <v/>
      </c>
      <c r="W424" t="str">
        <f ca="1">IFERROR(((AVERAGEIFS(Feedback_360!$D$2:$D$1000,Feedback_360!$A$2:$A$1000,$A424,Feedback_360!$B$2:$B$1000,"&gt;="&amp;DATEVALUE($B424&amp;"-01"),Feedback_360!$B$2:$B$1000,"&lt;="&amp;EOMONTH(DATEVALUE($B424&amp;"-01"),0)))-1)/4*100,"")</f>
        <v/>
      </c>
      <c r="X424" t="str">
        <f ca="1">IFERROR(((AVERAGEIFS(Observacion_Directa!$D$2:$D$1000,Observacion_Directa!$A$2:$A$1000,$A424,Observacion_Directa!$B$2:$B$1000,"&gt;="&amp;DATEVALUE($B424&amp;"-01"),Observacion_Directa!$B$2:$B$1000,"&lt;="&amp;EOMONTH(DATEVALUE($B424&amp;"-01"),0)))-1)/4*100,"")</f>
        <v/>
      </c>
      <c r="Y424" t="e">
        <f t="shared" ca="1" si="13"/>
        <v>#DIV/0!</v>
      </c>
    </row>
    <row r="425" spans="12:25" x14ac:dyDescent="0.2">
      <c r="L425" t="str">
        <f t="shared" si="12"/>
        <v/>
      </c>
      <c r="M425" t="str">
        <f>IFERROR(AVERAGEIFS(Prod_5dias!$H$2:$H$1000,Prod_5dias!$A$2:$A$1000,$A425,Prod_5dias!$B$2:$B$1000,$B425),"")</f>
        <v/>
      </c>
      <c r="N425" t="str">
        <f>IF(M425="","",MIN(100,100*M425/Parametros!$B$7))</f>
        <v/>
      </c>
      <c r="O425" t="str">
        <f>IF(F425="","",IF(F425=0,100,MIN(100,100*Parametros!$B$3/F425)))</f>
        <v/>
      </c>
      <c r="P425" t="str">
        <f ca="1">IFERROR(((AVERAGEIFS(Observacion_Directa!$E$2:$E$1000,Observacion_Directa!$A$2:$A$1000,$A425,Observacion_Directa!$B$2:$B$1000,"&gt;="&amp;DATEVALUE($B425&amp;"-01"),Observacion_Directa!$B$2:$B$1000,"&lt;="&amp;EOMONTH(DATEVALUE($B425&amp;"-01"),0)))-1)/4*100,"")</f>
        <v/>
      </c>
      <c r="Q425" t="str">
        <f>IF(H425="","",MIN(100,100*H425/Parametros!$B$4))</f>
        <v/>
      </c>
      <c r="R425" t="str">
        <f>IF(I425="","",IF(I425=0,100,MIN(100,100*Parametros!$B$5/I425)))</f>
        <v/>
      </c>
      <c r="S425" t="str">
        <f>IF(J425="","",IF(J425=0,100,MIN(100,100*Parametros!$B$6/J425)))</f>
        <v/>
      </c>
      <c r="T425" t="str">
        <f>IF(L425="","",MIN(100,100*L425/Parametros!$B$7))</f>
        <v/>
      </c>
      <c r="U425" t="str">
        <f>IF(K425="","",MIN(100,100*K425/Parametros!$B$8))</f>
        <v/>
      </c>
      <c r="V425" t="str">
        <f ca="1">IFERROR(((AVERAGEIFS(Documentacion!$C$2:$C$1000,Documentacion!$A$2:$A$1000,$A425,Documentacion!$B$2:$B$1000,"&gt;="&amp;DATEVALUE($B425&amp;"-01"),Documentacion!$B$2:$B$1000,"&lt;="&amp;EOMONTH(DATEVALUE($B425&amp;"-01"),0)))-1)/4*100,"")</f>
        <v/>
      </c>
      <c r="W425" t="str">
        <f ca="1">IFERROR(((AVERAGEIFS(Feedback_360!$D$2:$D$1000,Feedback_360!$A$2:$A$1000,$A425,Feedback_360!$B$2:$B$1000,"&gt;="&amp;DATEVALUE($B425&amp;"-01"),Feedback_360!$B$2:$B$1000,"&lt;="&amp;EOMONTH(DATEVALUE($B425&amp;"-01"),0)))-1)/4*100,"")</f>
        <v/>
      </c>
      <c r="X425" t="str">
        <f ca="1">IFERROR(((AVERAGEIFS(Observacion_Directa!$D$2:$D$1000,Observacion_Directa!$A$2:$A$1000,$A425,Observacion_Directa!$B$2:$B$1000,"&gt;="&amp;DATEVALUE($B425&amp;"-01"),Observacion_Directa!$B$2:$B$1000,"&lt;="&amp;EOMONTH(DATEVALUE($B425&amp;"-01"),0)))-1)/4*100,"")</f>
        <v/>
      </c>
      <c r="Y425" t="e">
        <f t="shared" ca="1" si="13"/>
        <v>#DIV/0!</v>
      </c>
    </row>
    <row r="426" spans="12:25" x14ac:dyDescent="0.2">
      <c r="L426" t="str">
        <f t="shared" si="12"/>
        <v/>
      </c>
      <c r="M426" t="str">
        <f>IFERROR(AVERAGEIFS(Prod_5dias!$H$2:$H$1000,Prod_5dias!$A$2:$A$1000,$A426,Prod_5dias!$B$2:$B$1000,$B426),"")</f>
        <v/>
      </c>
      <c r="N426" t="str">
        <f>IF(M426="","",MIN(100,100*M426/Parametros!$B$7))</f>
        <v/>
      </c>
      <c r="O426" t="str">
        <f>IF(F426="","",IF(F426=0,100,MIN(100,100*Parametros!$B$3/F426)))</f>
        <v/>
      </c>
      <c r="P426" t="str">
        <f ca="1">IFERROR(((AVERAGEIFS(Observacion_Directa!$E$2:$E$1000,Observacion_Directa!$A$2:$A$1000,$A426,Observacion_Directa!$B$2:$B$1000,"&gt;="&amp;DATEVALUE($B426&amp;"-01"),Observacion_Directa!$B$2:$B$1000,"&lt;="&amp;EOMONTH(DATEVALUE($B426&amp;"-01"),0)))-1)/4*100,"")</f>
        <v/>
      </c>
      <c r="Q426" t="str">
        <f>IF(H426="","",MIN(100,100*H426/Parametros!$B$4))</f>
        <v/>
      </c>
      <c r="R426" t="str">
        <f>IF(I426="","",IF(I426=0,100,MIN(100,100*Parametros!$B$5/I426)))</f>
        <v/>
      </c>
      <c r="S426" t="str">
        <f>IF(J426="","",IF(J426=0,100,MIN(100,100*Parametros!$B$6/J426)))</f>
        <v/>
      </c>
      <c r="T426" t="str">
        <f>IF(L426="","",MIN(100,100*L426/Parametros!$B$7))</f>
        <v/>
      </c>
      <c r="U426" t="str">
        <f>IF(K426="","",MIN(100,100*K426/Parametros!$B$8))</f>
        <v/>
      </c>
      <c r="V426" t="str">
        <f ca="1">IFERROR(((AVERAGEIFS(Documentacion!$C$2:$C$1000,Documentacion!$A$2:$A$1000,$A426,Documentacion!$B$2:$B$1000,"&gt;="&amp;DATEVALUE($B426&amp;"-01"),Documentacion!$B$2:$B$1000,"&lt;="&amp;EOMONTH(DATEVALUE($B426&amp;"-01"),0)))-1)/4*100,"")</f>
        <v/>
      </c>
      <c r="W426" t="str">
        <f ca="1">IFERROR(((AVERAGEIFS(Feedback_360!$D$2:$D$1000,Feedback_360!$A$2:$A$1000,$A426,Feedback_360!$B$2:$B$1000,"&gt;="&amp;DATEVALUE($B426&amp;"-01"),Feedback_360!$B$2:$B$1000,"&lt;="&amp;EOMONTH(DATEVALUE($B426&amp;"-01"),0)))-1)/4*100,"")</f>
        <v/>
      </c>
      <c r="X426" t="str">
        <f ca="1">IFERROR(((AVERAGEIFS(Observacion_Directa!$D$2:$D$1000,Observacion_Directa!$A$2:$A$1000,$A426,Observacion_Directa!$B$2:$B$1000,"&gt;="&amp;DATEVALUE($B426&amp;"-01"),Observacion_Directa!$B$2:$B$1000,"&lt;="&amp;EOMONTH(DATEVALUE($B426&amp;"-01"),0)))-1)/4*100,"")</f>
        <v/>
      </c>
      <c r="Y426" t="e">
        <f t="shared" ca="1" si="13"/>
        <v>#DIV/0!</v>
      </c>
    </row>
    <row r="427" spans="12:25" x14ac:dyDescent="0.2">
      <c r="L427" t="str">
        <f t="shared" si="12"/>
        <v/>
      </c>
      <c r="M427" t="str">
        <f>IFERROR(AVERAGEIFS(Prod_5dias!$H$2:$H$1000,Prod_5dias!$A$2:$A$1000,$A427,Prod_5dias!$B$2:$B$1000,$B427),"")</f>
        <v/>
      </c>
      <c r="N427" t="str">
        <f>IF(M427="","",MIN(100,100*M427/Parametros!$B$7))</f>
        <v/>
      </c>
      <c r="O427" t="str">
        <f>IF(F427="","",IF(F427=0,100,MIN(100,100*Parametros!$B$3/F427)))</f>
        <v/>
      </c>
      <c r="P427" t="str">
        <f ca="1">IFERROR(((AVERAGEIFS(Observacion_Directa!$E$2:$E$1000,Observacion_Directa!$A$2:$A$1000,$A427,Observacion_Directa!$B$2:$B$1000,"&gt;="&amp;DATEVALUE($B427&amp;"-01"),Observacion_Directa!$B$2:$B$1000,"&lt;="&amp;EOMONTH(DATEVALUE($B427&amp;"-01"),0)))-1)/4*100,"")</f>
        <v/>
      </c>
      <c r="Q427" t="str">
        <f>IF(H427="","",MIN(100,100*H427/Parametros!$B$4))</f>
        <v/>
      </c>
      <c r="R427" t="str">
        <f>IF(I427="","",IF(I427=0,100,MIN(100,100*Parametros!$B$5/I427)))</f>
        <v/>
      </c>
      <c r="S427" t="str">
        <f>IF(J427="","",IF(J427=0,100,MIN(100,100*Parametros!$B$6/J427)))</f>
        <v/>
      </c>
      <c r="T427" t="str">
        <f>IF(L427="","",MIN(100,100*L427/Parametros!$B$7))</f>
        <v/>
      </c>
      <c r="U427" t="str">
        <f>IF(K427="","",MIN(100,100*K427/Parametros!$B$8))</f>
        <v/>
      </c>
      <c r="V427" t="str">
        <f ca="1">IFERROR(((AVERAGEIFS(Documentacion!$C$2:$C$1000,Documentacion!$A$2:$A$1000,$A427,Documentacion!$B$2:$B$1000,"&gt;="&amp;DATEVALUE($B427&amp;"-01"),Documentacion!$B$2:$B$1000,"&lt;="&amp;EOMONTH(DATEVALUE($B427&amp;"-01"),0)))-1)/4*100,"")</f>
        <v/>
      </c>
      <c r="W427" t="str">
        <f ca="1">IFERROR(((AVERAGEIFS(Feedback_360!$D$2:$D$1000,Feedback_360!$A$2:$A$1000,$A427,Feedback_360!$B$2:$B$1000,"&gt;="&amp;DATEVALUE($B427&amp;"-01"),Feedback_360!$B$2:$B$1000,"&lt;="&amp;EOMONTH(DATEVALUE($B427&amp;"-01"),0)))-1)/4*100,"")</f>
        <v/>
      </c>
      <c r="X427" t="str">
        <f ca="1">IFERROR(((AVERAGEIFS(Observacion_Directa!$D$2:$D$1000,Observacion_Directa!$A$2:$A$1000,$A427,Observacion_Directa!$B$2:$B$1000,"&gt;="&amp;DATEVALUE($B427&amp;"-01"),Observacion_Directa!$B$2:$B$1000,"&lt;="&amp;EOMONTH(DATEVALUE($B427&amp;"-01"),0)))-1)/4*100,"")</f>
        <v/>
      </c>
      <c r="Y427" t="e">
        <f t="shared" ca="1" si="13"/>
        <v>#DIV/0!</v>
      </c>
    </row>
    <row r="428" spans="12:25" x14ac:dyDescent="0.2">
      <c r="L428" t="str">
        <f t="shared" si="12"/>
        <v/>
      </c>
      <c r="M428" t="str">
        <f>IFERROR(AVERAGEIFS(Prod_5dias!$H$2:$H$1000,Prod_5dias!$A$2:$A$1000,$A428,Prod_5dias!$B$2:$B$1000,$B428),"")</f>
        <v/>
      </c>
      <c r="N428" t="str">
        <f>IF(M428="","",MIN(100,100*M428/Parametros!$B$7))</f>
        <v/>
      </c>
      <c r="O428" t="str">
        <f>IF(F428="","",IF(F428=0,100,MIN(100,100*Parametros!$B$3/F428)))</f>
        <v/>
      </c>
      <c r="P428" t="str">
        <f ca="1">IFERROR(((AVERAGEIFS(Observacion_Directa!$E$2:$E$1000,Observacion_Directa!$A$2:$A$1000,$A428,Observacion_Directa!$B$2:$B$1000,"&gt;="&amp;DATEVALUE($B428&amp;"-01"),Observacion_Directa!$B$2:$B$1000,"&lt;="&amp;EOMONTH(DATEVALUE($B428&amp;"-01"),0)))-1)/4*100,"")</f>
        <v/>
      </c>
      <c r="Q428" t="str">
        <f>IF(H428="","",MIN(100,100*H428/Parametros!$B$4))</f>
        <v/>
      </c>
      <c r="R428" t="str">
        <f>IF(I428="","",IF(I428=0,100,MIN(100,100*Parametros!$B$5/I428)))</f>
        <v/>
      </c>
      <c r="S428" t="str">
        <f>IF(J428="","",IF(J428=0,100,MIN(100,100*Parametros!$B$6/J428)))</f>
        <v/>
      </c>
      <c r="T428" t="str">
        <f>IF(L428="","",MIN(100,100*L428/Parametros!$B$7))</f>
        <v/>
      </c>
      <c r="U428" t="str">
        <f>IF(K428="","",MIN(100,100*K428/Parametros!$B$8))</f>
        <v/>
      </c>
      <c r="V428" t="str">
        <f ca="1">IFERROR(((AVERAGEIFS(Documentacion!$C$2:$C$1000,Documentacion!$A$2:$A$1000,$A428,Documentacion!$B$2:$B$1000,"&gt;="&amp;DATEVALUE($B428&amp;"-01"),Documentacion!$B$2:$B$1000,"&lt;="&amp;EOMONTH(DATEVALUE($B428&amp;"-01"),0)))-1)/4*100,"")</f>
        <v/>
      </c>
      <c r="W428" t="str">
        <f ca="1">IFERROR(((AVERAGEIFS(Feedback_360!$D$2:$D$1000,Feedback_360!$A$2:$A$1000,$A428,Feedback_360!$B$2:$B$1000,"&gt;="&amp;DATEVALUE($B428&amp;"-01"),Feedback_360!$B$2:$B$1000,"&lt;="&amp;EOMONTH(DATEVALUE($B428&amp;"-01"),0)))-1)/4*100,"")</f>
        <v/>
      </c>
      <c r="X428" t="str">
        <f ca="1">IFERROR(((AVERAGEIFS(Observacion_Directa!$D$2:$D$1000,Observacion_Directa!$A$2:$A$1000,$A428,Observacion_Directa!$B$2:$B$1000,"&gt;="&amp;DATEVALUE($B428&amp;"-01"),Observacion_Directa!$B$2:$B$1000,"&lt;="&amp;EOMONTH(DATEVALUE($B428&amp;"-01"),0)))-1)/4*100,"")</f>
        <v/>
      </c>
      <c r="Y428" t="e">
        <f t="shared" ca="1" si="13"/>
        <v>#DIV/0!</v>
      </c>
    </row>
    <row r="429" spans="12:25" x14ac:dyDescent="0.2">
      <c r="L429" t="str">
        <f t="shared" si="12"/>
        <v/>
      </c>
      <c r="M429" t="str">
        <f>IFERROR(AVERAGEIFS(Prod_5dias!$H$2:$H$1000,Prod_5dias!$A$2:$A$1000,$A429,Prod_5dias!$B$2:$B$1000,$B429),"")</f>
        <v/>
      </c>
      <c r="N429" t="str">
        <f>IF(M429="","",MIN(100,100*M429/Parametros!$B$7))</f>
        <v/>
      </c>
      <c r="O429" t="str">
        <f>IF(F429="","",IF(F429=0,100,MIN(100,100*Parametros!$B$3/F429)))</f>
        <v/>
      </c>
      <c r="P429" t="str">
        <f ca="1">IFERROR(((AVERAGEIFS(Observacion_Directa!$E$2:$E$1000,Observacion_Directa!$A$2:$A$1000,$A429,Observacion_Directa!$B$2:$B$1000,"&gt;="&amp;DATEVALUE($B429&amp;"-01"),Observacion_Directa!$B$2:$B$1000,"&lt;="&amp;EOMONTH(DATEVALUE($B429&amp;"-01"),0)))-1)/4*100,"")</f>
        <v/>
      </c>
      <c r="Q429" t="str">
        <f>IF(H429="","",MIN(100,100*H429/Parametros!$B$4))</f>
        <v/>
      </c>
      <c r="R429" t="str">
        <f>IF(I429="","",IF(I429=0,100,MIN(100,100*Parametros!$B$5/I429)))</f>
        <v/>
      </c>
      <c r="S429" t="str">
        <f>IF(J429="","",IF(J429=0,100,MIN(100,100*Parametros!$B$6/J429)))</f>
        <v/>
      </c>
      <c r="T429" t="str">
        <f>IF(L429="","",MIN(100,100*L429/Parametros!$B$7))</f>
        <v/>
      </c>
      <c r="U429" t="str">
        <f>IF(K429="","",MIN(100,100*K429/Parametros!$B$8))</f>
        <v/>
      </c>
      <c r="V429" t="str">
        <f ca="1">IFERROR(((AVERAGEIFS(Documentacion!$C$2:$C$1000,Documentacion!$A$2:$A$1000,$A429,Documentacion!$B$2:$B$1000,"&gt;="&amp;DATEVALUE($B429&amp;"-01"),Documentacion!$B$2:$B$1000,"&lt;="&amp;EOMONTH(DATEVALUE($B429&amp;"-01"),0)))-1)/4*100,"")</f>
        <v/>
      </c>
      <c r="W429" t="str">
        <f ca="1">IFERROR(((AVERAGEIFS(Feedback_360!$D$2:$D$1000,Feedback_360!$A$2:$A$1000,$A429,Feedback_360!$B$2:$B$1000,"&gt;="&amp;DATEVALUE($B429&amp;"-01"),Feedback_360!$B$2:$B$1000,"&lt;="&amp;EOMONTH(DATEVALUE($B429&amp;"-01"),0)))-1)/4*100,"")</f>
        <v/>
      </c>
      <c r="X429" t="str">
        <f ca="1">IFERROR(((AVERAGEIFS(Observacion_Directa!$D$2:$D$1000,Observacion_Directa!$A$2:$A$1000,$A429,Observacion_Directa!$B$2:$B$1000,"&gt;="&amp;DATEVALUE($B429&amp;"-01"),Observacion_Directa!$B$2:$B$1000,"&lt;="&amp;EOMONTH(DATEVALUE($B429&amp;"-01"),0)))-1)/4*100,"")</f>
        <v/>
      </c>
      <c r="Y429" t="e">
        <f t="shared" ca="1" si="13"/>
        <v>#DIV/0!</v>
      </c>
    </row>
    <row r="430" spans="12:25" x14ac:dyDescent="0.2">
      <c r="L430" t="str">
        <f t="shared" si="12"/>
        <v/>
      </c>
      <c r="M430" t="str">
        <f>IFERROR(AVERAGEIFS(Prod_5dias!$H$2:$H$1000,Prod_5dias!$A$2:$A$1000,$A430,Prod_5dias!$B$2:$B$1000,$B430),"")</f>
        <v/>
      </c>
      <c r="N430" t="str">
        <f>IF(M430="","",MIN(100,100*M430/Parametros!$B$7))</f>
        <v/>
      </c>
      <c r="O430" t="str">
        <f>IF(F430="","",IF(F430=0,100,MIN(100,100*Parametros!$B$3/F430)))</f>
        <v/>
      </c>
      <c r="P430" t="str">
        <f ca="1">IFERROR(((AVERAGEIFS(Observacion_Directa!$E$2:$E$1000,Observacion_Directa!$A$2:$A$1000,$A430,Observacion_Directa!$B$2:$B$1000,"&gt;="&amp;DATEVALUE($B430&amp;"-01"),Observacion_Directa!$B$2:$B$1000,"&lt;="&amp;EOMONTH(DATEVALUE($B430&amp;"-01"),0)))-1)/4*100,"")</f>
        <v/>
      </c>
      <c r="Q430" t="str">
        <f>IF(H430="","",MIN(100,100*H430/Parametros!$B$4))</f>
        <v/>
      </c>
      <c r="R430" t="str">
        <f>IF(I430="","",IF(I430=0,100,MIN(100,100*Parametros!$B$5/I430)))</f>
        <v/>
      </c>
      <c r="S430" t="str">
        <f>IF(J430="","",IF(J430=0,100,MIN(100,100*Parametros!$B$6/J430)))</f>
        <v/>
      </c>
      <c r="T430" t="str">
        <f>IF(L430="","",MIN(100,100*L430/Parametros!$B$7))</f>
        <v/>
      </c>
      <c r="U430" t="str">
        <f>IF(K430="","",MIN(100,100*K430/Parametros!$B$8))</f>
        <v/>
      </c>
      <c r="V430" t="str">
        <f ca="1">IFERROR(((AVERAGEIFS(Documentacion!$C$2:$C$1000,Documentacion!$A$2:$A$1000,$A430,Documentacion!$B$2:$B$1000,"&gt;="&amp;DATEVALUE($B430&amp;"-01"),Documentacion!$B$2:$B$1000,"&lt;="&amp;EOMONTH(DATEVALUE($B430&amp;"-01"),0)))-1)/4*100,"")</f>
        <v/>
      </c>
      <c r="W430" t="str">
        <f ca="1">IFERROR(((AVERAGEIFS(Feedback_360!$D$2:$D$1000,Feedback_360!$A$2:$A$1000,$A430,Feedback_360!$B$2:$B$1000,"&gt;="&amp;DATEVALUE($B430&amp;"-01"),Feedback_360!$B$2:$B$1000,"&lt;="&amp;EOMONTH(DATEVALUE($B430&amp;"-01"),0)))-1)/4*100,"")</f>
        <v/>
      </c>
      <c r="X430" t="str">
        <f ca="1">IFERROR(((AVERAGEIFS(Observacion_Directa!$D$2:$D$1000,Observacion_Directa!$A$2:$A$1000,$A430,Observacion_Directa!$B$2:$B$1000,"&gt;="&amp;DATEVALUE($B430&amp;"-01"),Observacion_Directa!$B$2:$B$1000,"&lt;="&amp;EOMONTH(DATEVALUE($B430&amp;"-01"),0)))-1)/4*100,"")</f>
        <v/>
      </c>
      <c r="Y430" t="e">
        <f t="shared" ca="1" si="13"/>
        <v>#DIV/0!</v>
      </c>
    </row>
    <row r="431" spans="12:25" x14ac:dyDescent="0.2">
      <c r="L431" t="str">
        <f t="shared" si="12"/>
        <v/>
      </c>
      <c r="M431" t="str">
        <f>IFERROR(AVERAGEIFS(Prod_5dias!$H$2:$H$1000,Prod_5dias!$A$2:$A$1000,$A431,Prod_5dias!$B$2:$B$1000,$B431),"")</f>
        <v/>
      </c>
      <c r="N431" t="str">
        <f>IF(M431="","",MIN(100,100*M431/Parametros!$B$7))</f>
        <v/>
      </c>
      <c r="O431" t="str">
        <f>IF(F431="","",IF(F431=0,100,MIN(100,100*Parametros!$B$3/F431)))</f>
        <v/>
      </c>
      <c r="P431" t="str">
        <f ca="1">IFERROR(((AVERAGEIFS(Observacion_Directa!$E$2:$E$1000,Observacion_Directa!$A$2:$A$1000,$A431,Observacion_Directa!$B$2:$B$1000,"&gt;="&amp;DATEVALUE($B431&amp;"-01"),Observacion_Directa!$B$2:$B$1000,"&lt;="&amp;EOMONTH(DATEVALUE($B431&amp;"-01"),0)))-1)/4*100,"")</f>
        <v/>
      </c>
      <c r="Q431" t="str">
        <f>IF(H431="","",MIN(100,100*H431/Parametros!$B$4))</f>
        <v/>
      </c>
      <c r="R431" t="str">
        <f>IF(I431="","",IF(I431=0,100,MIN(100,100*Parametros!$B$5/I431)))</f>
        <v/>
      </c>
      <c r="S431" t="str">
        <f>IF(J431="","",IF(J431=0,100,MIN(100,100*Parametros!$B$6/J431)))</f>
        <v/>
      </c>
      <c r="T431" t="str">
        <f>IF(L431="","",MIN(100,100*L431/Parametros!$B$7))</f>
        <v/>
      </c>
      <c r="U431" t="str">
        <f>IF(K431="","",MIN(100,100*K431/Parametros!$B$8))</f>
        <v/>
      </c>
      <c r="V431" t="str">
        <f ca="1">IFERROR(((AVERAGEIFS(Documentacion!$C$2:$C$1000,Documentacion!$A$2:$A$1000,$A431,Documentacion!$B$2:$B$1000,"&gt;="&amp;DATEVALUE($B431&amp;"-01"),Documentacion!$B$2:$B$1000,"&lt;="&amp;EOMONTH(DATEVALUE($B431&amp;"-01"),0)))-1)/4*100,"")</f>
        <v/>
      </c>
      <c r="W431" t="str">
        <f ca="1">IFERROR(((AVERAGEIFS(Feedback_360!$D$2:$D$1000,Feedback_360!$A$2:$A$1000,$A431,Feedback_360!$B$2:$B$1000,"&gt;="&amp;DATEVALUE($B431&amp;"-01"),Feedback_360!$B$2:$B$1000,"&lt;="&amp;EOMONTH(DATEVALUE($B431&amp;"-01"),0)))-1)/4*100,"")</f>
        <v/>
      </c>
      <c r="X431" t="str">
        <f ca="1">IFERROR(((AVERAGEIFS(Observacion_Directa!$D$2:$D$1000,Observacion_Directa!$A$2:$A$1000,$A431,Observacion_Directa!$B$2:$B$1000,"&gt;="&amp;DATEVALUE($B431&amp;"-01"),Observacion_Directa!$B$2:$B$1000,"&lt;="&amp;EOMONTH(DATEVALUE($B431&amp;"-01"),0)))-1)/4*100,"")</f>
        <v/>
      </c>
      <c r="Y431" t="e">
        <f t="shared" ca="1" si="13"/>
        <v>#DIV/0!</v>
      </c>
    </row>
    <row r="432" spans="12:25" x14ac:dyDescent="0.2">
      <c r="L432" t="str">
        <f t="shared" si="12"/>
        <v/>
      </c>
      <c r="M432" t="str">
        <f>IFERROR(AVERAGEIFS(Prod_5dias!$H$2:$H$1000,Prod_5dias!$A$2:$A$1000,$A432,Prod_5dias!$B$2:$B$1000,$B432),"")</f>
        <v/>
      </c>
      <c r="N432" t="str">
        <f>IF(M432="","",MIN(100,100*M432/Parametros!$B$7))</f>
        <v/>
      </c>
      <c r="O432" t="str">
        <f>IF(F432="","",IF(F432=0,100,MIN(100,100*Parametros!$B$3/F432)))</f>
        <v/>
      </c>
      <c r="P432" t="str">
        <f ca="1">IFERROR(((AVERAGEIFS(Observacion_Directa!$E$2:$E$1000,Observacion_Directa!$A$2:$A$1000,$A432,Observacion_Directa!$B$2:$B$1000,"&gt;="&amp;DATEVALUE($B432&amp;"-01"),Observacion_Directa!$B$2:$B$1000,"&lt;="&amp;EOMONTH(DATEVALUE($B432&amp;"-01"),0)))-1)/4*100,"")</f>
        <v/>
      </c>
      <c r="Q432" t="str">
        <f>IF(H432="","",MIN(100,100*H432/Parametros!$B$4))</f>
        <v/>
      </c>
      <c r="R432" t="str">
        <f>IF(I432="","",IF(I432=0,100,MIN(100,100*Parametros!$B$5/I432)))</f>
        <v/>
      </c>
      <c r="S432" t="str">
        <f>IF(J432="","",IF(J432=0,100,MIN(100,100*Parametros!$B$6/J432)))</f>
        <v/>
      </c>
      <c r="T432" t="str">
        <f>IF(L432="","",MIN(100,100*L432/Parametros!$B$7))</f>
        <v/>
      </c>
      <c r="U432" t="str">
        <f>IF(K432="","",MIN(100,100*K432/Parametros!$B$8))</f>
        <v/>
      </c>
      <c r="V432" t="str">
        <f ca="1">IFERROR(((AVERAGEIFS(Documentacion!$C$2:$C$1000,Documentacion!$A$2:$A$1000,$A432,Documentacion!$B$2:$B$1000,"&gt;="&amp;DATEVALUE($B432&amp;"-01"),Documentacion!$B$2:$B$1000,"&lt;="&amp;EOMONTH(DATEVALUE($B432&amp;"-01"),0)))-1)/4*100,"")</f>
        <v/>
      </c>
      <c r="W432" t="str">
        <f ca="1">IFERROR(((AVERAGEIFS(Feedback_360!$D$2:$D$1000,Feedback_360!$A$2:$A$1000,$A432,Feedback_360!$B$2:$B$1000,"&gt;="&amp;DATEVALUE($B432&amp;"-01"),Feedback_360!$B$2:$B$1000,"&lt;="&amp;EOMONTH(DATEVALUE($B432&amp;"-01"),0)))-1)/4*100,"")</f>
        <v/>
      </c>
      <c r="X432" t="str">
        <f ca="1">IFERROR(((AVERAGEIFS(Observacion_Directa!$D$2:$D$1000,Observacion_Directa!$A$2:$A$1000,$A432,Observacion_Directa!$B$2:$B$1000,"&gt;="&amp;DATEVALUE($B432&amp;"-01"),Observacion_Directa!$B$2:$B$1000,"&lt;="&amp;EOMONTH(DATEVALUE($B432&amp;"-01"),0)))-1)/4*100,"")</f>
        <v/>
      </c>
      <c r="Y432" t="e">
        <f t="shared" ca="1" si="13"/>
        <v>#DIV/0!</v>
      </c>
    </row>
    <row r="433" spans="12:25" x14ac:dyDescent="0.2">
      <c r="L433" t="str">
        <f t="shared" si="12"/>
        <v/>
      </c>
      <c r="M433" t="str">
        <f>IFERROR(AVERAGEIFS(Prod_5dias!$H$2:$H$1000,Prod_5dias!$A$2:$A$1000,$A433,Prod_5dias!$B$2:$B$1000,$B433),"")</f>
        <v/>
      </c>
      <c r="N433" t="str">
        <f>IF(M433="","",MIN(100,100*M433/Parametros!$B$7))</f>
        <v/>
      </c>
      <c r="O433" t="str">
        <f>IF(F433="","",IF(F433=0,100,MIN(100,100*Parametros!$B$3/F433)))</f>
        <v/>
      </c>
      <c r="P433" t="str">
        <f ca="1">IFERROR(((AVERAGEIFS(Observacion_Directa!$E$2:$E$1000,Observacion_Directa!$A$2:$A$1000,$A433,Observacion_Directa!$B$2:$B$1000,"&gt;="&amp;DATEVALUE($B433&amp;"-01"),Observacion_Directa!$B$2:$B$1000,"&lt;="&amp;EOMONTH(DATEVALUE($B433&amp;"-01"),0)))-1)/4*100,"")</f>
        <v/>
      </c>
      <c r="Q433" t="str">
        <f>IF(H433="","",MIN(100,100*H433/Parametros!$B$4))</f>
        <v/>
      </c>
      <c r="R433" t="str">
        <f>IF(I433="","",IF(I433=0,100,MIN(100,100*Parametros!$B$5/I433)))</f>
        <v/>
      </c>
      <c r="S433" t="str">
        <f>IF(J433="","",IF(J433=0,100,MIN(100,100*Parametros!$B$6/J433)))</f>
        <v/>
      </c>
      <c r="T433" t="str">
        <f>IF(L433="","",MIN(100,100*L433/Parametros!$B$7))</f>
        <v/>
      </c>
      <c r="U433" t="str">
        <f>IF(K433="","",MIN(100,100*K433/Parametros!$B$8))</f>
        <v/>
      </c>
      <c r="V433" t="str">
        <f ca="1">IFERROR(((AVERAGEIFS(Documentacion!$C$2:$C$1000,Documentacion!$A$2:$A$1000,$A433,Documentacion!$B$2:$B$1000,"&gt;="&amp;DATEVALUE($B433&amp;"-01"),Documentacion!$B$2:$B$1000,"&lt;="&amp;EOMONTH(DATEVALUE($B433&amp;"-01"),0)))-1)/4*100,"")</f>
        <v/>
      </c>
      <c r="W433" t="str">
        <f ca="1">IFERROR(((AVERAGEIFS(Feedback_360!$D$2:$D$1000,Feedback_360!$A$2:$A$1000,$A433,Feedback_360!$B$2:$B$1000,"&gt;="&amp;DATEVALUE($B433&amp;"-01"),Feedback_360!$B$2:$B$1000,"&lt;="&amp;EOMONTH(DATEVALUE($B433&amp;"-01"),0)))-1)/4*100,"")</f>
        <v/>
      </c>
      <c r="X433" t="str">
        <f ca="1">IFERROR(((AVERAGEIFS(Observacion_Directa!$D$2:$D$1000,Observacion_Directa!$A$2:$A$1000,$A433,Observacion_Directa!$B$2:$B$1000,"&gt;="&amp;DATEVALUE($B433&amp;"-01"),Observacion_Directa!$B$2:$B$1000,"&lt;="&amp;EOMONTH(DATEVALUE($B433&amp;"-01"),0)))-1)/4*100,"")</f>
        <v/>
      </c>
      <c r="Y433" t="e">
        <f t="shared" ca="1" si="13"/>
        <v>#DIV/0!</v>
      </c>
    </row>
    <row r="434" spans="12:25" x14ac:dyDescent="0.2">
      <c r="L434" t="str">
        <f t="shared" si="12"/>
        <v/>
      </c>
      <c r="M434" t="str">
        <f>IFERROR(AVERAGEIFS(Prod_5dias!$H$2:$H$1000,Prod_5dias!$A$2:$A$1000,$A434,Prod_5dias!$B$2:$B$1000,$B434),"")</f>
        <v/>
      </c>
      <c r="N434" t="str">
        <f>IF(M434="","",MIN(100,100*M434/Parametros!$B$7))</f>
        <v/>
      </c>
      <c r="O434" t="str">
        <f>IF(F434="","",IF(F434=0,100,MIN(100,100*Parametros!$B$3/F434)))</f>
        <v/>
      </c>
      <c r="P434" t="str">
        <f ca="1">IFERROR(((AVERAGEIFS(Observacion_Directa!$E$2:$E$1000,Observacion_Directa!$A$2:$A$1000,$A434,Observacion_Directa!$B$2:$B$1000,"&gt;="&amp;DATEVALUE($B434&amp;"-01"),Observacion_Directa!$B$2:$B$1000,"&lt;="&amp;EOMONTH(DATEVALUE($B434&amp;"-01"),0)))-1)/4*100,"")</f>
        <v/>
      </c>
      <c r="Q434" t="str">
        <f>IF(H434="","",MIN(100,100*H434/Parametros!$B$4))</f>
        <v/>
      </c>
      <c r="R434" t="str">
        <f>IF(I434="","",IF(I434=0,100,MIN(100,100*Parametros!$B$5/I434)))</f>
        <v/>
      </c>
      <c r="S434" t="str">
        <f>IF(J434="","",IF(J434=0,100,MIN(100,100*Parametros!$B$6/J434)))</f>
        <v/>
      </c>
      <c r="T434" t="str">
        <f>IF(L434="","",MIN(100,100*L434/Parametros!$B$7))</f>
        <v/>
      </c>
      <c r="U434" t="str">
        <f>IF(K434="","",MIN(100,100*K434/Parametros!$B$8))</f>
        <v/>
      </c>
      <c r="V434" t="str">
        <f ca="1">IFERROR(((AVERAGEIFS(Documentacion!$C$2:$C$1000,Documentacion!$A$2:$A$1000,$A434,Documentacion!$B$2:$B$1000,"&gt;="&amp;DATEVALUE($B434&amp;"-01"),Documentacion!$B$2:$B$1000,"&lt;="&amp;EOMONTH(DATEVALUE($B434&amp;"-01"),0)))-1)/4*100,"")</f>
        <v/>
      </c>
      <c r="W434" t="str">
        <f ca="1">IFERROR(((AVERAGEIFS(Feedback_360!$D$2:$D$1000,Feedback_360!$A$2:$A$1000,$A434,Feedback_360!$B$2:$B$1000,"&gt;="&amp;DATEVALUE($B434&amp;"-01"),Feedback_360!$B$2:$B$1000,"&lt;="&amp;EOMONTH(DATEVALUE($B434&amp;"-01"),0)))-1)/4*100,"")</f>
        <v/>
      </c>
      <c r="X434" t="str">
        <f ca="1">IFERROR(((AVERAGEIFS(Observacion_Directa!$D$2:$D$1000,Observacion_Directa!$A$2:$A$1000,$A434,Observacion_Directa!$B$2:$B$1000,"&gt;="&amp;DATEVALUE($B434&amp;"-01"),Observacion_Directa!$B$2:$B$1000,"&lt;="&amp;EOMONTH(DATEVALUE($B434&amp;"-01"),0)))-1)/4*100,"")</f>
        <v/>
      </c>
      <c r="Y434" t="e">
        <f t="shared" ca="1" si="13"/>
        <v>#DIV/0!</v>
      </c>
    </row>
    <row r="435" spans="12:25" x14ac:dyDescent="0.2">
      <c r="L435" t="str">
        <f t="shared" si="12"/>
        <v/>
      </c>
      <c r="M435" t="str">
        <f>IFERROR(AVERAGEIFS(Prod_5dias!$H$2:$H$1000,Prod_5dias!$A$2:$A$1000,$A435,Prod_5dias!$B$2:$B$1000,$B435),"")</f>
        <v/>
      </c>
      <c r="N435" t="str">
        <f>IF(M435="","",MIN(100,100*M435/Parametros!$B$7))</f>
        <v/>
      </c>
      <c r="O435" t="str">
        <f>IF(F435="","",IF(F435=0,100,MIN(100,100*Parametros!$B$3/F435)))</f>
        <v/>
      </c>
      <c r="P435" t="str">
        <f ca="1">IFERROR(((AVERAGEIFS(Observacion_Directa!$E$2:$E$1000,Observacion_Directa!$A$2:$A$1000,$A435,Observacion_Directa!$B$2:$B$1000,"&gt;="&amp;DATEVALUE($B435&amp;"-01"),Observacion_Directa!$B$2:$B$1000,"&lt;="&amp;EOMONTH(DATEVALUE($B435&amp;"-01"),0)))-1)/4*100,"")</f>
        <v/>
      </c>
      <c r="Q435" t="str">
        <f>IF(H435="","",MIN(100,100*H435/Parametros!$B$4))</f>
        <v/>
      </c>
      <c r="R435" t="str">
        <f>IF(I435="","",IF(I435=0,100,MIN(100,100*Parametros!$B$5/I435)))</f>
        <v/>
      </c>
      <c r="S435" t="str">
        <f>IF(J435="","",IF(J435=0,100,MIN(100,100*Parametros!$B$6/J435)))</f>
        <v/>
      </c>
      <c r="T435" t="str">
        <f>IF(L435="","",MIN(100,100*L435/Parametros!$B$7))</f>
        <v/>
      </c>
      <c r="U435" t="str">
        <f>IF(K435="","",MIN(100,100*K435/Parametros!$B$8))</f>
        <v/>
      </c>
      <c r="V435" t="str">
        <f ca="1">IFERROR(((AVERAGEIFS(Documentacion!$C$2:$C$1000,Documentacion!$A$2:$A$1000,$A435,Documentacion!$B$2:$B$1000,"&gt;="&amp;DATEVALUE($B435&amp;"-01"),Documentacion!$B$2:$B$1000,"&lt;="&amp;EOMONTH(DATEVALUE($B435&amp;"-01"),0)))-1)/4*100,"")</f>
        <v/>
      </c>
      <c r="W435" t="str">
        <f ca="1">IFERROR(((AVERAGEIFS(Feedback_360!$D$2:$D$1000,Feedback_360!$A$2:$A$1000,$A435,Feedback_360!$B$2:$B$1000,"&gt;="&amp;DATEVALUE($B435&amp;"-01"),Feedback_360!$B$2:$B$1000,"&lt;="&amp;EOMONTH(DATEVALUE($B435&amp;"-01"),0)))-1)/4*100,"")</f>
        <v/>
      </c>
      <c r="X435" t="str">
        <f ca="1">IFERROR(((AVERAGEIFS(Observacion_Directa!$D$2:$D$1000,Observacion_Directa!$A$2:$A$1000,$A435,Observacion_Directa!$B$2:$B$1000,"&gt;="&amp;DATEVALUE($B435&amp;"-01"),Observacion_Directa!$B$2:$B$1000,"&lt;="&amp;EOMONTH(DATEVALUE($B435&amp;"-01"),0)))-1)/4*100,"")</f>
        <v/>
      </c>
      <c r="Y435" t="e">
        <f t="shared" ca="1" si="13"/>
        <v>#DIV/0!</v>
      </c>
    </row>
    <row r="436" spans="12:25" x14ac:dyDescent="0.2">
      <c r="L436" t="str">
        <f t="shared" si="12"/>
        <v/>
      </c>
      <c r="M436" t="str">
        <f>IFERROR(AVERAGEIFS(Prod_5dias!$H$2:$H$1000,Prod_5dias!$A$2:$A$1000,$A436,Prod_5dias!$B$2:$B$1000,$B436),"")</f>
        <v/>
      </c>
      <c r="N436" t="str">
        <f>IF(M436="","",MIN(100,100*M436/Parametros!$B$7))</f>
        <v/>
      </c>
      <c r="O436" t="str">
        <f>IF(F436="","",IF(F436=0,100,MIN(100,100*Parametros!$B$3/F436)))</f>
        <v/>
      </c>
      <c r="P436" t="str">
        <f ca="1">IFERROR(((AVERAGEIFS(Observacion_Directa!$E$2:$E$1000,Observacion_Directa!$A$2:$A$1000,$A436,Observacion_Directa!$B$2:$B$1000,"&gt;="&amp;DATEVALUE($B436&amp;"-01"),Observacion_Directa!$B$2:$B$1000,"&lt;="&amp;EOMONTH(DATEVALUE($B436&amp;"-01"),0)))-1)/4*100,"")</f>
        <v/>
      </c>
      <c r="Q436" t="str">
        <f>IF(H436="","",MIN(100,100*H436/Parametros!$B$4))</f>
        <v/>
      </c>
      <c r="R436" t="str">
        <f>IF(I436="","",IF(I436=0,100,MIN(100,100*Parametros!$B$5/I436)))</f>
        <v/>
      </c>
      <c r="S436" t="str">
        <f>IF(J436="","",IF(J436=0,100,MIN(100,100*Parametros!$B$6/J436)))</f>
        <v/>
      </c>
      <c r="T436" t="str">
        <f>IF(L436="","",MIN(100,100*L436/Parametros!$B$7))</f>
        <v/>
      </c>
      <c r="U436" t="str">
        <f>IF(K436="","",MIN(100,100*K436/Parametros!$B$8))</f>
        <v/>
      </c>
      <c r="V436" t="str">
        <f ca="1">IFERROR(((AVERAGEIFS(Documentacion!$C$2:$C$1000,Documentacion!$A$2:$A$1000,$A436,Documentacion!$B$2:$B$1000,"&gt;="&amp;DATEVALUE($B436&amp;"-01"),Documentacion!$B$2:$B$1000,"&lt;="&amp;EOMONTH(DATEVALUE($B436&amp;"-01"),0)))-1)/4*100,"")</f>
        <v/>
      </c>
      <c r="W436" t="str">
        <f ca="1">IFERROR(((AVERAGEIFS(Feedback_360!$D$2:$D$1000,Feedback_360!$A$2:$A$1000,$A436,Feedback_360!$B$2:$B$1000,"&gt;="&amp;DATEVALUE($B436&amp;"-01"),Feedback_360!$B$2:$B$1000,"&lt;="&amp;EOMONTH(DATEVALUE($B436&amp;"-01"),0)))-1)/4*100,"")</f>
        <v/>
      </c>
      <c r="X436" t="str">
        <f ca="1">IFERROR(((AVERAGEIFS(Observacion_Directa!$D$2:$D$1000,Observacion_Directa!$A$2:$A$1000,$A436,Observacion_Directa!$B$2:$B$1000,"&gt;="&amp;DATEVALUE($B436&amp;"-01"),Observacion_Directa!$B$2:$B$1000,"&lt;="&amp;EOMONTH(DATEVALUE($B436&amp;"-01"),0)))-1)/4*100,"")</f>
        <v/>
      </c>
      <c r="Y436" t="e">
        <f t="shared" ca="1" si="13"/>
        <v>#DIV/0!</v>
      </c>
    </row>
    <row r="437" spans="12:25" x14ac:dyDescent="0.2">
      <c r="L437" t="str">
        <f t="shared" si="12"/>
        <v/>
      </c>
      <c r="M437" t="str">
        <f>IFERROR(AVERAGEIFS(Prod_5dias!$H$2:$H$1000,Prod_5dias!$A$2:$A$1000,$A437,Prod_5dias!$B$2:$B$1000,$B437),"")</f>
        <v/>
      </c>
      <c r="N437" t="str">
        <f>IF(M437="","",MIN(100,100*M437/Parametros!$B$7))</f>
        <v/>
      </c>
      <c r="O437" t="str">
        <f>IF(F437="","",IF(F437=0,100,MIN(100,100*Parametros!$B$3/F437)))</f>
        <v/>
      </c>
      <c r="P437" t="str">
        <f ca="1">IFERROR(((AVERAGEIFS(Observacion_Directa!$E$2:$E$1000,Observacion_Directa!$A$2:$A$1000,$A437,Observacion_Directa!$B$2:$B$1000,"&gt;="&amp;DATEVALUE($B437&amp;"-01"),Observacion_Directa!$B$2:$B$1000,"&lt;="&amp;EOMONTH(DATEVALUE($B437&amp;"-01"),0)))-1)/4*100,"")</f>
        <v/>
      </c>
      <c r="Q437" t="str">
        <f>IF(H437="","",MIN(100,100*H437/Parametros!$B$4))</f>
        <v/>
      </c>
      <c r="R437" t="str">
        <f>IF(I437="","",IF(I437=0,100,MIN(100,100*Parametros!$B$5/I437)))</f>
        <v/>
      </c>
      <c r="S437" t="str">
        <f>IF(J437="","",IF(J437=0,100,MIN(100,100*Parametros!$B$6/J437)))</f>
        <v/>
      </c>
      <c r="T437" t="str">
        <f>IF(L437="","",MIN(100,100*L437/Parametros!$B$7))</f>
        <v/>
      </c>
      <c r="U437" t="str">
        <f>IF(K437="","",MIN(100,100*K437/Parametros!$B$8))</f>
        <v/>
      </c>
      <c r="V437" t="str">
        <f ca="1">IFERROR(((AVERAGEIFS(Documentacion!$C$2:$C$1000,Documentacion!$A$2:$A$1000,$A437,Documentacion!$B$2:$B$1000,"&gt;="&amp;DATEVALUE($B437&amp;"-01"),Documentacion!$B$2:$B$1000,"&lt;="&amp;EOMONTH(DATEVALUE($B437&amp;"-01"),0)))-1)/4*100,"")</f>
        <v/>
      </c>
      <c r="W437" t="str">
        <f ca="1">IFERROR(((AVERAGEIFS(Feedback_360!$D$2:$D$1000,Feedback_360!$A$2:$A$1000,$A437,Feedback_360!$B$2:$B$1000,"&gt;="&amp;DATEVALUE($B437&amp;"-01"),Feedback_360!$B$2:$B$1000,"&lt;="&amp;EOMONTH(DATEVALUE($B437&amp;"-01"),0)))-1)/4*100,"")</f>
        <v/>
      </c>
      <c r="X437" t="str">
        <f ca="1">IFERROR(((AVERAGEIFS(Observacion_Directa!$D$2:$D$1000,Observacion_Directa!$A$2:$A$1000,$A437,Observacion_Directa!$B$2:$B$1000,"&gt;="&amp;DATEVALUE($B437&amp;"-01"),Observacion_Directa!$B$2:$B$1000,"&lt;="&amp;EOMONTH(DATEVALUE($B437&amp;"-01"),0)))-1)/4*100,"")</f>
        <v/>
      </c>
      <c r="Y437" t="e">
        <f t="shared" ca="1" si="13"/>
        <v>#DIV/0!</v>
      </c>
    </row>
    <row r="438" spans="12:25" x14ac:dyDescent="0.2">
      <c r="L438" t="str">
        <f t="shared" si="12"/>
        <v/>
      </c>
      <c r="M438" t="str">
        <f>IFERROR(AVERAGEIFS(Prod_5dias!$H$2:$H$1000,Prod_5dias!$A$2:$A$1000,$A438,Prod_5dias!$B$2:$B$1000,$B438),"")</f>
        <v/>
      </c>
      <c r="N438" t="str">
        <f>IF(M438="","",MIN(100,100*M438/Parametros!$B$7))</f>
        <v/>
      </c>
      <c r="O438" t="str">
        <f>IF(F438="","",IF(F438=0,100,MIN(100,100*Parametros!$B$3/F438)))</f>
        <v/>
      </c>
      <c r="P438" t="str">
        <f ca="1">IFERROR(((AVERAGEIFS(Observacion_Directa!$E$2:$E$1000,Observacion_Directa!$A$2:$A$1000,$A438,Observacion_Directa!$B$2:$B$1000,"&gt;="&amp;DATEVALUE($B438&amp;"-01"),Observacion_Directa!$B$2:$B$1000,"&lt;="&amp;EOMONTH(DATEVALUE($B438&amp;"-01"),0)))-1)/4*100,"")</f>
        <v/>
      </c>
      <c r="Q438" t="str">
        <f>IF(H438="","",MIN(100,100*H438/Parametros!$B$4))</f>
        <v/>
      </c>
      <c r="R438" t="str">
        <f>IF(I438="","",IF(I438=0,100,MIN(100,100*Parametros!$B$5/I438)))</f>
        <v/>
      </c>
      <c r="S438" t="str">
        <f>IF(J438="","",IF(J438=0,100,MIN(100,100*Parametros!$B$6/J438)))</f>
        <v/>
      </c>
      <c r="T438" t="str">
        <f>IF(L438="","",MIN(100,100*L438/Parametros!$B$7))</f>
        <v/>
      </c>
      <c r="U438" t="str">
        <f>IF(K438="","",MIN(100,100*K438/Parametros!$B$8))</f>
        <v/>
      </c>
      <c r="V438" t="str">
        <f ca="1">IFERROR(((AVERAGEIFS(Documentacion!$C$2:$C$1000,Documentacion!$A$2:$A$1000,$A438,Documentacion!$B$2:$B$1000,"&gt;="&amp;DATEVALUE($B438&amp;"-01"),Documentacion!$B$2:$B$1000,"&lt;="&amp;EOMONTH(DATEVALUE($B438&amp;"-01"),0)))-1)/4*100,"")</f>
        <v/>
      </c>
      <c r="W438" t="str">
        <f ca="1">IFERROR(((AVERAGEIFS(Feedback_360!$D$2:$D$1000,Feedback_360!$A$2:$A$1000,$A438,Feedback_360!$B$2:$B$1000,"&gt;="&amp;DATEVALUE($B438&amp;"-01"),Feedback_360!$B$2:$B$1000,"&lt;="&amp;EOMONTH(DATEVALUE($B438&amp;"-01"),0)))-1)/4*100,"")</f>
        <v/>
      </c>
      <c r="X438" t="str">
        <f ca="1">IFERROR(((AVERAGEIFS(Observacion_Directa!$D$2:$D$1000,Observacion_Directa!$A$2:$A$1000,$A438,Observacion_Directa!$B$2:$B$1000,"&gt;="&amp;DATEVALUE($B438&amp;"-01"),Observacion_Directa!$B$2:$B$1000,"&lt;="&amp;EOMONTH(DATEVALUE($B438&amp;"-01"),0)))-1)/4*100,"")</f>
        <v/>
      </c>
      <c r="Y438" t="e">
        <f t="shared" ca="1" si="13"/>
        <v>#DIV/0!</v>
      </c>
    </row>
    <row r="439" spans="12:25" x14ac:dyDescent="0.2">
      <c r="L439" t="str">
        <f t="shared" si="12"/>
        <v/>
      </c>
      <c r="M439" t="str">
        <f>IFERROR(AVERAGEIFS(Prod_5dias!$H$2:$H$1000,Prod_5dias!$A$2:$A$1000,$A439,Prod_5dias!$B$2:$B$1000,$B439),"")</f>
        <v/>
      </c>
      <c r="N439" t="str">
        <f>IF(M439="","",MIN(100,100*M439/Parametros!$B$7))</f>
        <v/>
      </c>
      <c r="O439" t="str">
        <f>IF(F439="","",IF(F439=0,100,MIN(100,100*Parametros!$B$3/F439)))</f>
        <v/>
      </c>
      <c r="P439" t="str">
        <f ca="1">IFERROR(((AVERAGEIFS(Observacion_Directa!$E$2:$E$1000,Observacion_Directa!$A$2:$A$1000,$A439,Observacion_Directa!$B$2:$B$1000,"&gt;="&amp;DATEVALUE($B439&amp;"-01"),Observacion_Directa!$B$2:$B$1000,"&lt;="&amp;EOMONTH(DATEVALUE($B439&amp;"-01"),0)))-1)/4*100,"")</f>
        <v/>
      </c>
      <c r="Q439" t="str">
        <f>IF(H439="","",MIN(100,100*H439/Parametros!$B$4))</f>
        <v/>
      </c>
      <c r="R439" t="str">
        <f>IF(I439="","",IF(I439=0,100,MIN(100,100*Parametros!$B$5/I439)))</f>
        <v/>
      </c>
      <c r="S439" t="str">
        <f>IF(J439="","",IF(J439=0,100,MIN(100,100*Parametros!$B$6/J439)))</f>
        <v/>
      </c>
      <c r="T439" t="str">
        <f>IF(L439="","",MIN(100,100*L439/Parametros!$B$7))</f>
        <v/>
      </c>
      <c r="U439" t="str">
        <f>IF(K439="","",MIN(100,100*K439/Parametros!$B$8))</f>
        <v/>
      </c>
      <c r="V439" t="str">
        <f ca="1">IFERROR(((AVERAGEIFS(Documentacion!$C$2:$C$1000,Documentacion!$A$2:$A$1000,$A439,Documentacion!$B$2:$B$1000,"&gt;="&amp;DATEVALUE($B439&amp;"-01"),Documentacion!$B$2:$B$1000,"&lt;="&amp;EOMONTH(DATEVALUE($B439&amp;"-01"),0)))-1)/4*100,"")</f>
        <v/>
      </c>
      <c r="W439" t="str">
        <f ca="1">IFERROR(((AVERAGEIFS(Feedback_360!$D$2:$D$1000,Feedback_360!$A$2:$A$1000,$A439,Feedback_360!$B$2:$B$1000,"&gt;="&amp;DATEVALUE($B439&amp;"-01"),Feedback_360!$B$2:$B$1000,"&lt;="&amp;EOMONTH(DATEVALUE($B439&amp;"-01"),0)))-1)/4*100,"")</f>
        <v/>
      </c>
      <c r="X439" t="str">
        <f ca="1">IFERROR(((AVERAGEIFS(Observacion_Directa!$D$2:$D$1000,Observacion_Directa!$A$2:$A$1000,$A439,Observacion_Directa!$B$2:$B$1000,"&gt;="&amp;DATEVALUE($B439&amp;"-01"),Observacion_Directa!$B$2:$B$1000,"&lt;="&amp;EOMONTH(DATEVALUE($B439&amp;"-01"),0)))-1)/4*100,"")</f>
        <v/>
      </c>
      <c r="Y439" t="e">
        <f t="shared" ca="1" si="13"/>
        <v>#DIV/0!</v>
      </c>
    </row>
    <row r="440" spans="12:25" x14ac:dyDescent="0.2">
      <c r="L440" t="str">
        <f t="shared" si="12"/>
        <v/>
      </c>
      <c r="M440" t="str">
        <f>IFERROR(AVERAGEIFS(Prod_5dias!$H$2:$H$1000,Prod_5dias!$A$2:$A$1000,$A440,Prod_5dias!$B$2:$B$1000,$B440),"")</f>
        <v/>
      </c>
      <c r="N440" t="str">
        <f>IF(M440="","",MIN(100,100*M440/Parametros!$B$7))</f>
        <v/>
      </c>
      <c r="O440" t="str">
        <f>IF(F440="","",IF(F440=0,100,MIN(100,100*Parametros!$B$3/F440)))</f>
        <v/>
      </c>
      <c r="P440" t="str">
        <f ca="1">IFERROR(((AVERAGEIFS(Observacion_Directa!$E$2:$E$1000,Observacion_Directa!$A$2:$A$1000,$A440,Observacion_Directa!$B$2:$B$1000,"&gt;="&amp;DATEVALUE($B440&amp;"-01"),Observacion_Directa!$B$2:$B$1000,"&lt;="&amp;EOMONTH(DATEVALUE($B440&amp;"-01"),0)))-1)/4*100,"")</f>
        <v/>
      </c>
      <c r="Q440" t="str">
        <f>IF(H440="","",MIN(100,100*H440/Parametros!$B$4))</f>
        <v/>
      </c>
      <c r="R440" t="str">
        <f>IF(I440="","",IF(I440=0,100,MIN(100,100*Parametros!$B$5/I440)))</f>
        <v/>
      </c>
      <c r="S440" t="str">
        <f>IF(J440="","",IF(J440=0,100,MIN(100,100*Parametros!$B$6/J440)))</f>
        <v/>
      </c>
      <c r="T440" t="str">
        <f>IF(L440="","",MIN(100,100*L440/Parametros!$B$7))</f>
        <v/>
      </c>
      <c r="U440" t="str">
        <f>IF(K440="","",MIN(100,100*K440/Parametros!$B$8))</f>
        <v/>
      </c>
      <c r="V440" t="str">
        <f ca="1">IFERROR(((AVERAGEIFS(Documentacion!$C$2:$C$1000,Documentacion!$A$2:$A$1000,$A440,Documentacion!$B$2:$B$1000,"&gt;="&amp;DATEVALUE($B440&amp;"-01"),Documentacion!$B$2:$B$1000,"&lt;="&amp;EOMONTH(DATEVALUE($B440&amp;"-01"),0)))-1)/4*100,"")</f>
        <v/>
      </c>
      <c r="W440" t="str">
        <f ca="1">IFERROR(((AVERAGEIFS(Feedback_360!$D$2:$D$1000,Feedback_360!$A$2:$A$1000,$A440,Feedback_360!$B$2:$B$1000,"&gt;="&amp;DATEVALUE($B440&amp;"-01"),Feedback_360!$B$2:$B$1000,"&lt;="&amp;EOMONTH(DATEVALUE($B440&amp;"-01"),0)))-1)/4*100,"")</f>
        <v/>
      </c>
      <c r="X440" t="str">
        <f ca="1">IFERROR(((AVERAGEIFS(Observacion_Directa!$D$2:$D$1000,Observacion_Directa!$A$2:$A$1000,$A440,Observacion_Directa!$B$2:$B$1000,"&gt;="&amp;DATEVALUE($B440&amp;"-01"),Observacion_Directa!$B$2:$B$1000,"&lt;="&amp;EOMONTH(DATEVALUE($B440&amp;"-01"),0)))-1)/4*100,"")</f>
        <v/>
      </c>
      <c r="Y440" t="e">
        <f t="shared" ca="1" si="13"/>
        <v>#DIV/0!</v>
      </c>
    </row>
    <row r="441" spans="12:25" x14ac:dyDescent="0.2">
      <c r="L441" t="str">
        <f t="shared" si="12"/>
        <v/>
      </c>
      <c r="M441" t="str">
        <f>IFERROR(AVERAGEIFS(Prod_5dias!$H$2:$H$1000,Prod_5dias!$A$2:$A$1000,$A441,Prod_5dias!$B$2:$B$1000,$B441),"")</f>
        <v/>
      </c>
      <c r="N441" t="str">
        <f>IF(M441="","",MIN(100,100*M441/Parametros!$B$7))</f>
        <v/>
      </c>
      <c r="O441" t="str">
        <f>IF(F441="","",IF(F441=0,100,MIN(100,100*Parametros!$B$3/F441)))</f>
        <v/>
      </c>
      <c r="P441" t="str">
        <f ca="1">IFERROR(((AVERAGEIFS(Observacion_Directa!$E$2:$E$1000,Observacion_Directa!$A$2:$A$1000,$A441,Observacion_Directa!$B$2:$B$1000,"&gt;="&amp;DATEVALUE($B441&amp;"-01"),Observacion_Directa!$B$2:$B$1000,"&lt;="&amp;EOMONTH(DATEVALUE($B441&amp;"-01"),0)))-1)/4*100,"")</f>
        <v/>
      </c>
      <c r="Q441" t="str">
        <f>IF(H441="","",MIN(100,100*H441/Parametros!$B$4))</f>
        <v/>
      </c>
      <c r="R441" t="str">
        <f>IF(I441="","",IF(I441=0,100,MIN(100,100*Parametros!$B$5/I441)))</f>
        <v/>
      </c>
      <c r="S441" t="str">
        <f>IF(J441="","",IF(J441=0,100,MIN(100,100*Parametros!$B$6/J441)))</f>
        <v/>
      </c>
      <c r="T441" t="str">
        <f>IF(L441="","",MIN(100,100*L441/Parametros!$B$7))</f>
        <v/>
      </c>
      <c r="U441" t="str">
        <f>IF(K441="","",MIN(100,100*K441/Parametros!$B$8))</f>
        <v/>
      </c>
      <c r="V441" t="str">
        <f ca="1">IFERROR(((AVERAGEIFS(Documentacion!$C$2:$C$1000,Documentacion!$A$2:$A$1000,$A441,Documentacion!$B$2:$B$1000,"&gt;="&amp;DATEVALUE($B441&amp;"-01"),Documentacion!$B$2:$B$1000,"&lt;="&amp;EOMONTH(DATEVALUE($B441&amp;"-01"),0)))-1)/4*100,"")</f>
        <v/>
      </c>
      <c r="W441" t="str">
        <f ca="1">IFERROR(((AVERAGEIFS(Feedback_360!$D$2:$D$1000,Feedback_360!$A$2:$A$1000,$A441,Feedback_360!$B$2:$B$1000,"&gt;="&amp;DATEVALUE($B441&amp;"-01"),Feedback_360!$B$2:$B$1000,"&lt;="&amp;EOMONTH(DATEVALUE($B441&amp;"-01"),0)))-1)/4*100,"")</f>
        <v/>
      </c>
      <c r="X441" t="str">
        <f ca="1">IFERROR(((AVERAGEIFS(Observacion_Directa!$D$2:$D$1000,Observacion_Directa!$A$2:$A$1000,$A441,Observacion_Directa!$B$2:$B$1000,"&gt;="&amp;DATEVALUE($B441&amp;"-01"),Observacion_Directa!$B$2:$B$1000,"&lt;="&amp;EOMONTH(DATEVALUE($B441&amp;"-01"),0)))-1)/4*100,"")</f>
        <v/>
      </c>
      <c r="Y441" t="e">
        <f t="shared" ca="1" si="13"/>
        <v>#DIV/0!</v>
      </c>
    </row>
    <row r="442" spans="12:25" x14ac:dyDescent="0.2">
      <c r="L442" t="str">
        <f t="shared" si="12"/>
        <v/>
      </c>
      <c r="M442" t="str">
        <f>IFERROR(AVERAGEIFS(Prod_5dias!$H$2:$H$1000,Prod_5dias!$A$2:$A$1000,$A442,Prod_5dias!$B$2:$B$1000,$B442),"")</f>
        <v/>
      </c>
      <c r="N442" t="str">
        <f>IF(M442="","",MIN(100,100*M442/Parametros!$B$7))</f>
        <v/>
      </c>
      <c r="O442" t="str">
        <f>IF(F442="","",IF(F442=0,100,MIN(100,100*Parametros!$B$3/F442)))</f>
        <v/>
      </c>
      <c r="P442" t="str">
        <f ca="1">IFERROR(((AVERAGEIFS(Observacion_Directa!$E$2:$E$1000,Observacion_Directa!$A$2:$A$1000,$A442,Observacion_Directa!$B$2:$B$1000,"&gt;="&amp;DATEVALUE($B442&amp;"-01"),Observacion_Directa!$B$2:$B$1000,"&lt;="&amp;EOMONTH(DATEVALUE($B442&amp;"-01"),0)))-1)/4*100,"")</f>
        <v/>
      </c>
      <c r="Q442" t="str">
        <f>IF(H442="","",MIN(100,100*H442/Parametros!$B$4))</f>
        <v/>
      </c>
      <c r="R442" t="str">
        <f>IF(I442="","",IF(I442=0,100,MIN(100,100*Parametros!$B$5/I442)))</f>
        <v/>
      </c>
      <c r="S442" t="str">
        <f>IF(J442="","",IF(J442=0,100,MIN(100,100*Parametros!$B$6/J442)))</f>
        <v/>
      </c>
      <c r="T442" t="str">
        <f>IF(L442="","",MIN(100,100*L442/Parametros!$B$7))</f>
        <v/>
      </c>
      <c r="U442" t="str">
        <f>IF(K442="","",MIN(100,100*K442/Parametros!$B$8))</f>
        <v/>
      </c>
      <c r="V442" t="str">
        <f ca="1">IFERROR(((AVERAGEIFS(Documentacion!$C$2:$C$1000,Documentacion!$A$2:$A$1000,$A442,Documentacion!$B$2:$B$1000,"&gt;="&amp;DATEVALUE($B442&amp;"-01"),Documentacion!$B$2:$B$1000,"&lt;="&amp;EOMONTH(DATEVALUE($B442&amp;"-01"),0)))-1)/4*100,"")</f>
        <v/>
      </c>
      <c r="W442" t="str">
        <f ca="1">IFERROR(((AVERAGEIFS(Feedback_360!$D$2:$D$1000,Feedback_360!$A$2:$A$1000,$A442,Feedback_360!$B$2:$B$1000,"&gt;="&amp;DATEVALUE($B442&amp;"-01"),Feedback_360!$B$2:$B$1000,"&lt;="&amp;EOMONTH(DATEVALUE($B442&amp;"-01"),0)))-1)/4*100,"")</f>
        <v/>
      </c>
      <c r="X442" t="str">
        <f ca="1">IFERROR(((AVERAGEIFS(Observacion_Directa!$D$2:$D$1000,Observacion_Directa!$A$2:$A$1000,$A442,Observacion_Directa!$B$2:$B$1000,"&gt;="&amp;DATEVALUE($B442&amp;"-01"),Observacion_Directa!$B$2:$B$1000,"&lt;="&amp;EOMONTH(DATEVALUE($B442&amp;"-01"),0)))-1)/4*100,"")</f>
        <v/>
      </c>
      <c r="Y442" t="e">
        <f t="shared" ca="1" si="13"/>
        <v>#DIV/0!</v>
      </c>
    </row>
    <row r="443" spans="12:25" x14ac:dyDescent="0.2">
      <c r="L443" t="str">
        <f t="shared" si="12"/>
        <v/>
      </c>
      <c r="M443" t="str">
        <f>IFERROR(AVERAGEIFS(Prod_5dias!$H$2:$H$1000,Prod_5dias!$A$2:$A$1000,$A443,Prod_5dias!$B$2:$B$1000,$B443),"")</f>
        <v/>
      </c>
      <c r="N443" t="str">
        <f>IF(M443="","",MIN(100,100*M443/Parametros!$B$7))</f>
        <v/>
      </c>
      <c r="O443" t="str">
        <f>IF(F443="","",IF(F443=0,100,MIN(100,100*Parametros!$B$3/F443)))</f>
        <v/>
      </c>
      <c r="P443" t="str">
        <f ca="1">IFERROR(((AVERAGEIFS(Observacion_Directa!$E$2:$E$1000,Observacion_Directa!$A$2:$A$1000,$A443,Observacion_Directa!$B$2:$B$1000,"&gt;="&amp;DATEVALUE($B443&amp;"-01"),Observacion_Directa!$B$2:$B$1000,"&lt;="&amp;EOMONTH(DATEVALUE($B443&amp;"-01"),0)))-1)/4*100,"")</f>
        <v/>
      </c>
      <c r="Q443" t="str">
        <f>IF(H443="","",MIN(100,100*H443/Parametros!$B$4))</f>
        <v/>
      </c>
      <c r="R443" t="str">
        <f>IF(I443="","",IF(I443=0,100,MIN(100,100*Parametros!$B$5/I443)))</f>
        <v/>
      </c>
      <c r="S443" t="str">
        <f>IF(J443="","",IF(J443=0,100,MIN(100,100*Parametros!$B$6/J443)))</f>
        <v/>
      </c>
      <c r="T443" t="str">
        <f>IF(L443="","",MIN(100,100*L443/Parametros!$B$7))</f>
        <v/>
      </c>
      <c r="U443" t="str">
        <f>IF(K443="","",MIN(100,100*K443/Parametros!$B$8))</f>
        <v/>
      </c>
      <c r="V443" t="str">
        <f ca="1">IFERROR(((AVERAGEIFS(Documentacion!$C$2:$C$1000,Documentacion!$A$2:$A$1000,$A443,Documentacion!$B$2:$B$1000,"&gt;="&amp;DATEVALUE($B443&amp;"-01"),Documentacion!$B$2:$B$1000,"&lt;="&amp;EOMONTH(DATEVALUE($B443&amp;"-01"),0)))-1)/4*100,"")</f>
        <v/>
      </c>
      <c r="W443" t="str">
        <f ca="1">IFERROR(((AVERAGEIFS(Feedback_360!$D$2:$D$1000,Feedback_360!$A$2:$A$1000,$A443,Feedback_360!$B$2:$B$1000,"&gt;="&amp;DATEVALUE($B443&amp;"-01"),Feedback_360!$B$2:$B$1000,"&lt;="&amp;EOMONTH(DATEVALUE($B443&amp;"-01"),0)))-1)/4*100,"")</f>
        <v/>
      </c>
      <c r="X443" t="str">
        <f ca="1">IFERROR(((AVERAGEIFS(Observacion_Directa!$D$2:$D$1000,Observacion_Directa!$A$2:$A$1000,$A443,Observacion_Directa!$B$2:$B$1000,"&gt;="&amp;DATEVALUE($B443&amp;"-01"),Observacion_Directa!$B$2:$B$1000,"&lt;="&amp;EOMONTH(DATEVALUE($B443&amp;"-01"),0)))-1)/4*100,"")</f>
        <v/>
      </c>
      <c r="Y443" t="e">
        <f t="shared" ca="1" si="13"/>
        <v>#DIV/0!</v>
      </c>
    </row>
    <row r="444" spans="12:25" x14ac:dyDescent="0.2">
      <c r="L444" t="str">
        <f t="shared" si="12"/>
        <v/>
      </c>
      <c r="M444" t="str">
        <f>IFERROR(AVERAGEIFS(Prod_5dias!$H$2:$H$1000,Prod_5dias!$A$2:$A$1000,$A444,Prod_5dias!$B$2:$B$1000,$B444),"")</f>
        <v/>
      </c>
      <c r="N444" t="str">
        <f>IF(M444="","",MIN(100,100*M444/Parametros!$B$7))</f>
        <v/>
      </c>
      <c r="O444" t="str">
        <f>IF(F444="","",IF(F444=0,100,MIN(100,100*Parametros!$B$3/F444)))</f>
        <v/>
      </c>
      <c r="P444" t="str">
        <f ca="1">IFERROR(((AVERAGEIFS(Observacion_Directa!$E$2:$E$1000,Observacion_Directa!$A$2:$A$1000,$A444,Observacion_Directa!$B$2:$B$1000,"&gt;="&amp;DATEVALUE($B444&amp;"-01"),Observacion_Directa!$B$2:$B$1000,"&lt;="&amp;EOMONTH(DATEVALUE($B444&amp;"-01"),0)))-1)/4*100,"")</f>
        <v/>
      </c>
      <c r="Q444" t="str">
        <f>IF(H444="","",MIN(100,100*H444/Parametros!$B$4))</f>
        <v/>
      </c>
      <c r="R444" t="str">
        <f>IF(I444="","",IF(I444=0,100,MIN(100,100*Parametros!$B$5/I444)))</f>
        <v/>
      </c>
      <c r="S444" t="str">
        <f>IF(J444="","",IF(J444=0,100,MIN(100,100*Parametros!$B$6/J444)))</f>
        <v/>
      </c>
      <c r="T444" t="str">
        <f>IF(L444="","",MIN(100,100*L444/Parametros!$B$7))</f>
        <v/>
      </c>
      <c r="U444" t="str">
        <f>IF(K444="","",MIN(100,100*K444/Parametros!$B$8))</f>
        <v/>
      </c>
      <c r="V444" t="str">
        <f ca="1">IFERROR(((AVERAGEIFS(Documentacion!$C$2:$C$1000,Documentacion!$A$2:$A$1000,$A444,Documentacion!$B$2:$B$1000,"&gt;="&amp;DATEVALUE($B444&amp;"-01"),Documentacion!$B$2:$B$1000,"&lt;="&amp;EOMONTH(DATEVALUE($B444&amp;"-01"),0)))-1)/4*100,"")</f>
        <v/>
      </c>
      <c r="W444" t="str">
        <f ca="1">IFERROR(((AVERAGEIFS(Feedback_360!$D$2:$D$1000,Feedback_360!$A$2:$A$1000,$A444,Feedback_360!$B$2:$B$1000,"&gt;="&amp;DATEVALUE($B444&amp;"-01"),Feedback_360!$B$2:$B$1000,"&lt;="&amp;EOMONTH(DATEVALUE($B444&amp;"-01"),0)))-1)/4*100,"")</f>
        <v/>
      </c>
      <c r="X444" t="str">
        <f ca="1">IFERROR(((AVERAGEIFS(Observacion_Directa!$D$2:$D$1000,Observacion_Directa!$A$2:$A$1000,$A444,Observacion_Directa!$B$2:$B$1000,"&gt;="&amp;DATEVALUE($B444&amp;"-01"),Observacion_Directa!$B$2:$B$1000,"&lt;="&amp;EOMONTH(DATEVALUE($B444&amp;"-01"),0)))-1)/4*100,"")</f>
        <v/>
      </c>
      <c r="Y444" t="e">
        <f t="shared" ca="1" si="13"/>
        <v>#DIV/0!</v>
      </c>
    </row>
    <row r="445" spans="12:25" x14ac:dyDescent="0.2">
      <c r="L445" t="str">
        <f t="shared" si="12"/>
        <v/>
      </c>
      <c r="M445" t="str">
        <f>IFERROR(AVERAGEIFS(Prod_5dias!$H$2:$H$1000,Prod_5dias!$A$2:$A$1000,$A445,Prod_5dias!$B$2:$B$1000,$B445),"")</f>
        <v/>
      </c>
      <c r="N445" t="str">
        <f>IF(M445="","",MIN(100,100*M445/Parametros!$B$7))</f>
        <v/>
      </c>
      <c r="O445" t="str">
        <f>IF(F445="","",IF(F445=0,100,MIN(100,100*Parametros!$B$3/F445)))</f>
        <v/>
      </c>
      <c r="P445" t="str">
        <f ca="1">IFERROR(((AVERAGEIFS(Observacion_Directa!$E$2:$E$1000,Observacion_Directa!$A$2:$A$1000,$A445,Observacion_Directa!$B$2:$B$1000,"&gt;="&amp;DATEVALUE($B445&amp;"-01"),Observacion_Directa!$B$2:$B$1000,"&lt;="&amp;EOMONTH(DATEVALUE($B445&amp;"-01"),0)))-1)/4*100,"")</f>
        <v/>
      </c>
      <c r="Q445" t="str">
        <f>IF(H445="","",MIN(100,100*H445/Parametros!$B$4))</f>
        <v/>
      </c>
      <c r="R445" t="str">
        <f>IF(I445="","",IF(I445=0,100,MIN(100,100*Parametros!$B$5/I445)))</f>
        <v/>
      </c>
      <c r="S445" t="str">
        <f>IF(J445="","",IF(J445=0,100,MIN(100,100*Parametros!$B$6/J445)))</f>
        <v/>
      </c>
      <c r="T445" t="str">
        <f>IF(L445="","",MIN(100,100*L445/Parametros!$B$7))</f>
        <v/>
      </c>
      <c r="U445" t="str">
        <f>IF(K445="","",MIN(100,100*K445/Parametros!$B$8))</f>
        <v/>
      </c>
      <c r="V445" t="str">
        <f ca="1">IFERROR(((AVERAGEIFS(Documentacion!$C$2:$C$1000,Documentacion!$A$2:$A$1000,$A445,Documentacion!$B$2:$B$1000,"&gt;="&amp;DATEVALUE($B445&amp;"-01"),Documentacion!$B$2:$B$1000,"&lt;="&amp;EOMONTH(DATEVALUE($B445&amp;"-01"),0)))-1)/4*100,"")</f>
        <v/>
      </c>
      <c r="W445" t="str">
        <f ca="1">IFERROR(((AVERAGEIFS(Feedback_360!$D$2:$D$1000,Feedback_360!$A$2:$A$1000,$A445,Feedback_360!$B$2:$B$1000,"&gt;="&amp;DATEVALUE($B445&amp;"-01"),Feedback_360!$B$2:$B$1000,"&lt;="&amp;EOMONTH(DATEVALUE($B445&amp;"-01"),0)))-1)/4*100,"")</f>
        <v/>
      </c>
      <c r="X445" t="str">
        <f ca="1">IFERROR(((AVERAGEIFS(Observacion_Directa!$D$2:$D$1000,Observacion_Directa!$A$2:$A$1000,$A445,Observacion_Directa!$B$2:$B$1000,"&gt;="&amp;DATEVALUE($B445&amp;"-01"),Observacion_Directa!$B$2:$B$1000,"&lt;="&amp;EOMONTH(DATEVALUE($B445&amp;"-01"),0)))-1)/4*100,"")</f>
        <v/>
      </c>
      <c r="Y445" t="e">
        <f t="shared" ca="1" si="13"/>
        <v>#DIV/0!</v>
      </c>
    </row>
    <row r="446" spans="12:25" x14ac:dyDescent="0.2">
      <c r="L446" t="str">
        <f t="shared" si="12"/>
        <v/>
      </c>
      <c r="M446" t="str">
        <f>IFERROR(AVERAGEIFS(Prod_5dias!$H$2:$H$1000,Prod_5dias!$A$2:$A$1000,$A446,Prod_5dias!$B$2:$B$1000,$B446),"")</f>
        <v/>
      </c>
      <c r="N446" t="str">
        <f>IF(M446="","",MIN(100,100*M446/Parametros!$B$7))</f>
        <v/>
      </c>
      <c r="O446" t="str">
        <f>IF(F446="","",IF(F446=0,100,MIN(100,100*Parametros!$B$3/F446)))</f>
        <v/>
      </c>
      <c r="P446" t="str">
        <f ca="1">IFERROR(((AVERAGEIFS(Observacion_Directa!$E$2:$E$1000,Observacion_Directa!$A$2:$A$1000,$A446,Observacion_Directa!$B$2:$B$1000,"&gt;="&amp;DATEVALUE($B446&amp;"-01"),Observacion_Directa!$B$2:$B$1000,"&lt;="&amp;EOMONTH(DATEVALUE($B446&amp;"-01"),0)))-1)/4*100,"")</f>
        <v/>
      </c>
      <c r="Q446" t="str">
        <f>IF(H446="","",MIN(100,100*H446/Parametros!$B$4))</f>
        <v/>
      </c>
      <c r="R446" t="str">
        <f>IF(I446="","",IF(I446=0,100,MIN(100,100*Parametros!$B$5/I446)))</f>
        <v/>
      </c>
      <c r="S446" t="str">
        <f>IF(J446="","",IF(J446=0,100,MIN(100,100*Parametros!$B$6/J446)))</f>
        <v/>
      </c>
      <c r="T446" t="str">
        <f>IF(L446="","",MIN(100,100*L446/Parametros!$B$7))</f>
        <v/>
      </c>
      <c r="U446" t="str">
        <f>IF(K446="","",MIN(100,100*K446/Parametros!$B$8))</f>
        <v/>
      </c>
      <c r="V446" t="str">
        <f ca="1">IFERROR(((AVERAGEIFS(Documentacion!$C$2:$C$1000,Documentacion!$A$2:$A$1000,$A446,Documentacion!$B$2:$B$1000,"&gt;="&amp;DATEVALUE($B446&amp;"-01"),Documentacion!$B$2:$B$1000,"&lt;="&amp;EOMONTH(DATEVALUE($B446&amp;"-01"),0)))-1)/4*100,"")</f>
        <v/>
      </c>
      <c r="W446" t="str">
        <f ca="1">IFERROR(((AVERAGEIFS(Feedback_360!$D$2:$D$1000,Feedback_360!$A$2:$A$1000,$A446,Feedback_360!$B$2:$B$1000,"&gt;="&amp;DATEVALUE($B446&amp;"-01"),Feedback_360!$B$2:$B$1000,"&lt;="&amp;EOMONTH(DATEVALUE($B446&amp;"-01"),0)))-1)/4*100,"")</f>
        <v/>
      </c>
      <c r="X446" t="str">
        <f ca="1">IFERROR(((AVERAGEIFS(Observacion_Directa!$D$2:$D$1000,Observacion_Directa!$A$2:$A$1000,$A446,Observacion_Directa!$B$2:$B$1000,"&gt;="&amp;DATEVALUE($B446&amp;"-01"),Observacion_Directa!$B$2:$B$1000,"&lt;="&amp;EOMONTH(DATEVALUE($B446&amp;"-01"),0)))-1)/4*100,"")</f>
        <v/>
      </c>
      <c r="Y446" t="e">
        <f t="shared" ca="1" si="13"/>
        <v>#DIV/0!</v>
      </c>
    </row>
    <row r="447" spans="12:25" x14ac:dyDescent="0.2">
      <c r="L447" t="str">
        <f t="shared" si="12"/>
        <v/>
      </c>
      <c r="M447" t="str">
        <f>IFERROR(AVERAGEIFS(Prod_5dias!$H$2:$H$1000,Prod_5dias!$A$2:$A$1000,$A447,Prod_5dias!$B$2:$B$1000,$B447),"")</f>
        <v/>
      </c>
      <c r="N447" t="str">
        <f>IF(M447="","",MIN(100,100*M447/Parametros!$B$7))</f>
        <v/>
      </c>
      <c r="O447" t="str">
        <f>IF(F447="","",IF(F447=0,100,MIN(100,100*Parametros!$B$3/F447)))</f>
        <v/>
      </c>
      <c r="P447" t="str">
        <f ca="1">IFERROR(((AVERAGEIFS(Observacion_Directa!$E$2:$E$1000,Observacion_Directa!$A$2:$A$1000,$A447,Observacion_Directa!$B$2:$B$1000,"&gt;="&amp;DATEVALUE($B447&amp;"-01"),Observacion_Directa!$B$2:$B$1000,"&lt;="&amp;EOMONTH(DATEVALUE($B447&amp;"-01"),0)))-1)/4*100,"")</f>
        <v/>
      </c>
      <c r="Q447" t="str">
        <f>IF(H447="","",MIN(100,100*H447/Parametros!$B$4))</f>
        <v/>
      </c>
      <c r="R447" t="str">
        <f>IF(I447="","",IF(I447=0,100,MIN(100,100*Parametros!$B$5/I447)))</f>
        <v/>
      </c>
      <c r="S447" t="str">
        <f>IF(J447="","",IF(J447=0,100,MIN(100,100*Parametros!$B$6/J447)))</f>
        <v/>
      </c>
      <c r="T447" t="str">
        <f>IF(L447="","",MIN(100,100*L447/Parametros!$B$7))</f>
        <v/>
      </c>
      <c r="U447" t="str">
        <f>IF(K447="","",MIN(100,100*K447/Parametros!$B$8))</f>
        <v/>
      </c>
      <c r="V447" t="str">
        <f ca="1">IFERROR(((AVERAGEIFS(Documentacion!$C$2:$C$1000,Documentacion!$A$2:$A$1000,$A447,Documentacion!$B$2:$B$1000,"&gt;="&amp;DATEVALUE($B447&amp;"-01"),Documentacion!$B$2:$B$1000,"&lt;="&amp;EOMONTH(DATEVALUE($B447&amp;"-01"),0)))-1)/4*100,"")</f>
        <v/>
      </c>
      <c r="W447" t="str">
        <f ca="1">IFERROR(((AVERAGEIFS(Feedback_360!$D$2:$D$1000,Feedback_360!$A$2:$A$1000,$A447,Feedback_360!$B$2:$B$1000,"&gt;="&amp;DATEVALUE($B447&amp;"-01"),Feedback_360!$B$2:$B$1000,"&lt;="&amp;EOMONTH(DATEVALUE($B447&amp;"-01"),0)))-1)/4*100,"")</f>
        <v/>
      </c>
      <c r="X447" t="str">
        <f ca="1">IFERROR(((AVERAGEIFS(Observacion_Directa!$D$2:$D$1000,Observacion_Directa!$A$2:$A$1000,$A447,Observacion_Directa!$B$2:$B$1000,"&gt;="&amp;DATEVALUE($B447&amp;"-01"),Observacion_Directa!$B$2:$B$1000,"&lt;="&amp;EOMONTH(DATEVALUE($B447&amp;"-01"),0)))-1)/4*100,"")</f>
        <v/>
      </c>
      <c r="Y447" t="e">
        <f t="shared" ca="1" si="13"/>
        <v>#DIV/0!</v>
      </c>
    </row>
    <row r="448" spans="12:25" x14ac:dyDescent="0.2">
      <c r="L448" t="str">
        <f t="shared" si="12"/>
        <v/>
      </c>
      <c r="M448" t="str">
        <f>IFERROR(AVERAGEIFS(Prod_5dias!$H$2:$H$1000,Prod_5dias!$A$2:$A$1000,$A448,Prod_5dias!$B$2:$B$1000,$B448),"")</f>
        <v/>
      </c>
      <c r="N448" t="str">
        <f>IF(M448="","",MIN(100,100*M448/Parametros!$B$7))</f>
        <v/>
      </c>
      <c r="O448" t="str">
        <f>IF(F448="","",IF(F448=0,100,MIN(100,100*Parametros!$B$3/F448)))</f>
        <v/>
      </c>
      <c r="P448" t="str">
        <f ca="1">IFERROR(((AVERAGEIFS(Observacion_Directa!$E$2:$E$1000,Observacion_Directa!$A$2:$A$1000,$A448,Observacion_Directa!$B$2:$B$1000,"&gt;="&amp;DATEVALUE($B448&amp;"-01"),Observacion_Directa!$B$2:$B$1000,"&lt;="&amp;EOMONTH(DATEVALUE($B448&amp;"-01"),0)))-1)/4*100,"")</f>
        <v/>
      </c>
      <c r="Q448" t="str">
        <f>IF(H448="","",MIN(100,100*H448/Parametros!$B$4))</f>
        <v/>
      </c>
      <c r="R448" t="str">
        <f>IF(I448="","",IF(I448=0,100,MIN(100,100*Parametros!$B$5/I448)))</f>
        <v/>
      </c>
      <c r="S448" t="str">
        <f>IF(J448="","",IF(J448=0,100,MIN(100,100*Parametros!$B$6/J448)))</f>
        <v/>
      </c>
      <c r="T448" t="str">
        <f>IF(L448="","",MIN(100,100*L448/Parametros!$B$7))</f>
        <v/>
      </c>
      <c r="U448" t="str">
        <f>IF(K448="","",MIN(100,100*K448/Parametros!$B$8))</f>
        <v/>
      </c>
      <c r="V448" t="str">
        <f ca="1">IFERROR(((AVERAGEIFS(Documentacion!$C$2:$C$1000,Documentacion!$A$2:$A$1000,$A448,Documentacion!$B$2:$B$1000,"&gt;="&amp;DATEVALUE($B448&amp;"-01"),Documentacion!$B$2:$B$1000,"&lt;="&amp;EOMONTH(DATEVALUE($B448&amp;"-01"),0)))-1)/4*100,"")</f>
        <v/>
      </c>
      <c r="W448" t="str">
        <f ca="1">IFERROR(((AVERAGEIFS(Feedback_360!$D$2:$D$1000,Feedback_360!$A$2:$A$1000,$A448,Feedback_360!$B$2:$B$1000,"&gt;="&amp;DATEVALUE($B448&amp;"-01"),Feedback_360!$B$2:$B$1000,"&lt;="&amp;EOMONTH(DATEVALUE($B448&amp;"-01"),0)))-1)/4*100,"")</f>
        <v/>
      </c>
      <c r="X448" t="str">
        <f ca="1">IFERROR(((AVERAGEIFS(Observacion_Directa!$D$2:$D$1000,Observacion_Directa!$A$2:$A$1000,$A448,Observacion_Directa!$B$2:$B$1000,"&gt;="&amp;DATEVALUE($B448&amp;"-01"),Observacion_Directa!$B$2:$B$1000,"&lt;="&amp;EOMONTH(DATEVALUE($B448&amp;"-01"),0)))-1)/4*100,"")</f>
        <v/>
      </c>
      <c r="Y448" t="e">
        <f t="shared" ca="1" si="13"/>
        <v>#DIV/0!</v>
      </c>
    </row>
    <row r="449" spans="12:25" x14ac:dyDescent="0.2">
      <c r="L449" t="str">
        <f t="shared" si="12"/>
        <v/>
      </c>
      <c r="M449" t="str">
        <f>IFERROR(AVERAGEIFS(Prod_5dias!$H$2:$H$1000,Prod_5dias!$A$2:$A$1000,$A449,Prod_5dias!$B$2:$B$1000,$B449),"")</f>
        <v/>
      </c>
      <c r="N449" t="str">
        <f>IF(M449="","",MIN(100,100*M449/Parametros!$B$7))</f>
        <v/>
      </c>
      <c r="O449" t="str">
        <f>IF(F449="","",IF(F449=0,100,MIN(100,100*Parametros!$B$3/F449)))</f>
        <v/>
      </c>
      <c r="P449" t="str">
        <f ca="1">IFERROR(((AVERAGEIFS(Observacion_Directa!$E$2:$E$1000,Observacion_Directa!$A$2:$A$1000,$A449,Observacion_Directa!$B$2:$B$1000,"&gt;="&amp;DATEVALUE($B449&amp;"-01"),Observacion_Directa!$B$2:$B$1000,"&lt;="&amp;EOMONTH(DATEVALUE($B449&amp;"-01"),0)))-1)/4*100,"")</f>
        <v/>
      </c>
      <c r="Q449" t="str">
        <f>IF(H449="","",MIN(100,100*H449/Parametros!$B$4))</f>
        <v/>
      </c>
      <c r="R449" t="str">
        <f>IF(I449="","",IF(I449=0,100,MIN(100,100*Parametros!$B$5/I449)))</f>
        <v/>
      </c>
      <c r="S449" t="str">
        <f>IF(J449="","",IF(J449=0,100,MIN(100,100*Parametros!$B$6/J449)))</f>
        <v/>
      </c>
      <c r="T449" t="str">
        <f>IF(L449="","",MIN(100,100*L449/Parametros!$B$7))</f>
        <v/>
      </c>
      <c r="U449" t="str">
        <f>IF(K449="","",MIN(100,100*K449/Parametros!$B$8))</f>
        <v/>
      </c>
      <c r="V449" t="str">
        <f ca="1">IFERROR(((AVERAGEIFS(Documentacion!$C$2:$C$1000,Documentacion!$A$2:$A$1000,$A449,Documentacion!$B$2:$B$1000,"&gt;="&amp;DATEVALUE($B449&amp;"-01"),Documentacion!$B$2:$B$1000,"&lt;="&amp;EOMONTH(DATEVALUE($B449&amp;"-01"),0)))-1)/4*100,"")</f>
        <v/>
      </c>
      <c r="W449" t="str">
        <f ca="1">IFERROR(((AVERAGEIFS(Feedback_360!$D$2:$D$1000,Feedback_360!$A$2:$A$1000,$A449,Feedback_360!$B$2:$B$1000,"&gt;="&amp;DATEVALUE($B449&amp;"-01"),Feedback_360!$B$2:$B$1000,"&lt;="&amp;EOMONTH(DATEVALUE($B449&amp;"-01"),0)))-1)/4*100,"")</f>
        <v/>
      </c>
      <c r="X449" t="str">
        <f ca="1">IFERROR(((AVERAGEIFS(Observacion_Directa!$D$2:$D$1000,Observacion_Directa!$A$2:$A$1000,$A449,Observacion_Directa!$B$2:$B$1000,"&gt;="&amp;DATEVALUE($B449&amp;"-01"),Observacion_Directa!$B$2:$B$1000,"&lt;="&amp;EOMONTH(DATEVALUE($B449&amp;"-01"),0)))-1)/4*100,"")</f>
        <v/>
      </c>
      <c r="Y449" t="e">
        <f t="shared" ca="1" si="13"/>
        <v>#DIV/0!</v>
      </c>
    </row>
    <row r="450" spans="12:25" x14ac:dyDescent="0.2">
      <c r="L450" t="str">
        <f t="shared" ref="L450:L513" si="14">IF(OR(C450="",D450=""),"",C450/D450)</f>
        <v/>
      </c>
      <c r="M450" t="str">
        <f>IFERROR(AVERAGEIFS(Prod_5dias!$H$2:$H$1000,Prod_5dias!$A$2:$A$1000,$A450,Prod_5dias!$B$2:$B$1000,$B450),"")</f>
        <v/>
      </c>
      <c r="N450" t="str">
        <f>IF(M450="","",MIN(100,100*M450/Parametros!$B$7))</f>
        <v/>
      </c>
      <c r="O450" t="str">
        <f>IF(F450="","",IF(F450=0,100,MIN(100,100*Parametros!$B$3/F450)))</f>
        <v/>
      </c>
      <c r="P450" t="str">
        <f ca="1">IFERROR(((AVERAGEIFS(Observacion_Directa!$E$2:$E$1000,Observacion_Directa!$A$2:$A$1000,$A450,Observacion_Directa!$B$2:$B$1000,"&gt;="&amp;DATEVALUE($B450&amp;"-01"),Observacion_Directa!$B$2:$B$1000,"&lt;="&amp;EOMONTH(DATEVALUE($B450&amp;"-01"),0)))-1)/4*100,"")</f>
        <v/>
      </c>
      <c r="Q450" t="str">
        <f>IF(H450="","",MIN(100,100*H450/Parametros!$B$4))</f>
        <v/>
      </c>
      <c r="R450" t="str">
        <f>IF(I450="","",IF(I450=0,100,MIN(100,100*Parametros!$B$5/I450)))</f>
        <v/>
      </c>
      <c r="S450" t="str">
        <f>IF(J450="","",IF(J450=0,100,MIN(100,100*Parametros!$B$6/J450)))</f>
        <v/>
      </c>
      <c r="T450" t="str">
        <f>IF(L450="","",MIN(100,100*L450/Parametros!$B$7))</f>
        <v/>
      </c>
      <c r="U450" t="str">
        <f>IF(K450="","",MIN(100,100*K450/Parametros!$B$8))</f>
        <v/>
      </c>
      <c r="V450" t="str">
        <f ca="1">IFERROR(((AVERAGEIFS(Documentacion!$C$2:$C$1000,Documentacion!$A$2:$A$1000,$A450,Documentacion!$B$2:$B$1000,"&gt;="&amp;DATEVALUE($B450&amp;"-01"),Documentacion!$B$2:$B$1000,"&lt;="&amp;EOMONTH(DATEVALUE($B450&amp;"-01"),0)))-1)/4*100,"")</f>
        <v/>
      </c>
      <c r="W450" t="str">
        <f ca="1">IFERROR(((AVERAGEIFS(Feedback_360!$D$2:$D$1000,Feedback_360!$A$2:$A$1000,$A450,Feedback_360!$B$2:$B$1000,"&gt;="&amp;DATEVALUE($B450&amp;"-01"),Feedback_360!$B$2:$B$1000,"&lt;="&amp;EOMONTH(DATEVALUE($B450&amp;"-01"),0)))-1)/4*100,"")</f>
        <v/>
      </c>
      <c r="X450" t="str">
        <f ca="1">IFERROR(((AVERAGEIFS(Observacion_Directa!$D$2:$D$1000,Observacion_Directa!$A$2:$A$1000,$A450,Observacion_Directa!$B$2:$B$1000,"&gt;="&amp;DATEVALUE($B450&amp;"-01"),Observacion_Directa!$B$2:$B$1000,"&lt;="&amp;EOMONTH(DATEVALUE($B450&amp;"-01"),0)))-1)/4*100,"")</f>
        <v/>
      </c>
      <c r="Y450" t="e">
        <f t="shared" ref="Y450:Y513" ca="1" si="15">IF(COUNTA(N450:X450)=0,"",AVERAGE(N450:X450))</f>
        <v>#DIV/0!</v>
      </c>
    </row>
    <row r="451" spans="12:25" x14ac:dyDescent="0.2">
      <c r="L451" t="str">
        <f t="shared" si="14"/>
        <v/>
      </c>
      <c r="M451" t="str">
        <f>IFERROR(AVERAGEIFS(Prod_5dias!$H$2:$H$1000,Prod_5dias!$A$2:$A$1000,$A451,Prod_5dias!$B$2:$B$1000,$B451),"")</f>
        <v/>
      </c>
      <c r="N451" t="str">
        <f>IF(M451="","",MIN(100,100*M451/Parametros!$B$7))</f>
        <v/>
      </c>
      <c r="O451" t="str">
        <f>IF(F451="","",IF(F451=0,100,MIN(100,100*Parametros!$B$3/F451)))</f>
        <v/>
      </c>
      <c r="P451" t="str">
        <f ca="1">IFERROR(((AVERAGEIFS(Observacion_Directa!$E$2:$E$1000,Observacion_Directa!$A$2:$A$1000,$A451,Observacion_Directa!$B$2:$B$1000,"&gt;="&amp;DATEVALUE($B451&amp;"-01"),Observacion_Directa!$B$2:$B$1000,"&lt;="&amp;EOMONTH(DATEVALUE($B451&amp;"-01"),0)))-1)/4*100,"")</f>
        <v/>
      </c>
      <c r="Q451" t="str">
        <f>IF(H451="","",MIN(100,100*H451/Parametros!$B$4))</f>
        <v/>
      </c>
      <c r="R451" t="str">
        <f>IF(I451="","",IF(I451=0,100,MIN(100,100*Parametros!$B$5/I451)))</f>
        <v/>
      </c>
      <c r="S451" t="str">
        <f>IF(J451="","",IF(J451=0,100,MIN(100,100*Parametros!$B$6/J451)))</f>
        <v/>
      </c>
      <c r="T451" t="str">
        <f>IF(L451="","",MIN(100,100*L451/Parametros!$B$7))</f>
        <v/>
      </c>
      <c r="U451" t="str">
        <f>IF(K451="","",MIN(100,100*K451/Parametros!$B$8))</f>
        <v/>
      </c>
      <c r="V451" t="str">
        <f ca="1">IFERROR(((AVERAGEIFS(Documentacion!$C$2:$C$1000,Documentacion!$A$2:$A$1000,$A451,Documentacion!$B$2:$B$1000,"&gt;="&amp;DATEVALUE($B451&amp;"-01"),Documentacion!$B$2:$B$1000,"&lt;="&amp;EOMONTH(DATEVALUE($B451&amp;"-01"),0)))-1)/4*100,"")</f>
        <v/>
      </c>
      <c r="W451" t="str">
        <f ca="1">IFERROR(((AVERAGEIFS(Feedback_360!$D$2:$D$1000,Feedback_360!$A$2:$A$1000,$A451,Feedback_360!$B$2:$B$1000,"&gt;="&amp;DATEVALUE($B451&amp;"-01"),Feedback_360!$B$2:$B$1000,"&lt;="&amp;EOMONTH(DATEVALUE($B451&amp;"-01"),0)))-1)/4*100,"")</f>
        <v/>
      </c>
      <c r="X451" t="str">
        <f ca="1">IFERROR(((AVERAGEIFS(Observacion_Directa!$D$2:$D$1000,Observacion_Directa!$A$2:$A$1000,$A451,Observacion_Directa!$B$2:$B$1000,"&gt;="&amp;DATEVALUE($B451&amp;"-01"),Observacion_Directa!$B$2:$B$1000,"&lt;="&amp;EOMONTH(DATEVALUE($B451&amp;"-01"),0)))-1)/4*100,"")</f>
        <v/>
      </c>
      <c r="Y451" t="e">
        <f t="shared" ca="1" si="15"/>
        <v>#DIV/0!</v>
      </c>
    </row>
    <row r="452" spans="12:25" x14ac:dyDescent="0.2">
      <c r="L452" t="str">
        <f t="shared" si="14"/>
        <v/>
      </c>
      <c r="M452" t="str">
        <f>IFERROR(AVERAGEIFS(Prod_5dias!$H$2:$H$1000,Prod_5dias!$A$2:$A$1000,$A452,Prod_5dias!$B$2:$B$1000,$B452),"")</f>
        <v/>
      </c>
      <c r="N452" t="str">
        <f>IF(M452="","",MIN(100,100*M452/Parametros!$B$7))</f>
        <v/>
      </c>
      <c r="O452" t="str">
        <f>IF(F452="","",IF(F452=0,100,MIN(100,100*Parametros!$B$3/F452)))</f>
        <v/>
      </c>
      <c r="P452" t="str">
        <f ca="1">IFERROR(((AVERAGEIFS(Observacion_Directa!$E$2:$E$1000,Observacion_Directa!$A$2:$A$1000,$A452,Observacion_Directa!$B$2:$B$1000,"&gt;="&amp;DATEVALUE($B452&amp;"-01"),Observacion_Directa!$B$2:$B$1000,"&lt;="&amp;EOMONTH(DATEVALUE($B452&amp;"-01"),0)))-1)/4*100,"")</f>
        <v/>
      </c>
      <c r="Q452" t="str">
        <f>IF(H452="","",MIN(100,100*H452/Parametros!$B$4))</f>
        <v/>
      </c>
      <c r="R452" t="str">
        <f>IF(I452="","",IF(I452=0,100,MIN(100,100*Parametros!$B$5/I452)))</f>
        <v/>
      </c>
      <c r="S452" t="str">
        <f>IF(J452="","",IF(J452=0,100,MIN(100,100*Parametros!$B$6/J452)))</f>
        <v/>
      </c>
      <c r="T452" t="str">
        <f>IF(L452="","",MIN(100,100*L452/Parametros!$B$7))</f>
        <v/>
      </c>
      <c r="U452" t="str">
        <f>IF(K452="","",MIN(100,100*K452/Parametros!$B$8))</f>
        <v/>
      </c>
      <c r="V452" t="str">
        <f ca="1">IFERROR(((AVERAGEIFS(Documentacion!$C$2:$C$1000,Documentacion!$A$2:$A$1000,$A452,Documentacion!$B$2:$B$1000,"&gt;="&amp;DATEVALUE($B452&amp;"-01"),Documentacion!$B$2:$B$1000,"&lt;="&amp;EOMONTH(DATEVALUE($B452&amp;"-01"),0)))-1)/4*100,"")</f>
        <v/>
      </c>
      <c r="W452" t="str">
        <f ca="1">IFERROR(((AVERAGEIFS(Feedback_360!$D$2:$D$1000,Feedback_360!$A$2:$A$1000,$A452,Feedback_360!$B$2:$B$1000,"&gt;="&amp;DATEVALUE($B452&amp;"-01"),Feedback_360!$B$2:$B$1000,"&lt;="&amp;EOMONTH(DATEVALUE($B452&amp;"-01"),0)))-1)/4*100,"")</f>
        <v/>
      </c>
      <c r="X452" t="str">
        <f ca="1">IFERROR(((AVERAGEIFS(Observacion_Directa!$D$2:$D$1000,Observacion_Directa!$A$2:$A$1000,$A452,Observacion_Directa!$B$2:$B$1000,"&gt;="&amp;DATEVALUE($B452&amp;"-01"),Observacion_Directa!$B$2:$B$1000,"&lt;="&amp;EOMONTH(DATEVALUE($B452&amp;"-01"),0)))-1)/4*100,"")</f>
        <v/>
      </c>
      <c r="Y452" t="e">
        <f t="shared" ca="1" si="15"/>
        <v>#DIV/0!</v>
      </c>
    </row>
    <row r="453" spans="12:25" x14ac:dyDescent="0.2">
      <c r="L453" t="str">
        <f t="shared" si="14"/>
        <v/>
      </c>
      <c r="M453" t="str">
        <f>IFERROR(AVERAGEIFS(Prod_5dias!$H$2:$H$1000,Prod_5dias!$A$2:$A$1000,$A453,Prod_5dias!$B$2:$B$1000,$B453),"")</f>
        <v/>
      </c>
      <c r="N453" t="str">
        <f>IF(M453="","",MIN(100,100*M453/Parametros!$B$7))</f>
        <v/>
      </c>
      <c r="O453" t="str">
        <f>IF(F453="","",IF(F453=0,100,MIN(100,100*Parametros!$B$3/F453)))</f>
        <v/>
      </c>
      <c r="P453" t="str">
        <f ca="1">IFERROR(((AVERAGEIFS(Observacion_Directa!$E$2:$E$1000,Observacion_Directa!$A$2:$A$1000,$A453,Observacion_Directa!$B$2:$B$1000,"&gt;="&amp;DATEVALUE($B453&amp;"-01"),Observacion_Directa!$B$2:$B$1000,"&lt;="&amp;EOMONTH(DATEVALUE($B453&amp;"-01"),0)))-1)/4*100,"")</f>
        <v/>
      </c>
      <c r="Q453" t="str">
        <f>IF(H453="","",MIN(100,100*H453/Parametros!$B$4))</f>
        <v/>
      </c>
      <c r="R453" t="str">
        <f>IF(I453="","",IF(I453=0,100,MIN(100,100*Parametros!$B$5/I453)))</f>
        <v/>
      </c>
      <c r="S453" t="str">
        <f>IF(J453="","",IF(J453=0,100,MIN(100,100*Parametros!$B$6/J453)))</f>
        <v/>
      </c>
      <c r="T453" t="str">
        <f>IF(L453="","",MIN(100,100*L453/Parametros!$B$7))</f>
        <v/>
      </c>
      <c r="U453" t="str">
        <f>IF(K453="","",MIN(100,100*K453/Parametros!$B$8))</f>
        <v/>
      </c>
      <c r="V453" t="str">
        <f ca="1">IFERROR(((AVERAGEIFS(Documentacion!$C$2:$C$1000,Documentacion!$A$2:$A$1000,$A453,Documentacion!$B$2:$B$1000,"&gt;="&amp;DATEVALUE($B453&amp;"-01"),Documentacion!$B$2:$B$1000,"&lt;="&amp;EOMONTH(DATEVALUE($B453&amp;"-01"),0)))-1)/4*100,"")</f>
        <v/>
      </c>
      <c r="W453" t="str">
        <f ca="1">IFERROR(((AVERAGEIFS(Feedback_360!$D$2:$D$1000,Feedback_360!$A$2:$A$1000,$A453,Feedback_360!$B$2:$B$1000,"&gt;="&amp;DATEVALUE($B453&amp;"-01"),Feedback_360!$B$2:$B$1000,"&lt;="&amp;EOMONTH(DATEVALUE($B453&amp;"-01"),0)))-1)/4*100,"")</f>
        <v/>
      </c>
      <c r="X453" t="str">
        <f ca="1">IFERROR(((AVERAGEIFS(Observacion_Directa!$D$2:$D$1000,Observacion_Directa!$A$2:$A$1000,$A453,Observacion_Directa!$B$2:$B$1000,"&gt;="&amp;DATEVALUE($B453&amp;"-01"),Observacion_Directa!$B$2:$B$1000,"&lt;="&amp;EOMONTH(DATEVALUE($B453&amp;"-01"),0)))-1)/4*100,"")</f>
        <v/>
      </c>
      <c r="Y453" t="e">
        <f t="shared" ca="1" si="15"/>
        <v>#DIV/0!</v>
      </c>
    </row>
    <row r="454" spans="12:25" x14ac:dyDescent="0.2">
      <c r="L454" t="str">
        <f t="shared" si="14"/>
        <v/>
      </c>
      <c r="M454" t="str">
        <f>IFERROR(AVERAGEIFS(Prod_5dias!$H$2:$H$1000,Prod_5dias!$A$2:$A$1000,$A454,Prod_5dias!$B$2:$B$1000,$B454),"")</f>
        <v/>
      </c>
      <c r="N454" t="str">
        <f>IF(M454="","",MIN(100,100*M454/Parametros!$B$7))</f>
        <v/>
      </c>
      <c r="O454" t="str">
        <f>IF(F454="","",IF(F454=0,100,MIN(100,100*Parametros!$B$3/F454)))</f>
        <v/>
      </c>
      <c r="P454" t="str">
        <f ca="1">IFERROR(((AVERAGEIFS(Observacion_Directa!$E$2:$E$1000,Observacion_Directa!$A$2:$A$1000,$A454,Observacion_Directa!$B$2:$B$1000,"&gt;="&amp;DATEVALUE($B454&amp;"-01"),Observacion_Directa!$B$2:$B$1000,"&lt;="&amp;EOMONTH(DATEVALUE($B454&amp;"-01"),0)))-1)/4*100,"")</f>
        <v/>
      </c>
      <c r="Q454" t="str">
        <f>IF(H454="","",MIN(100,100*H454/Parametros!$B$4))</f>
        <v/>
      </c>
      <c r="R454" t="str">
        <f>IF(I454="","",IF(I454=0,100,MIN(100,100*Parametros!$B$5/I454)))</f>
        <v/>
      </c>
      <c r="S454" t="str">
        <f>IF(J454="","",IF(J454=0,100,MIN(100,100*Parametros!$B$6/J454)))</f>
        <v/>
      </c>
      <c r="T454" t="str">
        <f>IF(L454="","",MIN(100,100*L454/Parametros!$B$7))</f>
        <v/>
      </c>
      <c r="U454" t="str">
        <f>IF(K454="","",MIN(100,100*K454/Parametros!$B$8))</f>
        <v/>
      </c>
      <c r="V454" t="str">
        <f ca="1">IFERROR(((AVERAGEIFS(Documentacion!$C$2:$C$1000,Documentacion!$A$2:$A$1000,$A454,Documentacion!$B$2:$B$1000,"&gt;="&amp;DATEVALUE($B454&amp;"-01"),Documentacion!$B$2:$B$1000,"&lt;="&amp;EOMONTH(DATEVALUE($B454&amp;"-01"),0)))-1)/4*100,"")</f>
        <v/>
      </c>
      <c r="W454" t="str">
        <f ca="1">IFERROR(((AVERAGEIFS(Feedback_360!$D$2:$D$1000,Feedback_360!$A$2:$A$1000,$A454,Feedback_360!$B$2:$B$1000,"&gt;="&amp;DATEVALUE($B454&amp;"-01"),Feedback_360!$B$2:$B$1000,"&lt;="&amp;EOMONTH(DATEVALUE($B454&amp;"-01"),0)))-1)/4*100,"")</f>
        <v/>
      </c>
      <c r="X454" t="str">
        <f ca="1">IFERROR(((AVERAGEIFS(Observacion_Directa!$D$2:$D$1000,Observacion_Directa!$A$2:$A$1000,$A454,Observacion_Directa!$B$2:$B$1000,"&gt;="&amp;DATEVALUE($B454&amp;"-01"),Observacion_Directa!$B$2:$B$1000,"&lt;="&amp;EOMONTH(DATEVALUE($B454&amp;"-01"),0)))-1)/4*100,"")</f>
        <v/>
      </c>
      <c r="Y454" t="e">
        <f t="shared" ca="1" si="15"/>
        <v>#DIV/0!</v>
      </c>
    </row>
    <row r="455" spans="12:25" x14ac:dyDescent="0.2">
      <c r="L455" t="str">
        <f t="shared" si="14"/>
        <v/>
      </c>
      <c r="M455" t="str">
        <f>IFERROR(AVERAGEIFS(Prod_5dias!$H$2:$H$1000,Prod_5dias!$A$2:$A$1000,$A455,Prod_5dias!$B$2:$B$1000,$B455),"")</f>
        <v/>
      </c>
      <c r="N455" t="str">
        <f>IF(M455="","",MIN(100,100*M455/Parametros!$B$7))</f>
        <v/>
      </c>
      <c r="O455" t="str">
        <f>IF(F455="","",IF(F455=0,100,MIN(100,100*Parametros!$B$3/F455)))</f>
        <v/>
      </c>
      <c r="P455" t="str">
        <f ca="1">IFERROR(((AVERAGEIFS(Observacion_Directa!$E$2:$E$1000,Observacion_Directa!$A$2:$A$1000,$A455,Observacion_Directa!$B$2:$B$1000,"&gt;="&amp;DATEVALUE($B455&amp;"-01"),Observacion_Directa!$B$2:$B$1000,"&lt;="&amp;EOMONTH(DATEVALUE($B455&amp;"-01"),0)))-1)/4*100,"")</f>
        <v/>
      </c>
      <c r="Q455" t="str">
        <f>IF(H455="","",MIN(100,100*H455/Parametros!$B$4))</f>
        <v/>
      </c>
      <c r="R455" t="str">
        <f>IF(I455="","",IF(I455=0,100,MIN(100,100*Parametros!$B$5/I455)))</f>
        <v/>
      </c>
      <c r="S455" t="str">
        <f>IF(J455="","",IF(J455=0,100,MIN(100,100*Parametros!$B$6/J455)))</f>
        <v/>
      </c>
      <c r="T455" t="str">
        <f>IF(L455="","",MIN(100,100*L455/Parametros!$B$7))</f>
        <v/>
      </c>
      <c r="U455" t="str">
        <f>IF(K455="","",MIN(100,100*K455/Parametros!$B$8))</f>
        <v/>
      </c>
      <c r="V455" t="str">
        <f ca="1">IFERROR(((AVERAGEIFS(Documentacion!$C$2:$C$1000,Documentacion!$A$2:$A$1000,$A455,Documentacion!$B$2:$B$1000,"&gt;="&amp;DATEVALUE($B455&amp;"-01"),Documentacion!$B$2:$B$1000,"&lt;="&amp;EOMONTH(DATEVALUE($B455&amp;"-01"),0)))-1)/4*100,"")</f>
        <v/>
      </c>
      <c r="W455" t="str">
        <f ca="1">IFERROR(((AVERAGEIFS(Feedback_360!$D$2:$D$1000,Feedback_360!$A$2:$A$1000,$A455,Feedback_360!$B$2:$B$1000,"&gt;="&amp;DATEVALUE($B455&amp;"-01"),Feedback_360!$B$2:$B$1000,"&lt;="&amp;EOMONTH(DATEVALUE($B455&amp;"-01"),0)))-1)/4*100,"")</f>
        <v/>
      </c>
      <c r="X455" t="str">
        <f ca="1">IFERROR(((AVERAGEIFS(Observacion_Directa!$D$2:$D$1000,Observacion_Directa!$A$2:$A$1000,$A455,Observacion_Directa!$B$2:$B$1000,"&gt;="&amp;DATEVALUE($B455&amp;"-01"),Observacion_Directa!$B$2:$B$1000,"&lt;="&amp;EOMONTH(DATEVALUE($B455&amp;"-01"),0)))-1)/4*100,"")</f>
        <v/>
      </c>
      <c r="Y455" t="e">
        <f t="shared" ca="1" si="15"/>
        <v>#DIV/0!</v>
      </c>
    </row>
    <row r="456" spans="12:25" x14ac:dyDescent="0.2">
      <c r="L456" t="str">
        <f t="shared" si="14"/>
        <v/>
      </c>
      <c r="M456" t="str">
        <f>IFERROR(AVERAGEIFS(Prod_5dias!$H$2:$H$1000,Prod_5dias!$A$2:$A$1000,$A456,Prod_5dias!$B$2:$B$1000,$B456),"")</f>
        <v/>
      </c>
      <c r="N456" t="str">
        <f>IF(M456="","",MIN(100,100*M456/Parametros!$B$7))</f>
        <v/>
      </c>
      <c r="O456" t="str">
        <f>IF(F456="","",IF(F456=0,100,MIN(100,100*Parametros!$B$3/F456)))</f>
        <v/>
      </c>
      <c r="P456" t="str">
        <f ca="1">IFERROR(((AVERAGEIFS(Observacion_Directa!$E$2:$E$1000,Observacion_Directa!$A$2:$A$1000,$A456,Observacion_Directa!$B$2:$B$1000,"&gt;="&amp;DATEVALUE($B456&amp;"-01"),Observacion_Directa!$B$2:$B$1000,"&lt;="&amp;EOMONTH(DATEVALUE($B456&amp;"-01"),0)))-1)/4*100,"")</f>
        <v/>
      </c>
      <c r="Q456" t="str">
        <f>IF(H456="","",MIN(100,100*H456/Parametros!$B$4))</f>
        <v/>
      </c>
      <c r="R456" t="str">
        <f>IF(I456="","",IF(I456=0,100,MIN(100,100*Parametros!$B$5/I456)))</f>
        <v/>
      </c>
      <c r="S456" t="str">
        <f>IF(J456="","",IF(J456=0,100,MIN(100,100*Parametros!$B$6/J456)))</f>
        <v/>
      </c>
      <c r="T456" t="str">
        <f>IF(L456="","",MIN(100,100*L456/Parametros!$B$7))</f>
        <v/>
      </c>
      <c r="U456" t="str">
        <f>IF(K456="","",MIN(100,100*K456/Parametros!$B$8))</f>
        <v/>
      </c>
      <c r="V456" t="str">
        <f ca="1">IFERROR(((AVERAGEIFS(Documentacion!$C$2:$C$1000,Documentacion!$A$2:$A$1000,$A456,Documentacion!$B$2:$B$1000,"&gt;="&amp;DATEVALUE($B456&amp;"-01"),Documentacion!$B$2:$B$1000,"&lt;="&amp;EOMONTH(DATEVALUE($B456&amp;"-01"),0)))-1)/4*100,"")</f>
        <v/>
      </c>
      <c r="W456" t="str">
        <f ca="1">IFERROR(((AVERAGEIFS(Feedback_360!$D$2:$D$1000,Feedback_360!$A$2:$A$1000,$A456,Feedback_360!$B$2:$B$1000,"&gt;="&amp;DATEVALUE($B456&amp;"-01"),Feedback_360!$B$2:$B$1000,"&lt;="&amp;EOMONTH(DATEVALUE($B456&amp;"-01"),0)))-1)/4*100,"")</f>
        <v/>
      </c>
      <c r="X456" t="str">
        <f ca="1">IFERROR(((AVERAGEIFS(Observacion_Directa!$D$2:$D$1000,Observacion_Directa!$A$2:$A$1000,$A456,Observacion_Directa!$B$2:$B$1000,"&gt;="&amp;DATEVALUE($B456&amp;"-01"),Observacion_Directa!$B$2:$B$1000,"&lt;="&amp;EOMONTH(DATEVALUE($B456&amp;"-01"),0)))-1)/4*100,"")</f>
        <v/>
      </c>
      <c r="Y456" t="e">
        <f t="shared" ca="1" si="15"/>
        <v>#DIV/0!</v>
      </c>
    </row>
    <row r="457" spans="12:25" x14ac:dyDescent="0.2">
      <c r="L457" t="str">
        <f t="shared" si="14"/>
        <v/>
      </c>
      <c r="M457" t="str">
        <f>IFERROR(AVERAGEIFS(Prod_5dias!$H$2:$H$1000,Prod_5dias!$A$2:$A$1000,$A457,Prod_5dias!$B$2:$B$1000,$B457),"")</f>
        <v/>
      </c>
      <c r="N457" t="str">
        <f>IF(M457="","",MIN(100,100*M457/Parametros!$B$7))</f>
        <v/>
      </c>
      <c r="O457" t="str">
        <f>IF(F457="","",IF(F457=0,100,MIN(100,100*Parametros!$B$3/F457)))</f>
        <v/>
      </c>
      <c r="P457" t="str">
        <f ca="1">IFERROR(((AVERAGEIFS(Observacion_Directa!$E$2:$E$1000,Observacion_Directa!$A$2:$A$1000,$A457,Observacion_Directa!$B$2:$B$1000,"&gt;="&amp;DATEVALUE($B457&amp;"-01"),Observacion_Directa!$B$2:$B$1000,"&lt;="&amp;EOMONTH(DATEVALUE($B457&amp;"-01"),0)))-1)/4*100,"")</f>
        <v/>
      </c>
      <c r="Q457" t="str">
        <f>IF(H457="","",MIN(100,100*H457/Parametros!$B$4))</f>
        <v/>
      </c>
      <c r="R457" t="str">
        <f>IF(I457="","",IF(I457=0,100,MIN(100,100*Parametros!$B$5/I457)))</f>
        <v/>
      </c>
      <c r="S457" t="str">
        <f>IF(J457="","",IF(J457=0,100,MIN(100,100*Parametros!$B$6/J457)))</f>
        <v/>
      </c>
      <c r="T457" t="str">
        <f>IF(L457="","",MIN(100,100*L457/Parametros!$B$7))</f>
        <v/>
      </c>
      <c r="U457" t="str">
        <f>IF(K457="","",MIN(100,100*K457/Parametros!$B$8))</f>
        <v/>
      </c>
      <c r="V457" t="str">
        <f ca="1">IFERROR(((AVERAGEIFS(Documentacion!$C$2:$C$1000,Documentacion!$A$2:$A$1000,$A457,Documentacion!$B$2:$B$1000,"&gt;="&amp;DATEVALUE($B457&amp;"-01"),Documentacion!$B$2:$B$1000,"&lt;="&amp;EOMONTH(DATEVALUE($B457&amp;"-01"),0)))-1)/4*100,"")</f>
        <v/>
      </c>
      <c r="W457" t="str">
        <f ca="1">IFERROR(((AVERAGEIFS(Feedback_360!$D$2:$D$1000,Feedback_360!$A$2:$A$1000,$A457,Feedback_360!$B$2:$B$1000,"&gt;="&amp;DATEVALUE($B457&amp;"-01"),Feedback_360!$B$2:$B$1000,"&lt;="&amp;EOMONTH(DATEVALUE($B457&amp;"-01"),0)))-1)/4*100,"")</f>
        <v/>
      </c>
      <c r="X457" t="str">
        <f ca="1">IFERROR(((AVERAGEIFS(Observacion_Directa!$D$2:$D$1000,Observacion_Directa!$A$2:$A$1000,$A457,Observacion_Directa!$B$2:$B$1000,"&gt;="&amp;DATEVALUE($B457&amp;"-01"),Observacion_Directa!$B$2:$B$1000,"&lt;="&amp;EOMONTH(DATEVALUE($B457&amp;"-01"),0)))-1)/4*100,"")</f>
        <v/>
      </c>
      <c r="Y457" t="e">
        <f t="shared" ca="1" si="15"/>
        <v>#DIV/0!</v>
      </c>
    </row>
    <row r="458" spans="12:25" x14ac:dyDescent="0.2">
      <c r="L458" t="str">
        <f t="shared" si="14"/>
        <v/>
      </c>
      <c r="M458" t="str">
        <f>IFERROR(AVERAGEIFS(Prod_5dias!$H$2:$H$1000,Prod_5dias!$A$2:$A$1000,$A458,Prod_5dias!$B$2:$B$1000,$B458),"")</f>
        <v/>
      </c>
      <c r="N458" t="str">
        <f>IF(M458="","",MIN(100,100*M458/Parametros!$B$7))</f>
        <v/>
      </c>
      <c r="O458" t="str">
        <f>IF(F458="","",IF(F458=0,100,MIN(100,100*Parametros!$B$3/F458)))</f>
        <v/>
      </c>
      <c r="P458" t="str">
        <f ca="1">IFERROR(((AVERAGEIFS(Observacion_Directa!$E$2:$E$1000,Observacion_Directa!$A$2:$A$1000,$A458,Observacion_Directa!$B$2:$B$1000,"&gt;="&amp;DATEVALUE($B458&amp;"-01"),Observacion_Directa!$B$2:$B$1000,"&lt;="&amp;EOMONTH(DATEVALUE($B458&amp;"-01"),0)))-1)/4*100,"")</f>
        <v/>
      </c>
      <c r="Q458" t="str">
        <f>IF(H458="","",MIN(100,100*H458/Parametros!$B$4))</f>
        <v/>
      </c>
      <c r="R458" t="str">
        <f>IF(I458="","",IF(I458=0,100,MIN(100,100*Parametros!$B$5/I458)))</f>
        <v/>
      </c>
      <c r="S458" t="str">
        <f>IF(J458="","",IF(J458=0,100,MIN(100,100*Parametros!$B$6/J458)))</f>
        <v/>
      </c>
      <c r="T458" t="str">
        <f>IF(L458="","",MIN(100,100*L458/Parametros!$B$7))</f>
        <v/>
      </c>
      <c r="U458" t="str">
        <f>IF(K458="","",MIN(100,100*K458/Parametros!$B$8))</f>
        <v/>
      </c>
      <c r="V458" t="str">
        <f ca="1">IFERROR(((AVERAGEIFS(Documentacion!$C$2:$C$1000,Documentacion!$A$2:$A$1000,$A458,Documentacion!$B$2:$B$1000,"&gt;="&amp;DATEVALUE($B458&amp;"-01"),Documentacion!$B$2:$B$1000,"&lt;="&amp;EOMONTH(DATEVALUE($B458&amp;"-01"),0)))-1)/4*100,"")</f>
        <v/>
      </c>
      <c r="W458" t="str">
        <f ca="1">IFERROR(((AVERAGEIFS(Feedback_360!$D$2:$D$1000,Feedback_360!$A$2:$A$1000,$A458,Feedback_360!$B$2:$B$1000,"&gt;="&amp;DATEVALUE($B458&amp;"-01"),Feedback_360!$B$2:$B$1000,"&lt;="&amp;EOMONTH(DATEVALUE($B458&amp;"-01"),0)))-1)/4*100,"")</f>
        <v/>
      </c>
      <c r="X458" t="str">
        <f ca="1">IFERROR(((AVERAGEIFS(Observacion_Directa!$D$2:$D$1000,Observacion_Directa!$A$2:$A$1000,$A458,Observacion_Directa!$B$2:$B$1000,"&gt;="&amp;DATEVALUE($B458&amp;"-01"),Observacion_Directa!$B$2:$B$1000,"&lt;="&amp;EOMONTH(DATEVALUE($B458&amp;"-01"),0)))-1)/4*100,"")</f>
        <v/>
      </c>
      <c r="Y458" t="e">
        <f t="shared" ca="1" si="15"/>
        <v>#DIV/0!</v>
      </c>
    </row>
    <row r="459" spans="12:25" x14ac:dyDescent="0.2">
      <c r="L459" t="str">
        <f t="shared" si="14"/>
        <v/>
      </c>
      <c r="M459" t="str">
        <f>IFERROR(AVERAGEIFS(Prod_5dias!$H$2:$H$1000,Prod_5dias!$A$2:$A$1000,$A459,Prod_5dias!$B$2:$B$1000,$B459),"")</f>
        <v/>
      </c>
      <c r="N459" t="str">
        <f>IF(M459="","",MIN(100,100*M459/Parametros!$B$7))</f>
        <v/>
      </c>
      <c r="O459" t="str">
        <f>IF(F459="","",IF(F459=0,100,MIN(100,100*Parametros!$B$3/F459)))</f>
        <v/>
      </c>
      <c r="P459" t="str">
        <f ca="1">IFERROR(((AVERAGEIFS(Observacion_Directa!$E$2:$E$1000,Observacion_Directa!$A$2:$A$1000,$A459,Observacion_Directa!$B$2:$B$1000,"&gt;="&amp;DATEVALUE($B459&amp;"-01"),Observacion_Directa!$B$2:$B$1000,"&lt;="&amp;EOMONTH(DATEVALUE($B459&amp;"-01"),0)))-1)/4*100,"")</f>
        <v/>
      </c>
      <c r="Q459" t="str">
        <f>IF(H459="","",MIN(100,100*H459/Parametros!$B$4))</f>
        <v/>
      </c>
      <c r="R459" t="str">
        <f>IF(I459="","",IF(I459=0,100,MIN(100,100*Parametros!$B$5/I459)))</f>
        <v/>
      </c>
      <c r="S459" t="str">
        <f>IF(J459="","",IF(J459=0,100,MIN(100,100*Parametros!$B$6/J459)))</f>
        <v/>
      </c>
      <c r="T459" t="str">
        <f>IF(L459="","",MIN(100,100*L459/Parametros!$B$7))</f>
        <v/>
      </c>
      <c r="U459" t="str">
        <f>IF(K459="","",MIN(100,100*K459/Parametros!$B$8))</f>
        <v/>
      </c>
      <c r="V459" t="str">
        <f ca="1">IFERROR(((AVERAGEIFS(Documentacion!$C$2:$C$1000,Documentacion!$A$2:$A$1000,$A459,Documentacion!$B$2:$B$1000,"&gt;="&amp;DATEVALUE($B459&amp;"-01"),Documentacion!$B$2:$B$1000,"&lt;="&amp;EOMONTH(DATEVALUE($B459&amp;"-01"),0)))-1)/4*100,"")</f>
        <v/>
      </c>
      <c r="W459" t="str">
        <f ca="1">IFERROR(((AVERAGEIFS(Feedback_360!$D$2:$D$1000,Feedback_360!$A$2:$A$1000,$A459,Feedback_360!$B$2:$B$1000,"&gt;="&amp;DATEVALUE($B459&amp;"-01"),Feedback_360!$B$2:$B$1000,"&lt;="&amp;EOMONTH(DATEVALUE($B459&amp;"-01"),0)))-1)/4*100,"")</f>
        <v/>
      </c>
      <c r="X459" t="str">
        <f ca="1">IFERROR(((AVERAGEIFS(Observacion_Directa!$D$2:$D$1000,Observacion_Directa!$A$2:$A$1000,$A459,Observacion_Directa!$B$2:$B$1000,"&gt;="&amp;DATEVALUE($B459&amp;"-01"),Observacion_Directa!$B$2:$B$1000,"&lt;="&amp;EOMONTH(DATEVALUE($B459&amp;"-01"),0)))-1)/4*100,"")</f>
        <v/>
      </c>
      <c r="Y459" t="e">
        <f t="shared" ca="1" si="15"/>
        <v>#DIV/0!</v>
      </c>
    </row>
    <row r="460" spans="12:25" x14ac:dyDescent="0.2">
      <c r="L460" t="str">
        <f t="shared" si="14"/>
        <v/>
      </c>
      <c r="M460" t="str">
        <f>IFERROR(AVERAGEIFS(Prod_5dias!$H$2:$H$1000,Prod_5dias!$A$2:$A$1000,$A460,Prod_5dias!$B$2:$B$1000,$B460),"")</f>
        <v/>
      </c>
      <c r="N460" t="str">
        <f>IF(M460="","",MIN(100,100*M460/Parametros!$B$7))</f>
        <v/>
      </c>
      <c r="O460" t="str">
        <f>IF(F460="","",IF(F460=0,100,MIN(100,100*Parametros!$B$3/F460)))</f>
        <v/>
      </c>
      <c r="P460" t="str">
        <f ca="1">IFERROR(((AVERAGEIFS(Observacion_Directa!$E$2:$E$1000,Observacion_Directa!$A$2:$A$1000,$A460,Observacion_Directa!$B$2:$B$1000,"&gt;="&amp;DATEVALUE($B460&amp;"-01"),Observacion_Directa!$B$2:$B$1000,"&lt;="&amp;EOMONTH(DATEVALUE($B460&amp;"-01"),0)))-1)/4*100,"")</f>
        <v/>
      </c>
      <c r="Q460" t="str">
        <f>IF(H460="","",MIN(100,100*H460/Parametros!$B$4))</f>
        <v/>
      </c>
      <c r="R460" t="str">
        <f>IF(I460="","",IF(I460=0,100,MIN(100,100*Parametros!$B$5/I460)))</f>
        <v/>
      </c>
      <c r="S460" t="str">
        <f>IF(J460="","",IF(J460=0,100,MIN(100,100*Parametros!$B$6/J460)))</f>
        <v/>
      </c>
      <c r="T460" t="str">
        <f>IF(L460="","",MIN(100,100*L460/Parametros!$B$7))</f>
        <v/>
      </c>
      <c r="U460" t="str">
        <f>IF(K460="","",MIN(100,100*K460/Parametros!$B$8))</f>
        <v/>
      </c>
      <c r="V460" t="str">
        <f ca="1">IFERROR(((AVERAGEIFS(Documentacion!$C$2:$C$1000,Documentacion!$A$2:$A$1000,$A460,Documentacion!$B$2:$B$1000,"&gt;="&amp;DATEVALUE($B460&amp;"-01"),Documentacion!$B$2:$B$1000,"&lt;="&amp;EOMONTH(DATEVALUE($B460&amp;"-01"),0)))-1)/4*100,"")</f>
        <v/>
      </c>
      <c r="W460" t="str">
        <f ca="1">IFERROR(((AVERAGEIFS(Feedback_360!$D$2:$D$1000,Feedback_360!$A$2:$A$1000,$A460,Feedback_360!$B$2:$B$1000,"&gt;="&amp;DATEVALUE($B460&amp;"-01"),Feedback_360!$B$2:$B$1000,"&lt;="&amp;EOMONTH(DATEVALUE($B460&amp;"-01"),0)))-1)/4*100,"")</f>
        <v/>
      </c>
      <c r="X460" t="str">
        <f ca="1">IFERROR(((AVERAGEIFS(Observacion_Directa!$D$2:$D$1000,Observacion_Directa!$A$2:$A$1000,$A460,Observacion_Directa!$B$2:$B$1000,"&gt;="&amp;DATEVALUE($B460&amp;"-01"),Observacion_Directa!$B$2:$B$1000,"&lt;="&amp;EOMONTH(DATEVALUE($B460&amp;"-01"),0)))-1)/4*100,"")</f>
        <v/>
      </c>
      <c r="Y460" t="e">
        <f t="shared" ca="1" si="15"/>
        <v>#DIV/0!</v>
      </c>
    </row>
    <row r="461" spans="12:25" x14ac:dyDescent="0.2">
      <c r="L461" t="str">
        <f t="shared" si="14"/>
        <v/>
      </c>
      <c r="M461" t="str">
        <f>IFERROR(AVERAGEIFS(Prod_5dias!$H$2:$H$1000,Prod_5dias!$A$2:$A$1000,$A461,Prod_5dias!$B$2:$B$1000,$B461),"")</f>
        <v/>
      </c>
      <c r="N461" t="str">
        <f>IF(M461="","",MIN(100,100*M461/Parametros!$B$7))</f>
        <v/>
      </c>
      <c r="O461" t="str">
        <f>IF(F461="","",IF(F461=0,100,MIN(100,100*Parametros!$B$3/F461)))</f>
        <v/>
      </c>
      <c r="P461" t="str">
        <f ca="1">IFERROR(((AVERAGEIFS(Observacion_Directa!$E$2:$E$1000,Observacion_Directa!$A$2:$A$1000,$A461,Observacion_Directa!$B$2:$B$1000,"&gt;="&amp;DATEVALUE($B461&amp;"-01"),Observacion_Directa!$B$2:$B$1000,"&lt;="&amp;EOMONTH(DATEVALUE($B461&amp;"-01"),0)))-1)/4*100,"")</f>
        <v/>
      </c>
      <c r="Q461" t="str">
        <f>IF(H461="","",MIN(100,100*H461/Parametros!$B$4))</f>
        <v/>
      </c>
      <c r="R461" t="str">
        <f>IF(I461="","",IF(I461=0,100,MIN(100,100*Parametros!$B$5/I461)))</f>
        <v/>
      </c>
      <c r="S461" t="str">
        <f>IF(J461="","",IF(J461=0,100,MIN(100,100*Parametros!$B$6/J461)))</f>
        <v/>
      </c>
      <c r="T461" t="str">
        <f>IF(L461="","",MIN(100,100*L461/Parametros!$B$7))</f>
        <v/>
      </c>
      <c r="U461" t="str">
        <f>IF(K461="","",MIN(100,100*K461/Parametros!$B$8))</f>
        <v/>
      </c>
      <c r="V461" t="str">
        <f ca="1">IFERROR(((AVERAGEIFS(Documentacion!$C$2:$C$1000,Documentacion!$A$2:$A$1000,$A461,Documentacion!$B$2:$B$1000,"&gt;="&amp;DATEVALUE($B461&amp;"-01"),Documentacion!$B$2:$B$1000,"&lt;="&amp;EOMONTH(DATEVALUE($B461&amp;"-01"),0)))-1)/4*100,"")</f>
        <v/>
      </c>
      <c r="W461" t="str">
        <f ca="1">IFERROR(((AVERAGEIFS(Feedback_360!$D$2:$D$1000,Feedback_360!$A$2:$A$1000,$A461,Feedback_360!$B$2:$B$1000,"&gt;="&amp;DATEVALUE($B461&amp;"-01"),Feedback_360!$B$2:$B$1000,"&lt;="&amp;EOMONTH(DATEVALUE($B461&amp;"-01"),0)))-1)/4*100,"")</f>
        <v/>
      </c>
      <c r="X461" t="str">
        <f ca="1">IFERROR(((AVERAGEIFS(Observacion_Directa!$D$2:$D$1000,Observacion_Directa!$A$2:$A$1000,$A461,Observacion_Directa!$B$2:$B$1000,"&gt;="&amp;DATEVALUE($B461&amp;"-01"),Observacion_Directa!$B$2:$B$1000,"&lt;="&amp;EOMONTH(DATEVALUE($B461&amp;"-01"),0)))-1)/4*100,"")</f>
        <v/>
      </c>
      <c r="Y461" t="e">
        <f t="shared" ca="1" si="15"/>
        <v>#DIV/0!</v>
      </c>
    </row>
    <row r="462" spans="12:25" x14ac:dyDescent="0.2">
      <c r="L462" t="str">
        <f t="shared" si="14"/>
        <v/>
      </c>
      <c r="M462" t="str">
        <f>IFERROR(AVERAGEIFS(Prod_5dias!$H$2:$H$1000,Prod_5dias!$A$2:$A$1000,$A462,Prod_5dias!$B$2:$B$1000,$B462),"")</f>
        <v/>
      </c>
      <c r="N462" t="str">
        <f>IF(M462="","",MIN(100,100*M462/Parametros!$B$7))</f>
        <v/>
      </c>
      <c r="O462" t="str">
        <f>IF(F462="","",IF(F462=0,100,MIN(100,100*Parametros!$B$3/F462)))</f>
        <v/>
      </c>
      <c r="P462" t="str">
        <f ca="1">IFERROR(((AVERAGEIFS(Observacion_Directa!$E$2:$E$1000,Observacion_Directa!$A$2:$A$1000,$A462,Observacion_Directa!$B$2:$B$1000,"&gt;="&amp;DATEVALUE($B462&amp;"-01"),Observacion_Directa!$B$2:$B$1000,"&lt;="&amp;EOMONTH(DATEVALUE($B462&amp;"-01"),0)))-1)/4*100,"")</f>
        <v/>
      </c>
      <c r="Q462" t="str">
        <f>IF(H462="","",MIN(100,100*H462/Parametros!$B$4))</f>
        <v/>
      </c>
      <c r="R462" t="str">
        <f>IF(I462="","",IF(I462=0,100,MIN(100,100*Parametros!$B$5/I462)))</f>
        <v/>
      </c>
      <c r="S462" t="str">
        <f>IF(J462="","",IF(J462=0,100,MIN(100,100*Parametros!$B$6/J462)))</f>
        <v/>
      </c>
      <c r="T462" t="str">
        <f>IF(L462="","",MIN(100,100*L462/Parametros!$B$7))</f>
        <v/>
      </c>
      <c r="U462" t="str">
        <f>IF(K462="","",MIN(100,100*K462/Parametros!$B$8))</f>
        <v/>
      </c>
      <c r="V462" t="str">
        <f ca="1">IFERROR(((AVERAGEIFS(Documentacion!$C$2:$C$1000,Documentacion!$A$2:$A$1000,$A462,Documentacion!$B$2:$B$1000,"&gt;="&amp;DATEVALUE($B462&amp;"-01"),Documentacion!$B$2:$B$1000,"&lt;="&amp;EOMONTH(DATEVALUE($B462&amp;"-01"),0)))-1)/4*100,"")</f>
        <v/>
      </c>
      <c r="W462" t="str">
        <f ca="1">IFERROR(((AVERAGEIFS(Feedback_360!$D$2:$D$1000,Feedback_360!$A$2:$A$1000,$A462,Feedback_360!$B$2:$B$1000,"&gt;="&amp;DATEVALUE($B462&amp;"-01"),Feedback_360!$B$2:$B$1000,"&lt;="&amp;EOMONTH(DATEVALUE($B462&amp;"-01"),0)))-1)/4*100,"")</f>
        <v/>
      </c>
      <c r="X462" t="str">
        <f ca="1">IFERROR(((AVERAGEIFS(Observacion_Directa!$D$2:$D$1000,Observacion_Directa!$A$2:$A$1000,$A462,Observacion_Directa!$B$2:$B$1000,"&gt;="&amp;DATEVALUE($B462&amp;"-01"),Observacion_Directa!$B$2:$B$1000,"&lt;="&amp;EOMONTH(DATEVALUE($B462&amp;"-01"),0)))-1)/4*100,"")</f>
        <v/>
      </c>
      <c r="Y462" t="e">
        <f t="shared" ca="1" si="15"/>
        <v>#DIV/0!</v>
      </c>
    </row>
    <row r="463" spans="12:25" x14ac:dyDescent="0.2">
      <c r="L463" t="str">
        <f t="shared" si="14"/>
        <v/>
      </c>
      <c r="M463" t="str">
        <f>IFERROR(AVERAGEIFS(Prod_5dias!$H$2:$H$1000,Prod_5dias!$A$2:$A$1000,$A463,Prod_5dias!$B$2:$B$1000,$B463),"")</f>
        <v/>
      </c>
      <c r="N463" t="str">
        <f>IF(M463="","",MIN(100,100*M463/Parametros!$B$7))</f>
        <v/>
      </c>
      <c r="O463" t="str">
        <f>IF(F463="","",IF(F463=0,100,MIN(100,100*Parametros!$B$3/F463)))</f>
        <v/>
      </c>
      <c r="P463" t="str">
        <f ca="1">IFERROR(((AVERAGEIFS(Observacion_Directa!$E$2:$E$1000,Observacion_Directa!$A$2:$A$1000,$A463,Observacion_Directa!$B$2:$B$1000,"&gt;="&amp;DATEVALUE($B463&amp;"-01"),Observacion_Directa!$B$2:$B$1000,"&lt;="&amp;EOMONTH(DATEVALUE($B463&amp;"-01"),0)))-1)/4*100,"")</f>
        <v/>
      </c>
      <c r="Q463" t="str">
        <f>IF(H463="","",MIN(100,100*H463/Parametros!$B$4))</f>
        <v/>
      </c>
      <c r="R463" t="str">
        <f>IF(I463="","",IF(I463=0,100,MIN(100,100*Parametros!$B$5/I463)))</f>
        <v/>
      </c>
      <c r="S463" t="str">
        <f>IF(J463="","",IF(J463=0,100,MIN(100,100*Parametros!$B$6/J463)))</f>
        <v/>
      </c>
      <c r="T463" t="str">
        <f>IF(L463="","",MIN(100,100*L463/Parametros!$B$7))</f>
        <v/>
      </c>
      <c r="U463" t="str">
        <f>IF(K463="","",MIN(100,100*K463/Parametros!$B$8))</f>
        <v/>
      </c>
      <c r="V463" t="str">
        <f ca="1">IFERROR(((AVERAGEIFS(Documentacion!$C$2:$C$1000,Documentacion!$A$2:$A$1000,$A463,Documentacion!$B$2:$B$1000,"&gt;="&amp;DATEVALUE($B463&amp;"-01"),Documentacion!$B$2:$B$1000,"&lt;="&amp;EOMONTH(DATEVALUE($B463&amp;"-01"),0)))-1)/4*100,"")</f>
        <v/>
      </c>
      <c r="W463" t="str">
        <f ca="1">IFERROR(((AVERAGEIFS(Feedback_360!$D$2:$D$1000,Feedback_360!$A$2:$A$1000,$A463,Feedback_360!$B$2:$B$1000,"&gt;="&amp;DATEVALUE($B463&amp;"-01"),Feedback_360!$B$2:$B$1000,"&lt;="&amp;EOMONTH(DATEVALUE($B463&amp;"-01"),0)))-1)/4*100,"")</f>
        <v/>
      </c>
      <c r="X463" t="str">
        <f ca="1">IFERROR(((AVERAGEIFS(Observacion_Directa!$D$2:$D$1000,Observacion_Directa!$A$2:$A$1000,$A463,Observacion_Directa!$B$2:$B$1000,"&gt;="&amp;DATEVALUE($B463&amp;"-01"),Observacion_Directa!$B$2:$B$1000,"&lt;="&amp;EOMONTH(DATEVALUE($B463&amp;"-01"),0)))-1)/4*100,"")</f>
        <v/>
      </c>
      <c r="Y463" t="e">
        <f t="shared" ca="1" si="15"/>
        <v>#DIV/0!</v>
      </c>
    </row>
    <row r="464" spans="12:25" x14ac:dyDescent="0.2">
      <c r="L464" t="str">
        <f t="shared" si="14"/>
        <v/>
      </c>
      <c r="M464" t="str">
        <f>IFERROR(AVERAGEIFS(Prod_5dias!$H$2:$H$1000,Prod_5dias!$A$2:$A$1000,$A464,Prod_5dias!$B$2:$B$1000,$B464),"")</f>
        <v/>
      </c>
      <c r="N464" t="str">
        <f>IF(M464="","",MIN(100,100*M464/Parametros!$B$7))</f>
        <v/>
      </c>
      <c r="O464" t="str">
        <f>IF(F464="","",IF(F464=0,100,MIN(100,100*Parametros!$B$3/F464)))</f>
        <v/>
      </c>
      <c r="P464" t="str">
        <f ca="1">IFERROR(((AVERAGEIFS(Observacion_Directa!$E$2:$E$1000,Observacion_Directa!$A$2:$A$1000,$A464,Observacion_Directa!$B$2:$B$1000,"&gt;="&amp;DATEVALUE($B464&amp;"-01"),Observacion_Directa!$B$2:$B$1000,"&lt;="&amp;EOMONTH(DATEVALUE($B464&amp;"-01"),0)))-1)/4*100,"")</f>
        <v/>
      </c>
      <c r="Q464" t="str">
        <f>IF(H464="","",MIN(100,100*H464/Parametros!$B$4))</f>
        <v/>
      </c>
      <c r="R464" t="str">
        <f>IF(I464="","",IF(I464=0,100,MIN(100,100*Parametros!$B$5/I464)))</f>
        <v/>
      </c>
      <c r="S464" t="str">
        <f>IF(J464="","",IF(J464=0,100,MIN(100,100*Parametros!$B$6/J464)))</f>
        <v/>
      </c>
      <c r="T464" t="str">
        <f>IF(L464="","",MIN(100,100*L464/Parametros!$B$7))</f>
        <v/>
      </c>
      <c r="U464" t="str">
        <f>IF(K464="","",MIN(100,100*K464/Parametros!$B$8))</f>
        <v/>
      </c>
      <c r="V464" t="str">
        <f ca="1">IFERROR(((AVERAGEIFS(Documentacion!$C$2:$C$1000,Documentacion!$A$2:$A$1000,$A464,Documentacion!$B$2:$B$1000,"&gt;="&amp;DATEVALUE($B464&amp;"-01"),Documentacion!$B$2:$B$1000,"&lt;="&amp;EOMONTH(DATEVALUE($B464&amp;"-01"),0)))-1)/4*100,"")</f>
        <v/>
      </c>
      <c r="W464" t="str">
        <f ca="1">IFERROR(((AVERAGEIFS(Feedback_360!$D$2:$D$1000,Feedback_360!$A$2:$A$1000,$A464,Feedback_360!$B$2:$B$1000,"&gt;="&amp;DATEVALUE($B464&amp;"-01"),Feedback_360!$B$2:$B$1000,"&lt;="&amp;EOMONTH(DATEVALUE($B464&amp;"-01"),0)))-1)/4*100,"")</f>
        <v/>
      </c>
      <c r="X464" t="str">
        <f ca="1">IFERROR(((AVERAGEIFS(Observacion_Directa!$D$2:$D$1000,Observacion_Directa!$A$2:$A$1000,$A464,Observacion_Directa!$B$2:$B$1000,"&gt;="&amp;DATEVALUE($B464&amp;"-01"),Observacion_Directa!$B$2:$B$1000,"&lt;="&amp;EOMONTH(DATEVALUE($B464&amp;"-01"),0)))-1)/4*100,"")</f>
        <v/>
      </c>
      <c r="Y464" t="e">
        <f t="shared" ca="1" si="15"/>
        <v>#DIV/0!</v>
      </c>
    </row>
    <row r="465" spans="12:25" x14ac:dyDescent="0.2">
      <c r="L465" t="str">
        <f t="shared" si="14"/>
        <v/>
      </c>
      <c r="M465" t="str">
        <f>IFERROR(AVERAGEIFS(Prod_5dias!$H$2:$H$1000,Prod_5dias!$A$2:$A$1000,$A465,Prod_5dias!$B$2:$B$1000,$B465),"")</f>
        <v/>
      </c>
      <c r="N465" t="str">
        <f>IF(M465="","",MIN(100,100*M465/Parametros!$B$7))</f>
        <v/>
      </c>
      <c r="O465" t="str">
        <f>IF(F465="","",IF(F465=0,100,MIN(100,100*Parametros!$B$3/F465)))</f>
        <v/>
      </c>
      <c r="P465" t="str">
        <f ca="1">IFERROR(((AVERAGEIFS(Observacion_Directa!$E$2:$E$1000,Observacion_Directa!$A$2:$A$1000,$A465,Observacion_Directa!$B$2:$B$1000,"&gt;="&amp;DATEVALUE($B465&amp;"-01"),Observacion_Directa!$B$2:$B$1000,"&lt;="&amp;EOMONTH(DATEVALUE($B465&amp;"-01"),0)))-1)/4*100,"")</f>
        <v/>
      </c>
      <c r="Q465" t="str">
        <f>IF(H465="","",MIN(100,100*H465/Parametros!$B$4))</f>
        <v/>
      </c>
      <c r="R465" t="str">
        <f>IF(I465="","",IF(I465=0,100,MIN(100,100*Parametros!$B$5/I465)))</f>
        <v/>
      </c>
      <c r="S465" t="str">
        <f>IF(J465="","",IF(J465=0,100,MIN(100,100*Parametros!$B$6/J465)))</f>
        <v/>
      </c>
      <c r="T465" t="str">
        <f>IF(L465="","",MIN(100,100*L465/Parametros!$B$7))</f>
        <v/>
      </c>
      <c r="U465" t="str">
        <f>IF(K465="","",MIN(100,100*K465/Parametros!$B$8))</f>
        <v/>
      </c>
      <c r="V465" t="str">
        <f ca="1">IFERROR(((AVERAGEIFS(Documentacion!$C$2:$C$1000,Documentacion!$A$2:$A$1000,$A465,Documentacion!$B$2:$B$1000,"&gt;="&amp;DATEVALUE($B465&amp;"-01"),Documentacion!$B$2:$B$1000,"&lt;="&amp;EOMONTH(DATEVALUE($B465&amp;"-01"),0)))-1)/4*100,"")</f>
        <v/>
      </c>
      <c r="W465" t="str">
        <f ca="1">IFERROR(((AVERAGEIFS(Feedback_360!$D$2:$D$1000,Feedback_360!$A$2:$A$1000,$A465,Feedback_360!$B$2:$B$1000,"&gt;="&amp;DATEVALUE($B465&amp;"-01"),Feedback_360!$B$2:$B$1000,"&lt;="&amp;EOMONTH(DATEVALUE($B465&amp;"-01"),0)))-1)/4*100,"")</f>
        <v/>
      </c>
      <c r="X465" t="str">
        <f ca="1">IFERROR(((AVERAGEIFS(Observacion_Directa!$D$2:$D$1000,Observacion_Directa!$A$2:$A$1000,$A465,Observacion_Directa!$B$2:$B$1000,"&gt;="&amp;DATEVALUE($B465&amp;"-01"),Observacion_Directa!$B$2:$B$1000,"&lt;="&amp;EOMONTH(DATEVALUE($B465&amp;"-01"),0)))-1)/4*100,"")</f>
        <v/>
      </c>
      <c r="Y465" t="e">
        <f t="shared" ca="1" si="15"/>
        <v>#DIV/0!</v>
      </c>
    </row>
    <row r="466" spans="12:25" x14ac:dyDescent="0.2">
      <c r="L466" t="str">
        <f t="shared" si="14"/>
        <v/>
      </c>
      <c r="M466" t="str">
        <f>IFERROR(AVERAGEIFS(Prod_5dias!$H$2:$H$1000,Prod_5dias!$A$2:$A$1000,$A466,Prod_5dias!$B$2:$B$1000,$B466),"")</f>
        <v/>
      </c>
      <c r="N466" t="str">
        <f>IF(M466="","",MIN(100,100*M466/Parametros!$B$7))</f>
        <v/>
      </c>
      <c r="O466" t="str">
        <f>IF(F466="","",IF(F466=0,100,MIN(100,100*Parametros!$B$3/F466)))</f>
        <v/>
      </c>
      <c r="P466" t="str">
        <f ca="1">IFERROR(((AVERAGEIFS(Observacion_Directa!$E$2:$E$1000,Observacion_Directa!$A$2:$A$1000,$A466,Observacion_Directa!$B$2:$B$1000,"&gt;="&amp;DATEVALUE($B466&amp;"-01"),Observacion_Directa!$B$2:$B$1000,"&lt;="&amp;EOMONTH(DATEVALUE($B466&amp;"-01"),0)))-1)/4*100,"")</f>
        <v/>
      </c>
      <c r="Q466" t="str">
        <f>IF(H466="","",MIN(100,100*H466/Parametros!$B$4))</f>
        <v/>
      </c>
      <c r="R466" t="str">
        <f>IF(I466="","",IF(I466=0,100,MIN(100,100*Parametros!$B$5/I466)))</f>
        <v/>
      </c>
      <c r="S466" t="str">
        <f>IF(J466="","",IF(J466=0,100,MIN(100,100*Parametros!$B$6/J466)))</f>
        <v/>
      </c>
      <c r="T466" t="str">
        <f>IF(L466="","",MIN(100,100*L466/Parametros!$B$7))</f>
        <v/>
      </c>
      <c r="U466" t="str">
        <f>IF(K466="","",MIN(100,100*K466/Parametros!$B$8))</f>
        <v/>
      </c>
      <c r="V466" t="str">
        <f ca="1">IFERROR(((AVERAGEIFS(Documentacion!$C$2:$C$1000,Documentacion!$A$2:$A$1000,$A466,Documentacion!$B$2:$B$1000,"&gt;="&amp;DATEVALUE($B466&amp;"-01"),Documentacion!$B$2:$B$1000,"&lt;="&amp;EOMONTH(DATEVALUE($B466&amp;"-01"),0)))-1)/4*100,"")</f>
        <v/>
      </c>
      <c r="W466" t="str">
        <f ca="1">IFERROR(((AVERAGEIFS(Feedback_360!$D$2:$D$1000,Feedback_360!$A$2:$A$1000,$A466,Feedback_360!$B$2:$B$1000,"&gt;="&amp;DATEVALUE($B466&amp;"-01"),Feedback_360!$B$2:$B$1000,"&lt;="&amp;EOMONTH(DATEVALUE($B466&amp;"-01"),0)))-1)/4*100,"")</f>
        <v/>
      </c>
      <c r="X466" t="str">
        <f ca="1">IFERROR(((AVERAGEIFS(Observacion_Directa!$D$2:$D$1000,Observacion_Directa!$A$2:$A$1000,$A466,Observacion_Directa!$B$2:$B$1000,"&gt;="&amp;DATEVALUE($B466&amp;"-01"),Observacion_Directa!$B$2:$B$1000,"&lt;="&amp;EOMONTH(DATEVALUE($B466&amp;"-01"),0)))-1)/4*100,"")</f>
        <v/>
      </c>
      <c r="Y466" t="e">
        <f t="shared" ca="1" si="15"/>
        <v>#DIV/0!</v>
      </c>
    </row>
    <row r="467" spans="12:25" x14ac:dyDescent="0.2">
      <c r="L467" t="str">
        <f t="shared" si="14"/>
        <v/>
      </c>
      <c r="M467" t="str">
        <f>IFERROR(AVERAGEIFS(Prod_5dias!$H$2:$H$1000,Prod_5dias!$A$2:$A$1000,$A467,Prod_5dias!$B$2:$B$1000,$B467),"")</f>
        <v/>
      </c>
      <c r="N467" t="str">
        <f>IF(M467="","",MIN(100,100*M467/Parametros!$B$7))</f>
        <v/>
      </c>
      <c r="O467" t="str">
        <f>IF(F467="","",IF(F467=0,100,MIN(100,100*Parametros!$B$3/F467)))</f>
        <v/>
      </c>
      <c r="P467" t="str">
        <f ca="1">IFERROR(((AVERAGEIFS(Observacion_Directa!$E$2:$E$1000,Observacion_Directa!$A$2:$A$1000,$A467,Observacion_Directa!$B$2:$B$1000,"&gt;="&amp;DATEVALUE($B467&amp;"-01"),Observacion_Directa!$B$2:$B$1000,"&lt;="&amp;EOMONTH(DATEVALUE($B467&amp;"-01"),0)))-1)/4*100,"")</f>
        <v/>
      </c>
      <c r="Q467" t="str">
        <f>IF(H467="","",MIN(100,100*H467/Parametros!$B$4))</f>
        <v/>
      </c>
      <c r="R467" t="str">
        <f>IF(I467="","",IF(I467=0,100,MIN(100,100*Parametros!$B$5/I467)))</f>
        <v/>
      </c>
      <c r="S467" t="str">
        <f>IF(J467="","",IF(J467=0,100,MIN(100,100*Parametros!$B$6/J467)))</f>
        <v/>
      </c>
      <c r="T467" t="str">
        <f>IF(L467="","",MIN(100,100*L467/Parametros!$B$7))</f>
        <v/>
      </c>
      <c r="U467" t="str">
        <f>IF(K467="","",MIN(100,100*K467/Parametros!$B$8))</f>
        <v/>
      </c>
      <c r="V467" t="str">
        <f ca="1">IFERROR(((AVERAGEIFS(Documentacion!$C$2:$C$1000,Documentacion!$A$2:$A$1000,$A467,Documentacion!$B$2:$B$1000,"&gt;="&amp;DATEVALUE($B467&amp;"-01"),Documentacion!$B$2:$B$1000,"&lt;="&amp;EOMONTH(DATEVALUE($B467&amp;"-01"),0)))-1)/4*100,"")</f>
        <v/>
      </c>
      <c r="W467" t="str">
        <f ca="1">IFERROR(((AVERAGEIFS(Feedback_360!$D$2:$D$1000,Feedback_360!$A$2:$A$1000,$A467,Feedback_360!$B$2:$B$1000,"&gt;="&amp;DATEVALUE($B467&amp;"-01"),Feedback_360!$B$2:$B$1000,"&lt;="&amp;EOMONTH(DATEVALUE($B467&amp;"-01"),0)))-1)/4*100,"")</f>
        <v/>
      </c>
      <c r="X467" t="str">
        <f ca="1">IFERROR(((AVERAGEIFS(Observacion_Directa!$D$2:$D$1000,Observacion_Directa!$A$2:$A$1000,$A467,Observacion_Directa!$B$2:$B$1000,"&gt;="&amp;DATEVALUE($B467&amp;"-01"),Observacion_Directa!$B$2:$B$1000,"&lt;="&amp;EOMONTH(DATEVALUE($B467&amp;"-01"),0)))-1)/4*100,"")</f>
        <v/>
      </c>
      <c r="Y467" t="e">
        <f t="shared" ca="1" si="15"/>
        <v>#DIV/0!</v>
      </c>
    </row>
    <row r="468" spans="12:25" x14ac:dyDescent="0.2">
      <c r="L468" t="str">
        <f t="shared" si="14"/>
        <v/>
      </c>
      <c r="M468" t="str">
        <f>IFERROR(AVERAGEIFS(Prod_5dias!$H$2:$H$1000,Prod_5dias!$A$2:$A$1000,$A468,Prod_5dias!$B$2:$B$1000,$B468),"")</f>
        <v/>
      </c>
      <c r="N468" t="str">
        <f>IF(M468="","",MIN(100,100*M468/Parametros!$B$7))</f>
        <v/>
      </c>
      <c r="O468" t="str">
        <f>IF(F468="","",IF(F468=0,100,MIN(100,100*Parametros!$B$3/F468)))</f>
        <v/>
      </c>
      <c r="P468" t="str">
        <f ca="1">IFERROR(((AVERAGEIFS(Observacion_Directa!$E$2:$E$1000,Observacion_Directa!$A$2:$A$1000,$A468,Observacion_Directa!$B$2:$B$1000,"&gt;="&amp;DATEVALUE($B468&amp;"-01"),Observacion_Directa!$B$2:$B$1000,"&lt;="&amp;EOMONTH(DATEVALUE($B468&amp;"-01"),0)))-1)/4*100,"")</f>
        <v/>
      </c>
      <c r="Q468" t="str">
        <f>IF(H468="","",MIN(100,100*H468/Parametros!$B$4))</f>
        <v/>
      </c>
      <c r="R468" t="str">
        <f>IF(I468="","",IF(I468=0,100,MIN(100,100*Parametros!$B$5/I468)))</f>
        <v/>
      </c>
      <c r="S468" t="str">
        <f>IF(J468="","",IF(J468=0,100,MIN(100,100*Parametros!$B$6/J468)))</f>
        <v/>
      </c>
      <c r="T468" t="str">
        <f>IF(L468="","",MIN(100,100*L468/Parametros!$B$7))</f>
        <v/>
      </c>
      <c r="U468" t="str">
        <f>IF(K468="","",MIN(100,100*K468/Parametros!$B$8))</f>
        <v/>
      </c>
      <c r="V468" t="str">
        <f ca="1">IFERROR(((AVERAGEIFS(Documentacion!$C$2:$C$1000,Documentacion!$A$2:$A$1000,$A468,Documentacion!$B$2:$B$1000,"&gt;="&amp;DATEVALUE($B468&amp;"-01"),Documentacion!$B$2:$B$1000,"&lt;="&amp;EOMONTH(DATEVALUE($B468&amp;"-01"),0)))-1)/4*100,"")</f>
        <v/>
      </c>
      <c r="W468" t="str">
        <f ca="1">IFERROR(((AVERAGEIFS(Feedback_360!$D$2:$D$1000,Feedback_360!$A$2:$A$1000,$A468,Feedback_360!$B$2:$B$1000,"&gt;="&amp;DATEVALUE($B468&amp;"-01"),Feedback_360!$B$2:$B$1000,"&lt;="&amp;EOMONTH(DATEVALUE($B468&amp;"-01"),0)))-1)/4*100,"")</f>
        <v/>
      </c>
      <c r="X468" t="str">
        <f ca="1">IFERROR(((AVERAGEIFS(Observacion_Directa!$D$2:$D$1000,Observacion_Directa!$A$2:$A$1000,$A468,Observacion_Directa!$B$2:$B$1000,"&gt;="&amp;DATEVALUE($B468&amp;"-01"),Observacion_Directa!$B$2:$B$1000,"&lt;="&amp;EOMONTH(DATEVALUE($B468&amp;"-01"),0)))-1)/4*100,"")</f>
        <v/>
      </c>
      <c r="Y468" t="e">
        <f t="shared" ca="1" si="15"/>
        <v>#DIV/0!</v>
      </c>
    </row>
    <row r="469" spans="12:25" x14ac:dyDescent="0.2">
      <c r="L469" t="str">
        <f t="shared" si="14"/>
        <v/>
      </c>
      <c r="M469" t="str">
        <f>IFERROR(AVERAGEIFS(Prod_5dias!$H$2:$H$1000,Prod_5dias!$A$2:$A$1000,$A469,Prod_5dias!$B$2:$B$1000,$B469),"")</f>
        <v/>
      </c>
      <c r="N469" t="str">
        <f>IF(M469="","",MIN(100,100*M469/Parametros!$B$7))</f>
        <v/>
      </c>
      <c r="O469" t="str">
        <f>IF(F469="","",IF(F469=0,100,MIN(100,100*Parametros!$B$3/F469)))</f>
        <v/>
      </c>
      <c r="P469" t="str">
        <f ca="1">IFERROR(((AVERAGEIFS(Observacion_Directa!$E$2:$E$1000,Observacion_Directa!$A$2:$A$1000,$A469,Observacion_Directa!$B$2:$B$1000,"&gt;="&amp;DATEVALUE($B469&amp;"-01"),Observacion_Directa!$B$2:$B$1000,"&lt;="&amp;EOMONTH(DATEVALUE($B469&amp;"-01"),0)))-1)/4*100,"")</f>
        <v/>
      </c>
      <c r="Q469" t="str">
        <f>IF(H469="","",MIN(100,100*H469/Parametros!$B$4))</f>
        <v/>
      </c>
      <c r="R469" t="str">
        <f>IF(I469="","",IF(I469=0,100,MIN(100,100*Parametros!$B$5/I469)))</f>
        <v/>
      </c>
      <c r="S469" t="str">
        <f>IF(J469="","",IF(J469=0,100,MIN(100,100*Parametros!$B$6/J469)))</f>
        <v/>
      </c>
      <c r="T469" t="str">
        <f>IF(L469="","",MIN(100,100*L469/Parametros!$B$7))</f>
        <v/>
      </c>
      <c r="U469" t="str">
        <f>IF(K469="","",MIN(100,100*K469/Parametros!$B$8))</f>
        <v/>
      </c>
      <c r="V469" t="str">
        <f ca="1">IFERROR(((AVERAGEIFS(Documentacion!$C$2:$C$1000,Documentacion!$A$2:$A$1000,$A469,Documentacion!$B$2:$B$1000,"&gt;="&amp;DATEVALUE($B469&amp;"-01"),Documentacion!$B$2:$B$1000,"&lt;="&amp;EOMONTH(DATEVALUE($B469&amp;"-01"),0)))-1)/4*100,"")</f>
        <v/>
      </c>
      <c r="W469" t="str">
        <f ca="1">IFERROR(((AVERAGEIFS(Feedback_360!$D$2:$D$1000,Feedback_360!$A$2:$A$1000,$A469,Feedback_360!$B$2:$B$1000,"&gt;="&amp;DATEVALUE($B469&amp;"-01"),Feedback_360!$B$2:$B$1000,"&lt;="&amp;EOMONTH(DATEVALUE($B469&amp;"-01"),0)))-1)/4*100,"")</f>
        <v/>
      </c>
      <c r="X469" t="str">
        <f ca="1">IFERROR(((AVERAGEIFS(Observacion_Directa!$D$2:$D$1000,Observacion_Directa!$A$2:$A$1000,$A469,Observacion_Directa!$B$2:$B$1000,"&gt;="&amp;DATEVALUE($B469&amp;"-01"),Observacion_Directa!$B$2:$B$1000,"&lt;="&amp;EOMONTH(DATEVALUE($B469&amp;"-01"),0)))-1)/4*100,"")</f>
        <v/>
      </c>
      <c r="Y469" t="e">
        <f t="shared" ca="1" si="15"/>
        <v>#DIV/0!</v>
      </c>
    </row>
    <row r="470" spans="12:25" x14ac:dyDescent="0.2">
      <c r="L470" t="str">
        <f t="shared" si="14"/>
        <v/>
      </c>
      <c r="M470" t="str">
        <f>IFERROR(AVERAGEIFS(Prod_5dias!$H$2:$H$1000,Prod_5dias!$A$2:$A$1000,$A470,Prod_5dias!$B$2:$B$1000,$B470),"")</f>
        <v/>
      </c>
      <c r="N470" t="str">
        <f>IF(M470="","",MIN(100,100*M470/Parametros!$B$7))</f>
        <v/>
      </c>
      <c r="O470" t="str">
        <f>IF(F470="","",IF(F470=0,100,MIN(100,100*Parametros!$B$3/F470)))</f>
        <v/>
      </c>
      <c r="P470" t="str">
        <f ca="1">IFERROR(((AVERAGEIFS(Observacion_Directa!$E$2:$E$1000,Observacion_Directa!$A$2:$A$1000,$A470,Observacion_Directa!$B$2:$B$1000,"&gt;="&amp;DATEVALUE($B470&amp;"-01"),Observacion_Directa!$B$2:$B$1000,"&lt;="&amp;EOMONTH(DATEVALUE($B470&amp;"-01"),0)))-1)/4*100,"")</f>
        <v/>
      </c>
      <c r="Q470" t="str">
        <f>IF(H470="","",MIN(100,100*H470/Parametros!$B$4))</f>
        <v/>
      </c>
      <c r="R470" t="str">
        <f>IF(I470="","",IF(I470=0,100,MIN(100,100*Parametros!$B$5/I470)))</f>
        <v/>
      </c>
      <c r="S470" t="str">
        <f>IF(J470="","",IF(J470=0,100,MIN(100,100*Parametros!$B$6/J470)))</f>
        <v/>
      </c>
      <c r="T470" t="str">
        <f>IF(L470="","",MIN(100,100*L470/Parametros!$B$7))</f>
        <v/>
      </c>
      <c r="U470" t="str">
        <f>IF(K470="","",MIN(100,100*K470/Parametros!$B$8))</f>
        <v/>
      </c>
      <c r="V470" t="str">
        <f ca="1">IFERROR(((AVERAGEIFS(Documentacion!$C$2:$C$1000,Documentacion!$A$2:$A$1000,$A470,Documentacion!$B$2:$B$1000,"&gt;="&amp;DATEVALUE($B470&amp;"-01"),Documentacion!$B$2:$B$1000,"&lt;="&amp;EOMONTH(DATEVALUE($B470&amp;"-01"),0)))-1)/4*100,"")</f>
        <v/>
      </c>
      <c r="W470" t="str">
        <f ca="1">IFERROR(((AVERAGEIFS(Feedback_360!$D$2:$D$1000,Feedback_360!$A$2:$A$1000,$A470,Feedback_360!$B$2:$B$1000,"&gt;="&amp;DATEVALUE($B470&amp;"-01"),Feedback_360!$B$2:$B$1000,"&lt;="&amp;EOMONTH(DATEVALUE($B470&amp;"-01"),0)))-1)/4*100,"")</f>
        <v/>
      </c>
      <c r="X470" t="str">
        <f ca="1">IFERROR(((AVERAGEIFS(Observacion_Directa!$D$2:$D$1000,Observacion_Directa!$A$2:$A$1000,$A470,Observacion_Directa!$B$2:$B$1000,"&gt;="&amp;DATEVALUE($B470&amp;"-01"),Observacion_Directa!$B$2:$B$1000,"&lt;="&amp;EOMONTH(DATEVALUE($B470&amp;"-01"),0)))-1)/4*100,"")</f>
        <v/>
      </c>
      <c r="Y470" t="e">
        <f t="shared" ca="1" si="15"/>
        <v>#DIV/0!</v>
      </c>
    </row>
    <row r="471" spans="12:25" x14ac:dyDescent="0.2">
      <c r="L471" t="str">
        <f t="shared" si="14"/>
        <v/>
      </c>
      <c r="M471" t="str">
        <f>IFERROR(AVERAGEIFS(Prod_5dias!$H$2:$H$1000,Prod_5dias!$A$2:$A$1000,$A471,Prod_5dias!$B$2:$B$1000,$B471),"")</f>
        <v/>
      </c>
      <c r="N471" t="str">
        <f>IF(M471="","",MIN(100,100*M471/Parametros!$B$7))</f>
        <v/>
      </c>
      <c r="O471" t="str">
        <f>IF(F471="","",IF(F471=0,100,MIN(100,100*Parametros!$B$3/F471)))</f>
        <v/>
      </c>
      <c r="P471" t="str">
        <f ca="1">IFERROR(((AVERAGEIFS(Observacion_Directa!$E$2:$E$1000,Observacion_Directa!$A$2:$A$1000,$A471,Observacion_Directa!$B$2:$B$1000,"&gt;="&amp;DATEVALUE($B471&amp;"-01"),Observacion_Directa!$B$2:$B$1000,"&lt;="&amp;EOMONTH(DATEVALUE($B471&amp;"-01"),0)))-1)/4*100,"")</f>
        <v/>
      </c>
      <c r="Q471" t="str">
        <f>IF(H471="","",MIN(100,100*H471/Parametros!$B$4))</f>
        <v/>
      </c>
      <c r="R471" t="str">
        <f>IF(I471="","",IF(I471=0,100,MIN(100,100*Parametros!$B$5/I471)))</f>
        <v/>
      </c>
      <c r="S471" t="str">
        <f>IF(J471="","",IF(J471=0,100,MIN(100,100*Parametros!$B$6/J471)))</f>
        <v/>
      </c>
      <c r="T471" t="str">
        <f>IF(L471="","",MIN(100,100*L471/Parametros!$B$7))</f>
        <v/>
      </c>
      <c r="U471" t="str">
        <f>IF(K471="","",MIN(100,100*K471/Parametros!$B$8))</f>
        <v/>
      </c>
      <c r="V471" t="str">
        <f ca="1">IFERROR(((AVERAGEIFS(Documentacion!$C$2:$C$1000,Documentacion!$A$2:$A$1000,$A471,Documentacion!$B$2:$B$1000,"&gt;="&amp;DATEVALUE($B471&amp;"-01"),Documentacion!$B$2:$B$1000,"&lt;="&amp;EOMONTH(DATEVALUE($B471&amp;"-01"),0)))-1)/4*100,"")</f>
        <v/>
      </c>
      <c r="W471" t="str">
        <f ca="1">IFERROR(((AVERAGEIFS(Feedback_360!$D$2:$D$1000,Feedback_360!$A$2:$A$1000,$A471,Feedback_360!$B$2:$B$1000,"&gt;="&amp;DATEVALUE($B471&amp;"-01"),Feedback_360!$B$2:$B$1000,"&lt;="&amp;EOMONTH(DATEVALUE($B471&amp;"-01"),0)))-1)/4*100,"")</f>
        <v/>
      </c>
      <c r="X471" t="str">
        <f ca="1">IFERROR(((AVERAGEIFS(Observacion_Directa!$D$2:$D$1000,Observacion_Directa!$A$2:$A$1000,$A471,Observacion_Directa!$B$2:$B$1000,"&gt;="&amp;DATEVALUE($B471&amp;"-01"),Observacion_Directa!$B$2:$B$1000,"&lt;="&amp;EOMONTH(DATEVALUE($B471&amp;"-01"),0)))-1)/4*100,"")</f>
        <v/>
      </c>
      <c r="Y471" t="e">
        <f t="shared" ca="1" si="15"/>
        <v>#DIV/0!</v>
      </c>
    </row>
    <row r="472" spans="12:25" x14ac:dyDescent="0.2">
      <c r="L472" t="str">
        <f t="shared" si="14"/>
        <v/>
      </c>
      <c r="M472" t="str">
        <f>IFERROR(AVERAGEIFS(Prod_5dias!$H$2:$H$1000,Prod_5dias!$A$2:$A$1000,$A472,Prod_5dias!$B$2:$B$1000,$B472),"")</f>
        <v/>
      </c>
      <c r="N472" t="str">
        <f>IF(M472="","",MIN(100,100*M472/Parametros!$B$7))</f>
        <v/>
      </c>
      <c r="O472" t="str">
        <f>IF(F472="","",IF(F472=0,100,MIN(100,100*Parametros!$B$3/F472)))</f>
        <v/>
      </c>
      <c r="P472" t="str">
        <f ca="1">IFERROR(((AVERAGEIFS(Observacion_Directa!$E$2:$E$1000,Observacion_Directa!$A$2:$A$1000,$A472,Observacion_Directa!$B$2:$B$1000,"&gt;="&amp;DATEVALUE($B472&amp;"-01"),Observacion_Directa!$B$2:$B$1000,"&lt;="&amp;EOMONTH(DATEVALUE($B472&amp;"-01"),0)))-1)/4*100,"")</f>
        <v/>
      </c>
      <c r="Q472" t="str">
        <f>IF(H472="","",MIN(100,100*H472/Parametros!$B$4))</f>
        <v/>
      </c>
      <c r="R472" t="str">
        <f>IF(I472="","",IF(I472=0,100,MIN(100,100*Parametros!$B$5/I472)))</f>
        <v/>
      </c>
      <c r="S472" t="str">
        <f>IF(J472="","",IF(J472=0,100,MIN(100,100*Parametros!$B$6/J472)))</f>
        <v/>
      </c>
      <c r="T472" t="str">
        <f>IF(L472="","",MIN(100,100*L472/Parametros!$B$7))</f>
        <v/>
      </c>
      <c r="U472" t="str">
        <f>IF(K472="","",MIN(100,100*K472/Parametros!$B$8))</f>
        <v/>
      </c>
      <c r="V472" t="str">
        <f ca="1">IFERROR(((AVERAGEIFS(Documentacion!$C$2:$C$1000,Documentacion!$A$2:$A$1000,$A472,Documentacion!$B$2:$B$1000,"&gt;="&amp;DATEVALUE($B472&amp;"-01"),Documentacion!$B$2:$B$1000,"&lt;="&amp;EOMONTH(DATEVALUE($B472&amp;"-01"),0)))-1)/4*100,"")</f>
        <v/>
      </c>
      <c r="W472" t="str">
        <f ca="1">IFERROR(((AVERAGEIFS(Feedback_360!$D$2:$D$1000,Feedback_360!$A$2:$A$1000,$A472,Feedback_360!$B$2:$B$1000,"&gt;="&amp;DATEVALUE($B472&amp;"-01"),Feedback_360!$B$2:$B$1000,"&lt;="&amp;EOMONTH(DATEVALUE($B472&amp;"-01"),0)))-1)/4*100,"")</f>
        <v/>
      </c>
      <c r="X472" t="str">
        <f ca="1">IFERROR(((AVERAGEIFS(Observacion_Directa!$D$2:$D$1000,Observacion_Directa!$A$2:$A$1000,$A472,Observacion_Directa!$B$2:$B$1000,"&gt;="&amp;DATEVALUE($B472&amp;"-01"),Observacion_Directa!$B$2:$B$1000,"&lt;="&amp;EOMONTH(DATEVALUE($B472&amp;"-01"),0)))-1)/4*100,"")</f>
        <v/>
      </c>
      <c r="Y472" t="e">
        <f t="shared" ca="1" si="15"/>
        <v>#DIV/0!</v>
      </c>
    </row>
    <row r="473" spans="12:25" x14ac:dyDescent="0.2">
      <c r="L473" t="str">
        <f t="shared" si="14"/>
        <v/>
      </c>
      <c r="M473" t="str">
        <f>IFERROR(AVERAGEIFS(Prod_5dias!$H$2:$H$1000,Prod_5dias!$A$2:$A$1000,$A473,Prod_5dias!$B$2:$B$1000,$B473),"")</f>
        <v/>
      </c>
      <c r="N473" t="str">
        <f>IF(M473="","",MIN(100,100*M473/Parametros!$B$7))</f>
        <v/>
      </c>
      <c r="O473" t="str">
        <f>IF(F473="","",IF(F473=0,100,MIN(100,100*Parametros!$B$3/F473)))</f>
        <v/>
      </c>
      <c r="P473" t="str">
        <f ca="1">IFERROR(((AVERAGEIFS(Observacion_Directa!$E$2:$E$1000,Observacion_Directa!$A$2:$A$1000,$A473,Observacion_Directa!$B$2:$B$1000,"&gt;="&amp;DATEVALUE($B473&amp;"-01"),Observacion_Directa!$B$2:$B$1000,"&lt;="&amp;EOMONTH(DATEVALUE($B473&amp;"-01"),0)))-1)/4*100,"")</f>
        <v/>
      </c>
      <c r="Q473" t="str">
        <f>IF(H473="","",MIN(100,100*H473/Parametros!$B$4))</f>
        <v/>
      </c>
      <c r="R473" t="str">
        <f>IF(I473="","",IF(I473=0,100,MIN(100,100*Parametros!$B$5/I473)))</f>
        <v/>
      </c>
      <c r="S473" t="str">
        <f>IF(J473="","",IF(J473=0,100,MIN(100,100*Parametros!$B$6/J473)))</f>
        <v/>
      </c>
      <c r="T473" t="str">
        <f>IF(L473="","",MIN(100,100*L473/Parametros!$B$7))</f>
        <v/>
      </c>
      <c r="U473" t="str">
        <f>IF(K473="","",MIN(100,100*K473/Parametros!$B$8))</f>
        <v/>
      </c>
      <c r="V473" t="str">
        <f ca="1">IFERROR(((AVERAGEIFS(Documentacion!$C$2:$C$1000,Documentacion!$A$2:$A$1000,$A473,Documentacion!$B$2:$B$1000,"&gt;="&amp;DATEVALUE($B473&amp;"-01"),Documentacion!$B$2:$B$1000,"&lt;="&amp;EOMONTH(DATEVALUE($B473&amp;"-01"),0)))-1)/4*100,"")</f>
        <v/>
      </c>
      <c r="W473" t="str">
        <f ca="1">IFERROR(((AVERAGEIFS(Feedback_360!$D$2:$D$1000,Feedback_360!$A$2:$A$1000,$A473,Feedback_360!$B$2:$B$1000,"&gt;="&amp;DATEVALUE($B473&amp;"-01"),Feedback_360!$B$2:$B$1000,"&lt;="&amp;EOMONTH(DATEVALUE($B473&amp;"-01"),0)))-1)/4*100,"")</f>
        <v/>
      </c>
      <c r="X473" t="str">
        <f ca="1">IFERROR(((AVERAGEIFS(Observacion_Directa!$D$2:$D$1000,Observacion_Directa!$A$2:$A$1000,$A473,Observacion_Directa!$B$2:$B$1000,"&gt;="&amp;DATEVALUE($B473&amp;"-01"),Observacion_Directa!$B$2:$B$1000,"&lt;="&amp;EOMONTH(DATEVALUE($B473&amp;"-01"),0)))-1)/4*100,"")</f>
        <v/>
      </c>
      <c r="Y473" t="e">
        <f t="shared" ca="1" si="15"/>
        <v>#DIV/0!</v>
      </c>
    </row>
    <row r="474" spans="12:25" x14ac:dyDescent="0.2">
      <c r="L474" t="str">
        <f t="shared" si="14"/>
        <v/>
      </c>
      <c r="M474" t="str">
        <f>IFERROR(AVERAGEIFS(Prod_5dias!$H$2:$H$1000,Prod_5dias!$A$2:$A$1000,$A474,Prod_5dias!$B$2:$B$1000,$B474),"")</f>
        <v/>
      </c>
      <c r="N474" t="str">
        <f>IF(M474="","",MIN(100,100*M474/Parametros!$B$7))</f>
        <v/>
      </c>
      <c r="O474" t="str">
        <f>IF(F474="","",IF(F474=0,100,MIN(100,100*Parametros!$B$3/F474)))</f>
        <v/>
      </c>
      <c r="P474" t="str">
        <f ca="1">IFERROR(((AVERAGEIFS(Observacion_Directa!$E$2:$E$1000,Observacion_Directa!$A$2:$A$1000,$A474,Observacion_Directa!$B$2:$B$1000,"&gt;="&amp;DATEVALUE($B474&amp;"-01"),Observacion_Directa!$B$2:$B$1000,"&lt;="&amp;EOMONTH(DATEVALUE($B474&amp;"-01"),0)))-1)/4*100,"")</f>
        <v/>
      </c>
      <c r="Q474" t="str">
        <f>IF(H474="","",MIN(100,100*H474/Parametros!$B$4))</f>
        <v/>
      </c>
      <c r="R474" t="str">
        <f>IF(I474="","",IF(I474=0,100,MIN(100,100*Parametros!$B$5/I474)))</f>
        <v/>
      </c>
      <c r="S474" t="str">
        <f>IF(J474="","",IF(J474=0,100,MIN(100,100*Parametros!$B$6/J474)))</f>
        <v/>
      </c>
      <c r="T474" t="str">
        <f>IF(L474="","",MIN(100,100*L474/Parametros!$B$7))</f>
        <v/>
      </c>
      <c r="U474" t="str">
        <f>IF(K474="","",MIN(100,100*K474/Parametros!$B$8))</f>
        <v/>
      </c>
      <c r="V474" t="str">
        <f ca="1">IFERROR(((AVERAGEIFS(Documentacion!$C$2:$C$1000,Documentacion!$A$2:$A$1000,$A474,Documentacion!$B$2:$B$1000,"&gt;="&amp;DATEVALUE($B474&amp;"-01"),Documentacion!$B$2:$B$1000,"&lt;="&amp;EOMONTH(DATEVALUE($B474&amp;"-01"),0)))-1)/4*100,"")</f>
        <v/>
      </c>
      <c r="W474" t="str">
        <f ca="1">IFERROR(((AVERAGEIFS(Feedback_360!$D$2:$D$1000,Feedback_360!$A$2:$A$1000,$A474,Feedback_360!$B$2:$B$1000,"&gt;="&amp;DATEVALUE($B474&amp;"-01"),Feedback_360!$B$2:$B$1000,"&lt;="&amp;EOMONTH(DATEVALUE($B474&amp;"-01"),0)))-1)/4*100,"")</f>
        <v/>
      </c>
      <c r="X474" t="str">
        <f ca="1">IFERROR(((AVERAGEIFS(Observacion_Directa!$D$2:$D$1000,Observacion_Directa!$A$2:$A$1000,$A474,Observacion_Directa!$B$2:$B$1000,"&gt;="&amp;DATEVALUE($B474&amp;"-01"),Observacion_Directa!$B$2:$B$1000,"&lt;="&amp;EOMONTH(DATEVALUE($B474&amp;"-01"),0)))-1)/4*100,"")</f>
        <v/>
      </c>
      <c r="Y474" t="e">
        <f t="shared" ca="1" si="15"/>
        <v>#DIV/0!</v>
      </c>
    </row>
    <row r="475" spans="12:25" x14ac:dyDescent="0.2">
      <c r="L475" t="str">
        <f t="shared" si="14"/>
        <v/>
      </c>
      <c r="M475" t="str">
        <f>IFERROR(AVERAGEIFS(Prod_5dias!$H$2:$H$1000,Prod_5dias!$A$2:$A$1000,$A475,Prod_5dias!$B$2:$B$1000,$B475),"")</f>
        <v/>
      </c>
      <c r="N475" t="str">
        <f>IF(M475="","",MIN(100,100*M475/Parametros!$B$7))</f>
        <v/>
      </c>
      <c r="O475" t="str">
        <f>IF(F475="","",IF(F475=0,100,MIN(100,100*Parametros!$B$3/F475)))</f>
        <v/>
      </c>
      <c r="P475" t="str">
        <f ca="1">IFERROR(((AVERAGEIFS(Observacion_Directa!$E$2:$E$1000,Observacion_Directa!$A$2:$A$1000,$A475,Observacion_Directa!$B$2:$B$1000,"&gt;="&amp;DATEVALUE($B475&amp;"-01"),Observacion_Directa!$B$2:$B$1000,"&lt;="&amp;EOMONTH(DATEVALUE($B475&amp;"-01"),0)))-1)/4*100,"")</f>
        <v/>
      </c>
      <c r="Q475" t="str">
        <f>IF(H475="","",MIN(100,100*H475/Parametros!$B$4))</f>
        <v/>
      </c>
      <c r="R475" t="str">
        <f>IF(I475="","",IF(I475=0,100,MIN(100,100*Parametros!$B$5/I475)))</f>
        <v/>
      </c>
      <c r="S475" t="str">
        <f>IF(J475="","",IF(J475=0,100,MIN(100,100*Parametros!$B$6/J475)))</f>
        <v/>
      </c>
      <c r="T475" t="str">
        <f>IF(L475="","",MIN(100,100*L475/Parametros!$B$7))</f>
        <v/>
      </c>
      <c r="U475" t="str">
        <f>IF(K475="","",MIN(100,100*K475/Parametros!$B$8))</f>
        <v/>
      </c>
      <c r="V475" t="str">
        <f ca="1">IFERROR(((AVERAGEIFS(Documentacion!$C$2:$C$1000,Documentacion!$A$2:$A$1000,$A475,Documentacion!$B$2:$B$1000,"&gt;="&amp;DATEVALUE($B475&amp;"-01"),Documentacion!$B$2:$B$1000,"&lt;="&amp;EOMONTH(DATEVALUE($B475&amp;"-01"),0)))-1)/4*100,"")</f>
        <v/>
      </c>
      <c r="W475" t="str">
        <f ca="1">IFERROR(((AVERAGEIFS(Feedback_360!$D$2:$D$1000,Feedback_360!$A$2:$A$1000,$A475,Feedback_360!$B$2:$B$1000,"&gt;="&amp;DATEVALUE($B475&amp;"-01"),Feedback_360!$B$2:$B$1000,"&lt;="&amp;EOMONTH(DATEVALUE($B475&amp;"-01"),0)))-1)/4*100,"")</f>
        <v/>
      </c>
      <c r="X475" t="str">
        <f ca="1">IFERROR(((AVERAGEIFS(Observacion_Directa!$D$2:$D$1000,Observacion_Directa!$A$2:$A$1000,$A475,Observacion_Directa!$B$2:$B$1000,"&gt;="&amp;DATEVALUE($B475&amp;"-01"),Observacion_Directa!$B$2:$B$1000,"&lt;="&amp;EOMONTH(DATEVALUE($B475&amp;"-01"),0)))-1)/4*100,"")</f>
        <v/>
      </c>
      <c r="Y475" t="e">
        <f t="shared" ca="1" si="15"/>
        <v>#DIV/0!</v>
      </c>
    </row>
    <row r="476" spans="12:25" x14ac:dyDescent="0.2">
      <c r="L476" t="str">
        <f t="shared" si="14"/>
        <v/>
      </c>
      <c r="M476" t="str">
        <f>IFERROR(AVERAGEIFS(Prod_5dias!$H$2:$H$1000,Prod_5dias!$A$2:$A$1000,$A476,Prod_5dias!$B$2:$B$1000,$B476),"")</f>
        <v/>
      </c>
      <c r="N476" t="str">
        <f>IF(M476="","",MIN(100,100*M476/Parametros!$B$7))</f>
        <v/>
      </c>
      <c r="O476" t="str">
        <f>IF(F476="","",IF(F476=0,100,MIN(100,100*Parametros!$B$3/F476)))</f>
        <v/>
      </c>
      <c r="P476" t="str">
        <f ca="1">IFERROR(((AVERAGEIFS(Observacion_Directa!$E$2:$E$1000,Observacion_Directa!$A$2:$A$1000,$A476,Observacion_Directa!$B$2:$B$1000,"&gt;="&amp;DATEVALUE($B476&amp;"-01"),Observacion_Directa!$B$2:$B$1000,"&lt;="&amp;EOMONTH(DATEVALUE($B476&amp;"-01"),0)))-1)/4*100,"")</f>
        <v/>
      </c>
      <c r="Q476" t="str">
        <f>IF(H476="","",MIN(100,100*H476/Parametros!$B$4))</f>
        <v/>
      </c>
      <c r="R476" t="str">
        <f>IF(I476="","",IF(I476=0,100,MIN(100,100*Parametros!$B$5/I476)))</f>
        <v/>
      </c>
      <c r="S476" t="str">
        <f>IF(J476="","",IF(J476=0,100,MIN(100,100*Parametros!$B$6/J476)))</f>
        <v/>
      </c>
      <c r="T476" t="str">
        <f>IF(L476="","",MIN(100,100*L476/Parametros!$B$7))</f>
        <v/>
      </c>
      <c r="U476" t="str">
        <f>IF(K476="","",MIN(100,100*K476/Parametros!$B$8))</f>
        <v/>
      </c>
      <c r="V476" t="str">
        <f ca="1">IFERROR(((AVERAGEIFS(Documentacion!$C$2:$C$1000,Documentacion!$A$2:$A$1000,$A476,Documentacion!$B$2:$B$1000,"&gt;="&amp;DATEVALUE($B476&amp;"-01"),Documentacion!$B$2:$B$1000,"&lt;="&amp;EOMONTH(DATEVALUE($B476&amp;"-01"),0)))-1)/4*100,"")</f>
        <v/>
      </c>
      <c r="W476" t="str">
        <f ca="1">IFERROR(((AVERAGEIFS(Feedback_360!$D$2:$D$1000,Feedback_360!$A$2:$A$1000,$A476,Feedback_360!$B$2:$B$1000,"&gt;="&amp;DATEVALUE($B476&amp;"-01"),Feedback_360!$B$2:$B$1000,"&lt;="&amp;EOMONTH(DATEVALUE($B476&amp;"-01"),0)))-1)/4*100,"")</f>
        <v/>
      </c>
      <c r="X476" t="str">
        <f ca="1">IFERROR(((AVERAGEIFS(Observacion_Directa!$D$2:$D$1000,Observacion_Directa!$A$2:$A$1000,$A476,Observacion_Directa!$B$2:$B$1000,"&gt;="&amp;DATEVALUE($B476&amp;"-01"),Observacion_Directa!$B$2:$B$1000,"&lt;="&amp;EOMONTH(DATEVALUE($B476&amp;"-01"),0)))-1)/4*100,"")</f>
        <v/>
      </c>
      <c r="Y476" t="e">
        <f t="shared" ca="1" si="15"/>
        <v>#DIV/0!</v>
      </c>
    </row>
    <row r="477" spans="12:25" x14ac:dyDescent="0.2">
      <c r="L477" t="str">
        <f t="shared" si="14"/>
        <v/>
      </c>
      <c r="M477" t="str">
        <f>IFERROR(AVERAGEIFS(Prod_5dias!$H$2:$H$1000,Prod_5dias!$A$2:$A$1000,$A477,Prod_5dias!$B$2:$B$1000,$B477),"")</f>
        <v/>
      </c>
      <c r="N477" t="str">
        <f>IF(M477="","",MIN(100,100*M477/Parametros!$B$7))</f>
        <v/>
      </c>
      <c r="O477" t="str">
        <f>IF(F477="","",IF(F477=0,100,MIN(100,100*Parametros!$B$3/F477)))</f>
        <v/>
      </c>
      <c r="P477" t="str">
        <f ca="1">IFERROR(((AVERAGEIFS(Observacion_Directa!$E$2:$E$1000,Observacion_Directa!$A$2:$A$1000,$A477,Observacion_Directa!$B$2:$B$1000,"&gt;="&amp;DATEVALUE($B477&amp;"-01"),Observacion_Directa!$B$2:$B$1000,"&lt;="&amp;EOMONTH(DATEVALUE($B477&amp;"-01"),0)))-1)/4*100,"")</f>
        <v/>
      </c>
      <c r="Q477" t="str">
        <f>IF(H477="","",MIN(100,100*H477/Parametros!$B$4))</f>
        <v/>
      </c>
      <c r="R477" t="str">
        <f>IF(I477="","",IF(I477=0,100,MIN(100,100*Parametros!$B$5/I477)))</f>
        <v/>
      </c>
      <c r="S477" t="str">
        <f>IF(J477="","",IF(J477=0,100,MIN(100,100*Parametros!$B$6/J477)))</f>
        <v/>
      </c>
      <c r="T477" t="str">
        <f>IF(L477="","",MIN(100,100*L477/Parametros!$B$7))</f>
        <v/>
      </c>
      <c r="U477" t="str">
        <f>IF(K477="","",MIN(100,100*K477/Parametros!$B$8))</f>
        <v/>
      </c>
      <c r="V477" t="str">
        <f ca="1">IFERROR(((AVERAGEIFS(Documentacion!$C$2:$C$1000,Documentacion!$A$2:$A$1000,$A477,Documentacion!$B$2:$B$1000,"&gt;="&amp;DATEVALUE($B477&amp;"-01"),Documentacion!$B$2:$B$1000,"&lt;="&amp;EOMONTH(DATEVALUE($B477&amp;"-01"),0)))-1)/4*100,"")</f>
        <v/>
      </c>
      <c r="W477" t="str">
        <f ca="1">IFERROR(((AVERAGEIFS(Feedback_360!$D$2:$D$1000,Feedback_360!$A$2:$A$1000,$A477,Feedback_360!$B$2:$B$1000,"&gt;="&amp;DATEVALUE($B477&amp;"-01"),Feedback_360!$B$2:$B$1000,"&lt;="&amp;EOMONTH(DATEVALUE($B477&amp;"-01"),0)))-1)/4*100,"")</f>
        <v/>
      </c>
      <c r="X477" t="str">
        <f ca="1">IFERROR(((AVERAGEIFS(Observacion_Directa!$D$2:$D$1000,Observacion_Directa!$A$2:$A$1000,$A477,Observacion_Directa!$B$2:$B$1000,"&gt;="&amp;DATEVALUE($B477&amp;"-01"),Observacion_Directa!$B$2:$B$1000,"&lt;="&amp;EOMONTH(DATEVALUE($B477&amp;"-01"),0)))-1)/4*100,"")</f>
        <v/>
      </c>
      <c r="Y477" t="e">
        <f t="shared" ca="1" si="15"/>
        <v>#DIV/0!</v>
      </c>
    </row>
    <row r="478" spans="12:25" x14ac:dyDescent="0.2">
      <c r="L478" t="str">
        <f t="shared" si="14"/>
        <v/>
      </c>
      <c r="M478" t="str">
        <f>IFERROR(AVERAGEIFS(Prod_5dias!$H$2:$H$1000,Prod_5dias!$A$2:$A$1000,$A478,Prod_5dias!$B$2:$B$1000,$B478),"")</f>
        <v/>
      </c>
      <c r="N478" t="str">
        <f>IF(M478="","",MIN(100,100*M478/Parametros!$B$7))</f>
        <v/>
      </c>
      <c r="O478" t="str">
        <f>IF(F478="","",IF(F478=0,100,MIN(100,100*Parametros!$B$3/F478)))</f>
        <v/>
      </c>
      <c r="P478" t="str">
        <f ca="1">IFERROR(((AVERAGEIFS(Observacion_Directa!$E$2:$E$1000,Observacion_Directa!$A$2:$A$1000,$A478,Observacion_Directa!$B$2:$B$1000,"&gt;="&amp;DATEVALUE($B478&amp;"-01"),Observacion_Directa!$B$2:$B$1000,"&lt;="&amp;EOMONTH(DATEVALUE($B478&amp;"-01"),0)))-1)/4*100,"")</f>
        <v/>
      </c>
      <c r="Q478" t="str">
        <f>IF(H478="","",MIN(100,100*H478/Parametros!$B$4))</f>
        <v/>
      </c>
      <c r="R478" t="str">
        <f>IF(I478="","",IF(I478=0,100,MIN(100,100*Parametros!$B$5/I478)))</f>
        <v/>
      </c>
      <c r="S478" t="str">
        <f>IF(J478="","",IF(J478=0,100,MIN(100,100*Parametros!$B$6/J478)))</f>
        <v/>
      </c>
      <c r="T478" t="str">
        <f>IF(L478="","",MIN(100,100*L478/Parametros!$B$7))</f>
        <v/>
      </c>
      <c r="U478" t="str">
        <f>IF(K478="","",MIN(100,100*K478/Parametros!$B$8))</f>
        <v/>
      </c>
      <c r="V478" t="str">
        <f ca="1">IFERROR(((AVERAGEIFS(Documentacion!$C$2:$C$1000,Documentacion!$A$2:$A$1000,$A478,Documentacion!$B$2:$B$1000,"&gt;="&amp;DATEVALUE($B478&amp;"-01"),Documentacion!$B$2:$B$1000,"&lt;="&amp;EOMONTH(DATEVALUE($B478&amp;"-01"),0)))-1)/4*100,"")</f>
        <v/>
      </c>
      <c r="W478" t="str">
        <f ca="1">IFERROR(((AVERAGEIFS(Feedback_360!$D$2:$D$1000,Feedback_360!$A$2:$A$1000,$A478,Feedback_360!$B$2:$B$1000,"&gt;="&amp;DATEVALUE($B478&amp;"-01"),Feedback_360!$B$2:$B$1000,"&lt;="&amp;EOMONTH(DATEVALUE($B478&amp;"-01"),0)))-1)/4*100,"")</f>
        <v/>
      </c>
      <c r="X478" t="str">
        <f ca="1">IFERROR(((AVERAGEIFS(Observacion_Directa!$D$2:$D$1000,Observacion_Directa!$A$2:$A$1000,$A478,Observacion_Directa!$B$2:$B$1000,"&gt;="&amp;DATEVALUE($B478&amp;"-01"),Observacion_Directa!$B$2:$B$1000,"&lt;="&amp;EOMONTH(DATEVALUE($B478&amp;"-01"),0)))-1)/4*100,"")</f>
        <v/>
      </c>
      <c r="Y478" t="e">
        <f t="shared" ca="1" si="15"/>
        <v>#DIV/0!</v>
      </c>
    </row>
    <row r="479" spans="12:25" x14ac:dyDescent="0.2">
      <c r="L479" t="str">
        <f t="shared" si="14"/>
        <v/>
      </c>
      <c r="M479" t="str">
        <f>IFERROR(AVERAGEIFS(Prod_5dias!$H$2:$H$1000,Prod_5dias!$A$2:$A$1000,$A479,Prod_5dias!$B$2:$B$1000,$B479),"")</f>
        <v/>
      </c>
      <c r="N479" t="str">
        <f>IF(M479="","",MIN(100,100*M479/Parametros!$B$7))</f>
        <v/>
      </c>
      <c r="O479" t="str">
        <f>IF(F479="","",IF(F479=0,100,MIN(100,100*Parametros!$B$3/F479)))</f>
        <v/>
      </c>
      <c r="P479" t="str">
        <f ca="1">IFERROR(((AVERAGEIFS(Observacion_Directa!$E$2:$E$1000,Observacion_Directa!$A$2:$A$1000,$A479,Observacion_Directa!$B$2:$B$1000,"&gt;="&amp;DATEVALUE($B479&amp;"-01"),Observacion_Directa!$B$2:$B$1000,"&lt;="&amp;EOMONTH(DATEVALUE($B479&amp;"-01"),0)))-1)/4*100,"")</f>
        <v/>
      </c>
      <c r="Q479" t="str">
        <f>IF(H479="","",MIN(100,100*H479/Parametros!$B$4))</f>
        <v/>
      </c>
      <c r="R479" t="str">
        <f>IF(I479="","",IF(I479=0,100,MIN(100,100*Parametros!$B$5/I479)))</f>
        <v/>
      </c>
      <c r="S479" t="str">
        <f>IF(J479="","",IF(J479=0,100,MIN(100,100*Parametros!$B$6/J479)))</f>
        <v/>
      </c>
      <c r="T479" t="str">
        <f>IF(L479="","",MIN(100,100*L479/Parametros!$B$7))</f>
        <v/>
      </c>
      <c r="U479" t="str">
        <f>IF(K479="","",MIN(100,100*K479/Parametros!$B$8))</f>
        <v/>
      </c>
      <c r="V479" t="str">
        <f ca="1">IFERROR(((AVERAGEIFS(Documentacion!$C$2:$C$1000,Documentacion!$A$2:$A$1000,$A479,Documentacion!$B$2:$B$1000,"&gt;="&amp;DATEVALUE($B479&amp;"-01"),Documentacion!$B$2:$B$1000,"&lt;="&amp;EOMONTH(DATEVALUE($B479&amp;"-01"),0)))-1)/4*100,"")</f>
        <v/>
      </c>
      <c r="W479" t="str">
        <f ca="1">IFERROR(((AVERAGEIFS(Feedback_360!$D$2:$D$1000,Feedback_360!$A$2:$A$1000,$A479,Feedback_360!$B$2:$B$1000,"&gt;="&amp;DATEVALUE($B479&amp;"-01"),Feedback_360!$B$2:$B$1000,"&lt;="&amp;EOMONTH(DATEVALUE($B479&amp;"-01"),0)))-1)/4*100,"")</f>
        <v/>
      </c>
      <c r="X479" t="str">
        <f ca="1">IFERROR(((AVERAGEIFS(Observacion_Directa!$D$2:$D$1000,Observacion_Directa!$A$2:$A$1000,$A479,Observacion_Directa!$B$2:$B$1000,"&gt;="&amp;DATEVALUE($B479&amp;"-01"),Observacion_Directa!$B$2:$B$1000,"&lt;="&amp;EOMONTH(DATEVALUE($B479&amp;"-01"),0)))-1)/4*100,"")</f>
        <v/>
      </c>
      <c r="Y479" t="e">
        <f t="shared" ca="1" si="15"/>
        <v>#DIV/0!</v>
      </c>
    </row>
    <row r="480" spans="12:25" x14ac:dyDescent="0.2">
      <c r="L480" t="str">
        <f t="shared" si="14"/>
        <v/>
      </c>
      <c r="M480" t="str">
        <f>IFERROR(AVERAGEIFS(Prod_5dias!$H$2:$H$1000,Prod_5dias!$A$2:$A$1000,$A480,Prod_5dias!$B$2:$B$1000,$B480),"")</f>
        <v/>
      </c>
      <c r="N480" t="str">
        <f>IF(M480="","",MIN(100,100*M480/Parametros!$B$7))</f>
        <v/>
      </c>
      <c r="O480" t="str">
        <f>IF(F480="","",IF(F480=0,100,MIN(100,100*Parametros!$B$3/F480)))</f>
        <v/>
      </c>
      <c r="P480" t="str">
        <f ca="1">IFERROR(((AVERAGEIFS(Observacion_Directa!$E$2:$E$1000,Observacion_Directa!$A$2:$A$1000,$A480,Observacion_Directa!$B$2:$B$1000,"&gt;="&amp;DATEVALUE($B480&amp;"-01"),Observacion_Directa!$B$2:$B$1000,"&lt;="&amp;EOMONTH(DATEVALUE($B480&amp;"-01"),0)))-1)/4*100,"")</f>
        <v/>
      </c>
      <c r="Q480" t="str">
        <f>IF(H480="","",MIN(100,100*H480/Parametros!$B$4))</f>
        <v/>
      </c>
      <c r="R480" t="str">
        <f>IF(I480="","",IF(I480=0,100,MIN(100,100*Parametros!$B$5/I480)))</f>
        <v/>
      </c>
      <c r="S480" t="str">
        <f>IF(J480="","",IF(J480=0,100,MIN(100,100*Parametros!$B$6/J480)))</f>
        <v/>
      </c>
      <c r="T480" t="str">
        <f>IF(L480="","",MIN(100,100*L480/Parametros!$B$7))</f>
        <v/>
      </c>
      <c r="U480" t="str">
        <f>IF(K480="","",MIN(100,100*K480/Parametros!$B$8))</f>
        <v/>
      </c>
      <c r="V480" t="str">
        <f ca="1">IFERROR(((AVERAGEIFS(Documentacion!$C$2:$C$1000,Documentacion!$A$2:$A$1000,$A480,Documentacion!$B$2:$B$1000,"&gt;="&amp;DATEVALUE($B480&amp;"-01"),Documentacion!$B$2:$B$1000,"&lt;="&amp;EOMONTH(DATEVALUE($B480&amp;"-01"),0)))-1)/4*100,"")</f>
        <v/>
      </c>
      <c r="W480" t="str">
        <f ca="1">IFERROR(((AVERAGEIFS(Feedback_360!$D$2:$D$1000,Feedback_360!$A$2:$A$1000,$A480,Feedback_360!$B$2:$B$1000,"&gt;="&amp;DATEVALUE($B480&amp;"-01"),Feedback_360!$B$2:$B$1000,"&lt;="&amp;EOMONTH(DATEVALUE($B480&amp;"-01"),0)))-1)/4*100,"")</f>
        <v/>
      </c>
      <c r="X480" t="str">
        <f ca="1">IFERROR(((AVERAGEIFS(Observacion_Directa!$D$2:$D$1000,Observacion_Directa!$A$2:$A$1000,$A480,Observacion_Directa!$B$2:$B$1000,"&gt;="&amp;DATEVALUE($B480&amp;"-01"),Observacion_Directa!$B$2:$B$1000,"&lt;="&amp;EOMONTH(DATEVALUE($B480&amp;"-01"),0)))-1)/4*100,"")</f>
        <v/>
      </c>
      <c r="Y480" t="e">
        <f t="shared" ca="1" si="15"/>
        <v>#DIV/0!</v>
      </c>
    </row>
    <row r="481" spans="12:25" x14ac:dyDescent="0.2">
      <c r="L481" t="str">
        <f t="shared" si="14"/>
        <v/>
      </c>
      <c r="M481" t="str">
        <f>IFERROR(AVERAGEIFS(Prod_5dias!$H$2:$H$1000,Prod_5dias!$A$2:$A$1000,$A481,Prod_5dias!$B$2:$B$1000,$B481),"")</f>
        <v/>
      </c>
      <c r="N481" t="str">
        <f>IF(M481="","",MIN(100,100*M481/Parametros!$B$7))</f>
        <v/>
      </c>
      <c r="O481" t="str">
        <f>IF(F481="","",IF(F481=0,100,MIN(100,100*Parametros!$B$3/F481)))</f>
        <v/>
      </c>
      <c r="P481" t="str">
        <f ca="1">IFERROR(((AVERAGEIFS(Observacion_Directa!$E$2:$E$1000,Observacion_Directa!$A$2:$A$1000,$A481,Observacion_Directa!$B$2:$B$1000,"&gt;="&amp;DATEVALUE($B481&amp;"-01"),Observacion_Directa!$B$2:$B$1000,"&lt;="&amp;EOMONTH(DATEVALUE($B481&amp;"-01"),0)))-1)/4*100,"")</f>
        <v/>
      </c>
      <c r="Q481" t="str">
        <f>IF(H481="","",MIN(100,100*H481/Parametros!$B$4))</f>
        <v/>
      </c>
      <c r="R481" t="str">
        <f>IF(I481="","",IF(I481=0,100,MIN(100,100*Parametros!$B$5/I481)))</f>
        <v/>
      </c>
      <c r="S481" t="str">
        <f>IF(J481="","",IF(J481=0,100,MIN(100,100*Parametros!$B$6/J481)))</f>
        <v/>
      </c>
      <c r="T481" t="str">
        <f>IF(L481="","",MIN(100,100*L481/Parametros!$B$7))</f>
        <v/>
      </c>
      <c r="U481" t="str">
        <f>IF(K481="","",MIN(100,100*K481/Parametros!$B$8))</f>
        <v/>
      </c>
      <c r="V481" t="str">
        <f ca="1">IFERROR(((AVERAGEIFS(Documentacion!$C$2:$C$1000,Documentacion!$A$2:$A$1000,$A481,Documentacion!$B$2:$B$1000,"&gt;="&amp;DATEVALUE($B481&amp;"-01"),Documentacion!$B$2:$B$1000,"&lt;="&amp;EOMONTH(DATEVALUE($B481&amp;"-01"),0)))-1)/4*100,"")</f>
        <v/>
      </c>
      <c r="W481" t="str">
        <f ca="1">IFERROR(((AVERAGEIFS(Feedback_360!$D$2:$D$1000,Feedback_360!$A$2:$A$1000,$A481,Feedback_360!$B$2:$B$1000,"&gt;="&amp;DATEVALUE($B481&amp;"-01"),Feedback_360!$B$2:$B$1000,"&lt;="&amp;EOMONTH(DATEVALUE($B481&amp;"-01"),0)))-1)/4*100,"")</f>
        <v/>
      </c>
      <c r="X481" t="str">
        <f ca="1">IFERROR(((AVERAGEIFS(Observacion_Directa!$D$2:$D$1000,Observacion_Directa!$A$2:$A$1000,$A481,Observacion_Directa!$B$2:$B$1000,"&gt;="&amp;DATEVALUE($B481&amp;"-01"),Observacion_Directa!$B$2:$B$1000,"&lt;="&amp;EOMONTH(DATEVALUE($B481&amp;"-01"),0)))-1)/4*100,"")</f>
        <v/>
      </c>
      <c r="Y481" t="e">
        <f t="shared" ca="1" si="15"/>
        <v>#DIV/0!</v>
      </c>
    </row>
    <row r="482" spans="12:25" x14ac:dyDescent="0.2">
      <c r="L482" t="str">
        <f t="shared" si="14"/>
        <v/>
      </c>
      <c r="M482" t="str">
        <f>IFERROR(AVERAGEIFS(Prod_5dias!$H$2:$H$1000,Prod_5dias!$A$2:$A$1000,$A482,Prod_5dias!$B$2:$B$1000,$B482),"")</f>
        <v/>
      </c>
      <c r="N482" t="str">
        <f>IF(M482="","",MIN(100,100*M482/Parametros!$B$7))</f>
        <v/>
      </c>
      <c r="O482" t="str">
        <f>IF(F482="","",IF(F482=0,100,MIN(100,100*Parametros!$B$3/F482)))</f>
        <v/>
      </c>
      <c r="P482" t="str">
        <f ca="1">IFERROR(((AVERAGEIFS(Observacion_Directa!$E$2:$E$1000,Observacion_Directa!$A$2:$A$1000,$A482,Observacion_Directa!$B$2:$B$1000,"&gt;="&amp;DATEVALUE($B482&amp;"-01"),Observacion_Directa!$B$2:$B$1000,"&lt;="&amp;EOMONTH(DATEVALUE($B482&amp;"-01"),0)))-1)/4*100,"")</f>
        <v/>
      </c>
      <c r="Q482" t="str">
        <f>IF(H482="","",MIN(100,100*H482/Parametros!$B$4))</f>
        <v/>
      </c>
      <c r="R482" t="str">
        <f>IF(I482="","",IF(I482=0,100,MIN(100,100*Parametros!$B$5/I482)))</f>
        <v/>
      </c>
      <c r="S482" t="str">
        <f>IF(J482="","",IF(J482=0,100,MIN(100,100*Parametros!$B$6/J482)))</f>
        <v/>
      </c>
      <c r="T482" t="str">
        <f>IF(L482="","",MIN(100,100*L482/Parametros!$B$7))</f>
        <v/>
      </c>
      <c r="U482" t="str">
        <f>IF(K482="","",MIN(100,100*K482/Parametros!$B$8))</f>
        <v/>
      </c>
      <c r="V482" t="str">
        <f ca="1">IFERROR(((AVERAGEIFS(Documentacion!$C$2:$C$1000,Documentacion!$A$2:$A$1000,$A482,Documentacion!$B$2:$B$1000,"&gt;="&amp;DATEVALUE($B482&amp;"-01"),Documentacion!$B$2:$B$1000,"&lt;="&amp;EOMONTH(DATEVALUE($B482&amp;"-01"),0)))-1)/4*100,"")</f>
        <v/>
      </c>
      <c r="W482" t="str">
        <f ca="1">IFERROR(((AVERAGEIFS(Feedback_360!$D$2:$D$1000,Feedback_360!$A$2:$A$1000,$A482,Feedback_360!$B$2:$B$1000,"&gt;="&amp;DATEVALUE($B482&amp;"-01"),Feedback_360!$B$2:$B$1000,"&lt;="&amp;EOMONTH(DATEVALUE($B482&amp;"-01"),0)))-1)/4*100,"")</f>
        <v/>
      </c>
      <c r="X482" t="str">
        <f ca="1">IFERROR(((AVERAGEIFS(Observacion_Directa!$D$2:$D$1000,Observacion_Directa!$A$2:$A$1000,$A482,Observacion_Directa!$B$2:$B$1000,"&gt;="&amp;DATEVALUE($B482&amp;"-01"),Observacion_Directa!$B$2:$B$1000,"&lt;="&amp;EOMONTH(DATEVALUE($B482&amp;"-01"),0)))-1)/4*100,"")</f>
        <v/>
      </c>
      <c r="Y482" t="e">
        <f t="shared" ca="1" si="15"/>
        <v>#DIV/0!</v>
      </c>
    </row>
    <row r="483" spans="12:25" x14ac:dyDescent="0.2">
      <c r="L483" t="str">
        <f t="shared" si="14"/>
        <v/>
      </c>
      <c r="M483" t="str">
        <f>IFERROR(AVERAGEIFS(Prod_5dias!$H$2:$H$1000,Prod_5dias!$A$2:$A$1000,$A483,Prod_5dias!$B$2:$B$1000,$B483),"")</f>
        <v/>
      </c>
      <c r="N483" t="str">
        <f>IF(M483="","",MIN(100,100*M483/Parametros!$B$7))</f>
        <v/>
      </c>
      <c r="O483" t="str">
        <f>IF(F483="","",IF(F483=0,100,MIN(100,100*Parametros!$B$3/F483)))</f>
        <v/>
      </c>
      <c r="P483" t="str">
        <f ca="1">IFERROR(((AVERAGEIFS(Observacion_Directa!$E$2:$E$1000,Observacion_Directa!$A$2:$A$1000,$A483,Observacion_Directa!$B$2:$B$1000,"&gt;="&amp;DATEVALUE($B483&amp;"-01"),Observacion_Directa!$B$2:$B$1000,"&lt;="&amp;EOMONTH(DATEVALUE($B483&amp;"-01"),0)))-1)/4*100,"")</f>
        <v/>
      </c>
      <c r="Q483" t="str">
        <f>IF(H483="","",MIN(100,100*H483/Parametros!$B$4))</f>
        <v/>
      </c>
      <c r="R483" t="str">
        <f>IF(I483="","",IF(I483=0,100,MIN(100,100*Parametros!$B$5/I483)))</f>
        <v/>
      </c>
      <c r="S483" t="str">
        <f>IF(J483="","",IF(J483=0,100,MIN(100,100*Parametros!$B$6/J483)))</f>
        <v/>
      </c>
      <c r="T483" t="str">
        <f>IF(L483="","",MIN(100,100*L483/Parametros!$B$7))</f>
        <v/>
      </c>
      <c r="U483" t="str">
        <f>IF(K483="","",MIN(100,100*K483/Parametros!$B$8))</f>
        <v/>
      </c>
      <c r="V483" t="str">
        <f ca="1">IFERROR(((AVERAGEIFS(Documentacion!$C$2:$C$1000,Documentacion!$A$2:$A$1000,$A483,Documentacion!$B$2:$B$1000,"&gt;="&amp;DATEVALUE($B483&amp;"-01"),Documentacion!$B$2:$B$1000,"&lt;="&amp;EOMONTH(DATEVALUE($B483&amp;"-01"),0)))-1)/4*100,"")</f>
        <v/>
      </c>
      <c r="W483" t="str">
        <f ca="1">IFERROR(((AVERAGEIFS(Feedback_360!$D$2:$D$1000,Feedback_360!$A$2:$A$1000,$A483,Feedback_360!$B$2:$B$1000,"&gt;="&amp;DATEVALUE($B483&amp;"-01"),Feedback_360!$B$2:$B$1000,"&lt;="&amp;EOMONTH(DATEVALUE($B483&amp;"-01"),0)))-1)/4*100,"")</f>
        <v/>
      </c>
      <c r="X483" t="str">
        <f ca="1">IFERROR(((AVERAGEIFS(Observacion_Directa!$D$2:$D$1000,Observacion_Directa!$A$2:$A$1000,$A483,Observacion_Directa!$B$2:$B$1000,"&gt;="&amp;DATEVALUE($B483&amp;"-01"),Observacion_Directa!$B$2:$B$1000,"&lt;="&amp;EOMONTH(DATEVALUE($B483&amp;"-01"),0)))-1)/4*100,"")</f>
        <v/>
      </c>
      <c r="Y483" t="e">
        <f t="shared" ca="1" si="15"/>
        <v>#DIV/0!</v>
      </c>
    </row>
    <row r="484" spans="12:25" x14ac:dyDescent="0.2">
      <c r="L484" t="str">
        <f t="shared" si="14"/>
        <v/>
      </c>
      <c r="M484" t="str">
        <f>IFERROR(AVERAGEIFS(Prod_5dias!$H$2:$H$1000,Prod_5dias!$A$2:$A$1000,$A484,Prod_5dias!$B$2:$B$1000,$B484),"")</f>
        <v/>
      </c>
      <c r="N484" t="str">
        <f>IF(M484="","",MIN(100,100*M484/Parametros!$B$7))</f>
        <v/>
      </c>
      <c r="O484" t="str">
        <f>IF(F484="","",IF(F484=0,100,MIN(100,100*Parametros!$B$3/F484)))</f>
        <v/>
      </c>
      <c r="P484" t="str">
        <f ca="1">IFERROR(((AVERAGEIFS(Observacion_Directa!$E$2:$E$1000,Observacion_Directa!$A$2:$A$1000,$A484,Observacion_Directa!$B$2:$B$1000,"&gt;="&amp;DATEVALUE($B484&amp;"-01"),Observacion_Directa!$B$2:$B$1000,"&lt;="&amp;EOMONTH(DATEVALUE($B484&amp;"-01"),0)))-1)/4*100,"")</f>
        <v/>
      </c>
      <c r="Q484" t="str">
        <f>IF(H484="","",MIN(100,100*H484/Parametros!$B$4))</f>
        <v/>
      </c>
      <c r="R484" t="str">
        <f>IF(I484="","",IF(I484=0,100,MIN(100,100*Parametros!$B$5/I484)))</f>
        <v/>
      </c>
      <c r="S484" t="str">
        <f>IF(J484="","",IF(J484=0,100,MIN(100,100*Parametros!$B$6/J484)))</f>
        <v/>
      </c>
      <c r="T484" t="str">
        <f>IF(L484="","",MIN(100,100*L484/Parametros!$B$7))</f>
        <v/>
      </c>
      <c r="U484" t="str">
        <f>IF(K484="","",MIN(100,100*K484/Parametros!$B$8))</f>
        <v/>
      </c>
      <c r="V484" t="str">
        <f ca="1">IFERROR(((AVERAGEIFS(Documentacion!$C$2:$C$1000,Documentacion!$A$2:$A$1000,$A484,Documentacion!$B$2:$B$1000,"&gt;="&amp;DATEVALUE($B484&amp;"-01"),Documentacion!$B$2:$B$1000,"&lt;="&amp;EOMONTH(DATEVALUE($B484&amp;"-01"),0)))-1)/4*100,"")</f>
        <v/>
      </c>
      <c r="W484" t="str">
        <f ca="1">IFERROR(((AVERAGEIFS(Feedback_360!$D$2:$D$1000,Feedback_360!$A$2:$A$1000,$A484,Feedback_360!$B$2:$B$1000,"&gt;="&amp;DATEVALUE($B484&amp;"-01"),Feedback_360!$B$2:$B$1000,"&lt;="&amp;EOMONTH(DATEVALUE($B484&amp;"-01"),0)))-1)/4*100,"")</f>
        <v/>
      </c>
      <c r="X484" t="str">
        <f ca="1">IFERROR(((AVERAGEIFS(Observacion_Directa!$D$2:$D$1000,Observacion_Directa!$A$2:$A$1000,$A484,Observacion_Directa!$B$2:$B$1000,"&gt;="&amp;DATEVALUE($B484&amp;"-01"),Observacion_Directa!$B$2:$B$1000,"&lt;="&amp;EOMONTH(DATEVALUE($B484&amp;"-01"),0)))-1)/4*100,"")</f>
        <v/>
      </c>
      <c r="Y484" t="e">
        <f t="shared" ca="1" si="15"/>
        <v>#DIV/0!</v>
      </c>
    </row>
    <row r="485" spans="12:25" x14ac:dyDescent="0.2">
      <c r="L485" t="str">
        <f t="shared" si="14"/>
        <v/>
      </c>
      <c r="M485" t="str">
        <f>IFERROR(AVERAGEIFS(Prod_5dias!$H$2:$H$1000,Prod_5dias!$A$2:$A$1000,$A485,Prod_5dias!$B$2:$B$1000,$B485),"")</f>
        <v/>
      </c>
      <c r="N485" t="str">
        <f>IF(M485="","",MIN(100,100*M485/Parametros!$B$7))</f>
        <v/>
      </c>
      <c r="O485" t="str">
        <f>IF(F485="","",IF(F485=0,100,MIN(100,100*Parametros!$B$3/F485)))</f>
        <v/>
      </c>
      <c r="P485" t="str">
        <f ca="1">IFERROR(((AVERAGEIFS(Observacion_Directa!$E$2:$E$1000,Observacion_Directa!$A$2:$A$1000,$A485,Observacion_Directa!$B$2:$B$1000,"&gt;="&amp;DATEVALUE($B485&amp;"-01"),Observacion_Directa!$B$2:$B$1000,"&lt;="&amp;EOMONTH(DATEVALUE($B485&amp;"-01"),0)))-1)/4*100,"")</f>
        <v/>
      </c>
      <c r="Q485" t="str">
        <f>IF(H485="","",MIN(100,100*H485/Parametros!$B$4))</f>
        <v/>
      </c>
      <c r="R485" t="str">
        <f>IF(I485="","",IF(I485=0,100,MIN(100,100*Parametros!$B$5/I485)))</f>
        <v/>
      </c>
      <c r="S485" t="str">
        <f>IF(J485="","",IF(J485=0,100,MIN(100,100*Parametros!$B$6/J485)))</f>
        <v/>
      </c>
      <c r="T485" t="str">
        <f>IF(L485="","",MIN(100,100*L485/Parametros!$B$7))</f>
        <v/>
      </c>
      <c r="U485" t="str">
        <f>IF(K485="","",MIN(100,100*K485/Parametros!$B$8))</f>
        <v/>
      </c>
      <c r="V485" t="str">
        <f ca="1">IFERROR(((AVERAGEIFS(Documentacion!$C$2:$C$1000,Documentacion!$A$2:$A$1000,$A485,Documentacion!$B$2:$B$1000,"&gt;="&amp;DATEVALUE($B485&amp;"-01"),Documentacion!$B$2:$B$1000,"&lt;="&amp;EOMONTH(DATEVALUE($B485&amp;"-01"),0)))-1)/4*100,"")</f>
        <v/>
      </c>
      <c r="W485" t="str">
        <f ca="1">IFERROR(((AVERAGEIFS(Feedback_360!$D$2:$D$1000,Feedback_360!$A$2:$A$1000,$A485,Feedback_360!$B$2:$B$1000,"&gt;="&amp;DATEVALUE($B485&amp;"-01"),Feedback_360!$B$2:$B$1000,"&lt;="&amp;EOMONTH(DATEVALUE($B485&amp;"-01"),0)))-1)/4*100,"")</f>
        <v/>
      </c>
      <c r="X485" t="str">
        <f ca="1">IFERROR(((AVERAGEIFS(Observacion_Directa!$D$2:$D$1000,Observacion_Directa!$A$2:$A$1000,$A485,Observacion_Directa!$B$2:$B$1000,"&gt;="&amp;DATEVALUE($B485&amp;"-01"),Observacion_Directa!$B$2:$B$1000,"&lt;="&amp;EOMONTH(DATEVALUE($B485&amp;"-01"),0)))-1)/4*100,"")</f>
        <v/>
      </c>
      <c r="Y485" t="e">
        <f t="shared" ca="1" si="15"/>
        <v>#DIV/0!</v>
      </c>
    </row>
    <row r="486" spans="12:25" x14ac:dyDescent="0.2">
      <c r="L486" t="str">
        <f t="shared" si="14"/>
        <v/>
      </c>
      <c r="M486" t="str">
        <f>IFERROR(AVERAGEIFS(Prod_5dias!$H$2:$H$1000,Prod_5dias!$A$2:$A$1000,$A486,Prod_5dias!$B$2:$B$1000,$B486),"")</f>
        <v/>
      </c>
      <c r="N486" t="str">
        <f>IF(M486="","",MIN(100,100*M486/Parametros!$B$7))</f>
        <v/>
      </c>
      <c r="O486" t="str">
        <f>IF(F486="","",IF(F486=0,100,MIN(100,100*Parametros!$B$3/F486)))</f>
        <v/>
      </c>
      <c r="P486" t="str">
        <f ca="1">IFERROR(((AVERAGEIFS(Observacion_Directa!$E$2:$E$1000,Observacion_Directa!$A$2:$A$1000,$A486,Observacion_Directa!$B$2:$B$1000,"&gt;="&amp;DATEVALUE($B486&amp;"-01"),Observacion_Directa!$B$2:$B$1000,"&lt;="&amp;EOMONTH(DATEVALUE($B486&amp;"-01"),0)))-1)/4*100,"")</f>
        <v/>
      </c>
      <c r="Q486" t="str">
        <f>IF(H486="","",MIN(100,100*H486/Parametros!$B$4))</f>
        <v/>
      </c>
      <c r="R486" t="str">
        <f>IF(I486="","",IF(I486=0,100,MIN(100,100*Parametros!$B$5/I486)))</f>
        <v/>
      </c>
      <c r="S486" t="str">
        <f>IF(J486="","",IF(J486=0,100,MIN(100,100*Parametros!$B$6/J486)))</f>
        <v/>
      </c>
      <c r="T486" t="str">
        <f>IF(L486="","",MIN(100,100*L486/Parametros!$B$7))</f>
        <v/>
      </c>
      <c r="U486" t="str">
        <f>IF(K486="","",MIN(100,100*K486/Parametros!$B$8))</f>
        <v/>
      </c>
      <c r="V486" t="str">
        <f ca="1">IFERROR(((AVERAGEIFS(Documentacion!$C$2:$C$1000,Documentacion!$A$2:$A$1000,$A486,Documentacion!$B$2:$B$1000,"&gt;="&amp;DATEVALUE($B486&amp;"-01"),Documentacion!$B$2:$B$1000,"&lt;="&amp;EOMONTH(DATEVALUE($B486&amp;"-01"),0)))-1)/4*100,"")</f>
        <v/>
      </c>
      <c r="W486" t="str">
        <f ca="1">IFERROR(((AVERAGEIFS(Feedback_360!$D$2:$D$1000,Feedback_360!$A$2:$A$1000,$A486,Feedback_360!$B$2:$B$1000,"&gt;="&amp;DATEVALUE($B486&amp;"-01"),Feedback_360!$B$2:$B$1000,"&lt;="&amp;EOMONTH(DATEVALUE($B486&amp;"-01"),0)))-1)/4*100,"")</f>
        <v/>
      </c>
      <c r="X486" t="str">
        <f ca="1">IFERROR(((AVERAGEIFS(Observacion_Directa!$D$2:$D$1000,Observacion_Directa!$A$2:$A$1000,$A486,Observacion_Directa!$B$2:$B$1000,"&gt;="&amp;DATEVALUE($B486&amp;"-01"),Observacion_Directa!$B$2:$B$1000,"&lt;="&amp;EOMONTH(DATEVALUE($B486&amp;"-01"),0)))-1)/4*100,"")</f>
        <v/>
      </c>
      <c r="Y486" t="e">
        <f t="shared" ca="1" si="15"/>
        <v>#DIV/0!</v>
      </c>
    </row>
    <row r="487" spans="12:25" x14ac:dyDescent="0.2">
      <c r="L487" t="str">
        <f t="shared" si="14"/>
        <v/>
      </c>
      <c r="M487" t="str">
        <f>IFERROR(AVERAGEIFS(Prod_5dias!$H$2:$H$1000,Prod_5dias!$A$2:$A$1000,$A487,Prod_5dias!$B$2:$B$1000,$B487),"")</f>
        <v/>
      </c>
      <c r="N487" t="str">
        <f>IF(M487="","",MIN(100,100*M487/Parametros!$B$7))</f>
        <v/>
      </c>
      <c r="O487" t="str">
        <f>IF(F487="","",IF(F487=0,100,MIN(100,100*Parametros!$B$3/F487)))</f>
        <v/>
      </c>
      <c r="P487" t="str">
        <f ca="1">IFERROR(((AVERAGEIFS(Observacion_Directa!$E$2:$E$1000,Observacion_Directa!$A$2:$A$1000,$A487,Observacion_Directa!$B$2:$B$1000,"&gt;="&amp;DATEVALUE($B487&amp;"-01"),Observacion_Directa!$B$2:$B$1000,"&lt;="&amp;EOMONTH(DATEVALUE($B487&amp;"-01"),0)))-1)/4*100,"")</f>
        <v/>
      </c>
      <c r="Q487" t="str">
        <f>IF(H487="","",MIN(100,100*H487/Parametros!$B$4))</f>
        <v/>
      </c>
      <c r="R487" t="str">
        <f>IF(I487="","",IF(I487=0,100,MIN(100,100*Parametros!$B$5/I487)))</f>
        <v/>
      </c>
      <c r="S487" t="str">
        <f>IF(J487="","",IF(J487=0,100,MIN(100,100*Parametros!$B$6/J487)))</f>
        <v/>
      </c>
      <c r="T487" t="str">
        <f>IF(L487="","",MIN(100,100*L487/Parametros!$B$7))</f>
        <v/>
      </c>
      <c r="U487" t="str">
        <f>IF(K487="","",MIN(100,100*K487/Parametros!$B$8))</f>
        <v/>
      </c>
      <c r="V487" t="str">
        <f ca="1">IFERROR(((AVERAGEIFS(Documentacion!$C$2:$C$1000,Documentacion!$A$2:$A$1000,$A487,Documentacion!$B$2:$B$1000,"&gt;="&amp;DATEVALUE($B487&amp;"-01"),Documentacion!$B$2:$B$1000,"&lt;="&amp;EOMONTH(DATEVALUE($B487&amp;"-01"),0)))-1)/4*100,"")</f>
        <v/>
      </c>
      <c r="W487" t="str">
        <f ca="1">IFERROR(((AVERAGEIFS(Feedback_360!$D$2:$D$1000,Feedback_360!$A$2:$A$1000,$A487,Feedback_360!$B$2:$B$1000,"&gt;="&amp;DATEVALUE($B487&amp;"-01"),Feedback_360!$B$2:$B$1000,"&lt;="&amp;EOMONTH(DATEVALUE($B487&amp;"-01"),0)))-1)/4*100,"")</f>
        <v/>
      </c>
      <c r="X487" t="str">
        <f ca="1">IFERROR(((AVERAGEIFS(Observacion_Directa!$D$2:$D$1000,Observacion_Directa!$A$2:$A$1000,$A487,Observacion_Directa!$B$2:$B$1000,"&gt;="&amp;DATEVALUE($B487&amp;"-01"),Observacion_Directa!$B$2:$B$1000,"&lt;="&amp;EOMONTH(DATEVALUE($B487&amp;"-01"),0)))-1)/4*100,"")</f>
        <v/>
      </c>
      <c r="Y487" t="e">
        <f t="shared" ca="1" si="15"/>
        <v>#DIV/0!</v>
      </c>
    </row>
    <row r="488" spans="12:25" x14ac:dyDescent="0.2">
      <c r="L488" t="str">
        <f t="shared" si="14"/>
        <v/>
      </c>
      <c r="M488" t="str">
        <f>IFERROR(AVERAGEIFS(Prod_5dias!$H$2:$H$1000,Prod_5dias!$A$2:$A$1000,$A488,Prod_5dias!$B$2:$B$1000,$B488),"")</f>
        <v/>
      </c>
      <c r="N488" t="str">
        <f>IF(M488="","",MIN(100,100*M488/Parametros!$B$7))</f>
        <v/>
      </c>
      <c r="O488" t="str">
        <f>IF(F488="","",IF(F488=0,100,MIN(100,100*Parametros!$B$3/F488)))</f>
        <v/>
      </c>
      <c r="P488" t="str">
        <f ca="1">IFERROR(((AVERAGEIFS(Observacion_Directa!$E$2:$E$1000,Observacion_Directa!$A$2:$A$1000,$A488,Observacion_Directa!$B$2:$B$1000,"&gt;="&amp;DATEVALUE($B488&amp;"-01"),Observacion_Directa!$B$2:$B$1000,"&lt;="&amp;EOMONTH(DATEVALUE($B488&amp;"-01"),0)))-1)/4*100,"")</f>
        <v/>
      </c>
      <c r="Q488" t="str">
        <f>IF(H488="","",MIN(100,100*H488/Parametros!$B$4))</f>
        <v/>
      </c>
      <c r="R488" t="str">
        <f>IF(I488="","",IF(I488=0,100,MIN(100,100*Parametros!$B$5/I488)))</f>
        <v/>
      </c>
      <c r="S488" t="str">
        <f>IF(J488="","",IF(J488=0,100,MIN(100,100*Parametros!$B$6/J488)))</f>
        <v/>
      </c>
      <c r="T488" t="str">
        <f>IF(L488="","",MIN(100,100*L488/Parametros!$B$7))</f>
        <v/>
      </c>
      <c r="U488" t="str">
        <f>IF(K488="","",MIN(100,100*K488/Parametros!$B$8))</f>
        <v/>
      </c>
      <c r="V488" t="str">
        <f ca="1">IFERROR(((AVERAGEIFS(Documentacion!$C$2:$C$1000,Documentacion!$A$2:$A$1000,$A488,Documentacion!$B$2:$B$1000,"&gt;="&amp;DATEVALUE($B488&amp;"-01"),Documentacion!$B$2:$B$1000,"&lt;="&amp;EOMONTH(DATEVALUE($B488&amp;"-01"),0)))-1)/4*100,"")</f>
        <v/>
      </c>
      <c r="W488" t="str">
        <f ca="1">IFERROR(((AVERAGEIFS(Feedback_360!$D$2:$D$1000,Feedback_360!$A$2:$A$1000,$A488,Feedback_360!$B$2:$B$1000,"&gt;="&amp;DATEVALUE($B488&amp;"-01"),Feedback_360!$B$2:$B$1000,"&lt;="&amp;EOMONTH(DATEVALUE($B488&amp;"-01"),0)))-1)/4*100,"")</f>
        <v/>
      </c>
      <c r="X488" t="str">
        <f ca="1">IFERROR(((AVERAGEIFS(Observacion_Directa!$D$2:$D$1000,Observacion_Directa!$A$2:$A$1000,$A488,Observacion_Directa!$B$2:$B$1000,"&gt;="&amp;DATEVALUE($B488&amp;"-01"),Observacion_Directa!$B$2:$B$1000,"&lt;="&amp;EOMONTH(DATEVALUE($B488&amp;"-01"),0)))-1)/4*100,"")</f>
        <v/>
      </c>
      <c r="Y488" t="e">
        <f t="shared" ca="1" si="15"/>
        <v>#DIV/0!</v>
      </c>
    </row>
    <row r="489" spans="12:25" x14ac:dyDescent="0.2">
      <c r="L489" t="str">
        <f t="shared" si="14"/>
        <v/>
      </c>
      <c r="M489" t="str">
        <f>IFERROR(AVERAGEIFS(Prod_5dias!$H$2:$H$1000,Prod_5dias!$A$2:$A$1000,$A489,Prod_5dias!$B$2:$B$1000,$B489),"")</f>
        <v/>
      </c>
      <c r="N489" t="str">
        <f>IF(M489="","",MIN(100,100*M489/Parametros!$B$7))</f>
        <v/>
      </c>
      <c r="O489" t="str">
        <f>IF(F489="","",IF(F489=0,100,MIN(100,100*Parametros!$B$3/F489)))</f>
        <v/>
      </c>
      <c r="P489" t="str">
        <f ca="1">IFERROR(((AVERAGEIFS(Observacion_Directa!$E$2:$E$1000,Observacion_Directa!$A$2:$A$1000,$A489,Observacion_Directa!$B$2:$B$1000,"&gt;="&amp;DATEVALUE($B489&amp;"-01"),Observacion_Directa!$B$2:$B$1000,"&lt;="&amp;EOMONTH(DATEVALUE($B489&amp;"-01"),0)))-1)/4*100,"")</f>
        <v/>
      </c>
      <c r="Q489" t="str">
        <f>IF(H489="","",MIN(100,100*H489/Parametros!$B$4))</f>
        <v/>
      </c>
      <c r="R489" t="str">
        <f>IF(I489="","",IF(I489=0,100,MIN(100,100*Parametros!$B$5/I489)))</f>
        <v/>
      </c>
      <c r="S489" t="str">
        <f>IF(J489="","",IF(J489=0,100,MIN(100,100*Parametros!$B$6/J489)))</f>
        <v/>
      </c>
      <c r="T489" t="str">
        <f>IF(L489="","",MIN(100,100*L489/Parametros!$B$7))</f>
        <v/>
      </c>
      <c r="U489" t="str">
        <f>IF(K489="","",MIN(100,100*K489/Parametros!$B$8))</f>
        <v/>
      </c>
      <c r="V489" t="str">
        <f ca="1">IFERROR(((AVERAGEIFS(Documentacion!$C$2:$C$1000,Documentacion!$A$2:$A$1000,$A489,Documentacion!$B$2:$B$1000,"&gt;="&amp;DATEVALUE($B489&amp;"-01"),Documentacion!$B$2:$B$1000,"&lt;="&amp;EOMONTH(DATEVALUE($B489&amp;"-01"),0)))-1)/4*100,"")</f>
        <v/>
      </c>
      <c r="W489" t="str">
        <f ca="1">IFERROR(((AVERAGEIFS(Feedback_360!$D$2:$D$1000,Feedback_360!$A$2:$A$1000,$A489,Feedback_360!$B$2:$B$1000,"&gt;="&amp;DATEVALUE($B489&amp;"-01"),Feedback_360!$B$2:$B$1000,"&lt;="&amp;EOMONTH(DATEVALUE($B489&amp;"-01"),0)))-1)/4*100,"")</f>
        <v/>
      </c>
      <c r="X489" t="str">
        <f ca="1">IFERROR(((AVERAGEIFS(Observacion_Directa!$D$2:$D$1000,Observacion_Directa!$A$2:$A$1000,$A489,Observacion_Directa!$B$2:$B$1000,"&gt;="&amp;DATEVALUE($B489&amp;"-01"),Observacion_Directa!$B$2:$B$1000,"&lt;="&amp;EOMONTH(DATEVALUE($B489&amp;"-01"),0)))-1)/4*100,"")</f>
        <v/>
      </c>
      <c r="Y489" t="e">
        <f t="shared" ca="1" si="15"/>
        <v>#DIV/0!</v>
      </c>
    </row>
    <row r="490" spans="12:25" x14ac:dyDescent="0.2">
      <c r="L490" t="str">
        <f t="shared" si="14"/>
        <v/>
      </c>
      <c r="M490" t="str">
        <f>IFERROR(AVERAGEIFS(Prod_5dias!$H$2:$H$1000,Prod_5dias!$A$2:$A$1000,$A490,Prod_5dias!$B$2:$B$1000,$B490),"")</f>
        <v/>
      </c>
      <c r="N490" t="str">
        <f>IF(M490="","",MIN(100,100*M490/Parametros!$B$7))</f>
        <v/>
      </c>
      <c r="O490" t="str">
        <f>IF(F490="","",IF(F490=0,100,MIN(100,100*Parametros!$B$3/F490)))</f>
        <v/>
      </c>
      <c r="P490" t="str">
        <f ca="1">IFERROR(((AVERAGEIFS(Observacion_Directa!$E$2:$E$1000,Observacion_Directa!$A$2:$A$1000,$A490,Observacion_Directa!$B$2:$B$1000,"&gt;="&amp;DATEVALUE($B490&amp;"-01"),Observacion_Directa!$B$2:$B$1000,"&lt;="&amp;EOMONTH(DATEVALUE($B490&amp;"-01"),0)))-1)/4*100,"")</f>
        <v/>
      </c>
      <c r="Q490" t="str">
        <f>IF(H490="","",MIN(100,100*H490/Parametros!$B$4))</f>
        <v/>
      </c>
      <c r="R490" t="str">
        <f>IF(I490="","",IF(I490=0,100,MIN(100,100*Parametros!$B$5/I490)))</f>
        <v/>
      </c>
      <c r="S490" t="str">
        <f>IF(J490="","",IF(J490=0,100,MIN(100,100*Parametros!$B$6/J490)))</f>
        <v/>
      </c>
      <c r="T490" t="str">
        <f>IF(L490="","",MIN(100,100*L490/Parametros!$B$7))</f>
        <v/>
      </c>
      <c r="U490" t="str">
        <f>IF(K490="","",MIN(100,100*K490/Parametros!$B$8))</f>
        <v/>
      </c>
      <c r="V490" t="str">
        <f ca="1">IFERROR(((AVERAGEIFS(Documentacion!$C$2:$C$1000,Documentacion!$A$2:$A$1000,$A490,Documentacion!$B$2:$B$1000,"&gt;="&amp;DATEVALUE($B490&amp;"-01"),Documentacion!$B$2:$B$1000,"&lt;="&amp;EOMONTH(DATEVALUE($B490&amp;"-01"),0)))-1)/4*100,"")</f>
        <v/>
      </c>
      <c r="W490" t="str">
        <f ca="1">IFERROR(((AVERAGEIFS(Feedback_360!$D$2:$D$1000,Feedback_360!$A$2:$A$1000,$A490,Feedback_360!$B$2:$B$1000,"&gt;="&amp;DATEVALUE($B490&amp;"-01"),Feedback_360!$B$2:$B$1000,"&lt;="&amp;EOMONTH(DATEVALUE($B490&amp;"-01"),0)))-1)/4*100,"")</f>
        <v/>
      </c>
      <c r="X490" t="str">
        <f ca="1">IFERROR(((AVERAGEIFS(Observacion_Directa!$D$2:$D$1000,Observacion_Directa!$A$2:$A$1000,$A490,Observacion_Directa!$B$2:$B$1000,"&gt;="&amp;DATEVALUE($B490&amp;"-01"),Observacion_Directa!$B$2:$B$1000,"&lt;="&amp;EOMONTH(DATEVALUE($B490&amp;"-01"),0)))-1)/4*100,"")</f>
        <v/>
      </c>
      <c r="Y490" t="e">
        <f t="shared" ca="1" si="15"/>
        <v>#DIV/0!</v>
      </c>
    </row>
    <row r="491" spans="12:25" x14ac:dyDescent="0.2">
      <c r="L491" t="str">
        <f t="shared" si="14"/>
        <v/>
      </c>
      <c r="M491" t="str">
        <f>IFERROR(AVERAGEIFS(Prod_5dias!$H$2:$H$1000,Prod_5dias!$A$2:$A$1000,$A491,Prod_5dias!$B$2:$B$1000,$B491),"")</f>
        <v/>
      </c>
      <c r="N491" t="str">
        <f>IF(M491="","",MIN(100,100*M491/Parametros!$B$7))</f>
        <v/>
      </c>
      <c r="O491" t="str">
        <f>IF(F491="","",IF(F491=0,100,MIN(100,100*Parametros!$B$3/F491)))</f>
        <v/>
      </c>
      <c r="P491" t="str">
        <f ca="1">IFERROR(((AVERAGEIFS(Observacion_Directa!$E$2:$E$1000,Observacion_Directa!$A$2:$A$1000,$A491,Observacion_Directa!$B$2:$B$1000,"&gt;="&amp;DATEVALUE($B491&amp;"-01"),Observacion_Directa!$B$2:$B$1000,"&lt;="&amp;EOMONTH(DATEVALUE($B491&amp;"-01"),0)))-1)/4*100,"")</f>
        <v/>
      </c>
      <c r="Q491" t="str">
        <f>IF(H491="","",MIN(100,100*H491/Parametros!$B$4))</f>
        <v/>
      </c>
      <c r="R491" t="str">
        <f>IF(I491="","",IF(I491=0,100,MIN(100,100*Parametros!$B$5/I491)))</f>
        <v/>
      </c>
      <c r="S491" t="str">
        <f>IF(J491="","",IF(J491=0,100,MIN(100,100*Parametros!$B$6/J491)))</f>
        <v/>
      </c>
      <c r="T491" t="str">
        <f>IF(L491="","",MIN(100,100*L491/Parametros!$B$7))</f>
        <v/>
      </c>
      <c r="U491" t="str">
        <f>IF(K491="","",MIN(100,100*K491/Parametros!$B$8))</f>
        <v/>
      </c>
      <c r="V491" t="str">
        <f ca="1">IFERROR(((AVERAGEIFS(Documentacion!$C$2:$C$1000,Documentacion!$A$2:$A$1000,$A491,Documentacion!$B$2:$B$1000,"&gt;="&amp;DATEVALUE($B491&amp;"-01"),Documentacion!$B$2:$B$1000,"&lt;="&amp;EOMONTH(DATEVALUE($B491&amp;"-01"),0)))-1)/4*100,"")</f>
        <v/>
      </c>
      <c r="W491" t="str">
        <f ca="1">IFERROR(((AVERAGEIFS(Feedback_360!$D$2:$D$1000,Feedback_360!$A$2:$A$1000,$A491,Feedback_360!$B$2:$B$1000,"&gt;="&amp;DATEVALUE($B491&amp;"-01"),Feedback_360!$B$2:$B$1000,"&lt;="&amp;EOMONTH(DATEVALUE($B491&amp;"-01"),0)))-1)/4*100,"")</f>
        <v/>
      </c>
      <c r="X491" t="str">
        <f ca="1">IFERROR(((AVERAGEIFS(Observacion_Directa!$D$2:$D$1000,Observacion_Directa!$A$2:$A$1000,$A491,Observacion_Directa!$B$2:$B$1000,"&gt;="&amp;DATEVALUE($B491&amp;"-01"),Observacion_Directa!$B$2:$B$1000,"&lt;="&amp;EOMONTH(DATEVALUE($B491&amp;"-01"),0)))-1)/4*100,"")</f>
        <v/>
      </c>
      <c r="Y491" t="e">
        <f t="shared" ca="1" si="15"/>
        <v>#DIV/0!</v>
      </c>
    </row>
    <row r="492" spans="12:25" x14ac:dyDescent="0.2">
      <c r="L492" t="str">
        <f t="shared" si="14"/>
        <v/>
      </c>
      <c r="M492" t="str">
        <f>IFERROR(AVERAGEIFS(Prod_5dias!$H$2:$H$1000,Prod_5dias!$A$2:$A$1000,$A492,Prod_5dias!$B$2:$B$1000,$B492),"")</f>
        <v/>
      </c>
      <c r="N492" t="str">
        <f>IF(M492="","",MIN(100,100*M492/Parametros!$B$7))</f>
        <v/>
      </c>
      <c r="O492" t="str">
        <f>IF(F492="","",IF(F492=0,100,MIN(100,100*Parametros!$B$3/F492)))</f>
        <v/>
      </c>
      <c r="P492" t="str">
        <f ca="1">IFERROR(((AVERAGEIFS(Observacion_Directa!$E$2:$E$1000,Observacion_Directa!$A$2:$A$1000,$A492,Observacion_Directa!$B$2:$B$1000,"&gt;="&amp;DATEVALUE($B492&amp;"-01"),Observacion_Directa!$B$2:$B$1000,"&lt;="&amp;EOMONTH(DATEVALUE($B492&amp;"-01"),0)))-1)/4*100,"")</f>
        <v/>
      </c>
      <c r="Q492" t="str">
        <f>IF(H492="","",MIN(100,100*H492/Parametros!$B$4))</f>
        <v/>
      </c>
      <c r="R492" t="str">
        <f>IF(I492="","",IF(I492=0,100,MIN(100,100*Parametros!$B$5/I492)))</f>
        <v/>
      </c>
      <c r="S492" t="str">
        <f>IF(J492="","",IF(J492=0,100,MIN(100,100*Parametros!$B$6/J492)))</f>
        <v/>
      </c>
      <c r="T492" t="str">
        <f>IF(L492="","",MIN(100,100*L492/Parametros!$B$7))</f>
        <v/>
      </c>
      <c r="U492" t="str">
        <f>IF(K492="","",MIN(100,100*K492/Parametros!$B$8))</f>
        <v/>
      </c>
      <c r="V492" t="str">
        <f ca="1">IFERROR(((AVERAGEIFS(Documentacion!$C$2:$C$1000,Documentacion!$A$2:$A$1000,$A492,Documentacion!$B$2:$B$1000,"&gt;="&amp;DATEVALUE($B492&amp;"-01"),Documentacion!$B$2:$B$1000,"&lt;="&amp;EOMONTH(DATEVALUE($B492&amp;"-01"),0)))-1)/4*100,"")</f>
        <v/>
      </c>
      <c r="W492" t="str">
        <f ca="1">IFERROR(((AVERAGEIFS(Feedback_360!$D$2:$D$1000,Feedback_360!$A$2:$A$1000,$A492,Feedback_360!$B$2:$B$1000,"&gt;="&amp;DATEVALUE($B492&amp;"-01"),Feedback_360!$B$2:$B$1000,"&lt;="&amp;EOMONTH(DATEVALUE($B492&amp;"-01"),0)))-1)/4*100,"")</f>
        <v/>
      </c>
      <c r="X492" t="str">
        <f ca="1">IFERROR(((AVERAGEIFS(Observacion_Directa!$D$2:$D$1000,Observacion_Directa!$A$2:$A$1000,$A492,Observacion_Directa!$B$2:$B$1000,"&gt;="&amp;DATEVALUE($B492&amp;"-01"),Observacion_Directa!$B$2:$B$1000,"&lt;="&amp;EOMONTH(DATEVALUE($B492&amp;"-01"),0)))-1)/4*100,"")</f>
        <v/>
      </c>
      <c r="Y492" t="e">
        <f t="shared" ca="1" si="15"/>
        <v>#DIV/0!</v>
      </c>
    </row>
    <row r="493" spans="12:25" x14ac:dyDescent="0.2">
      <c r="L493" t="str">
        <f t="shared" si="14"/>
        <v/>
      </c>
      <c r="M493" t="str">
        <f>IFERROR(AVERAGEIFS(Prod_5dias!$H$2:$H$1000,Prod_5dias!$A$2:$A$1000,$A493,Prod_5dias!$B$2:$B$1000,$B493),"")</f>
        <v/>
      </c>
      <c r="N493" t="str">
        <f>IF(M493="","",MIN(100,100*M493/Parametros!$B$7))</f>
        <v/>
      </c>
      <c r="O493" t="str">
        <f>IF(F493="","",IF(F493=0,100,MIN(100,100*Parametros!$B$3/F493)))</f>
        <v/>
      </c>
      <c r="P493" t="str">
        <f ca="1">IFERROR(((AVERAGEIFS(Observacion_Directa!$E$2:$E$1000,Observacion_Directa!$A$2:$A$1000,$A493,Observacion_Directa!$B$2:$B$1000,"&gt;="&amp;DATEVALUE($B493&amp;"-01"),Observacion_Directa!$B$2:$B$1000,"&lt;="&amp;EOMONTH(DATEVALUE($B493&amp;"-01"),0)))-1)/4*100,"")</f>
        <v/>
      </c>
      <c r="Q493" t="str">
        <f>IF(H493="","",MIN(100,100*H493/Parametros!$B$4))</f>
        <v/>
      </c>
      <c r="R493" t="str">
        <f>IF(I493="","",IF(I493=0,100,MIN(100,100*Parametros!$B$5/I493)))</f>
        <v/>
      </c>
      <c r="S493" t="str">
        <f>IF(J493="","",IF(J493=0,100,MIN(100,100*Parametros!$B$6/J493)))</f>
        <v/>
      </c>
      <c r="T493" t="str">
        <f>IF(L493="","",MIN(100,100*L493/Parametros!$B$7))</f>
        <v/>
      </c>
      <c r="U493" t="str">
        <f>IF(K493="","",MIN(100,100*K493/Parametros!$B$8))</f>
        <v/>
      </c>
      <c r="V493" t="str">
        <f ca="1">IFERROR(((AVERAGEIFS(Documentacion!$C$2:$C$1000,Documentacion!$A$2:$A$1000,$A493,Documentacion!$B$2:$B$1000,"&gt;="&amp;DATEVALUE($B493&amp;"-01"),Documentacion!$B$2:$B$1000,"&lt;="&amp;EOMONTH(DATEVALUE($B493&amp;"-01"),0)))-1)/4*100,"")</f>
        <v/>
      </c>
      <c r="W493" t="str">
        <f ca="1">IFERROR(((AVERAGEIFS(Feedback_360!$D$2:$D$1000,Feedback_360!$A$2:$A$1000,$A493,Feedback_360!$B$2:$B$1000,"&gt;="&amp;DATEVALUE($B493&amp;"-01"),Feedback_360!$B$2:$B$1000,"&lt;="&amp;EOMONTH(DATEVALUE($B493&amp;"-01"),0)))-1)/4*100,"")</f>
        <v/>
      </c>
      <c r="X493" t="str">
        <f ca="1">IFERROR(((AVERAGEIFS(Observacion_Directa!$D$2:$D$1000,Observacion_Directa!$A$2:$A$1000,$A493,Observacion_Directa!$B$2:$B$1000,"&gt;="&amp;DATEVALUE($B493&amp;"-01"),Observacion_Directa!$B$2:$B$1000,"&lt;="&amp;EOMONTH(DATEVALUE($B493&amp;"-01"),0)))-1)/4*100,"")</f>
        <v/>
      </c>
      <c r="Y493" t="e">
        <f t="shared" ca="1" si="15"/>
        <v>#DIV/0!</v>
      </c>
    </row>
    <row r="494" spans="12:25" x14ac:dyDescent="0.2">
      <c r="L494" t="str">
        <f t="shared" si="14"/>
        <v/>
      </c>
      <c r="M494" t="str">
        <f>IFERROR(AVERAGEIFS(Prod_5dias!$H$2:$H$1000,Prod_5dias!$A$2:$A$1000,$A494,Prod_5dias!$B$2:$B$1000,$B494),"")</f>
        <v/>
      </c>
      <c r="N494" t="str">
        <f>IF(M494="","",MIN(100,100*M494/Parametros!$B$7))</f>
        <v/>
      </c>
      <c r="O494" t="str">
        <f>IF(F494="","",IF(F494=0,100,MIN(100,100*Parametros!$B$3/F494)))</f>
        <v/>
      </c>
      <c r="P494" t="str">
        <f ca="1">IFERROR(((AVERAGEIFS(Observacion_Directa!$E$2:$E$1000,Observacion_Directa!$A$2:$A$1000,$A494,Observacion_Directa!$B$2:$B$1000,"&gt;="&amp;DATEVALUE($B494&amp;"-01"),Observacion_Directa!$B$2:$B$1000,"&lt;="&amp;EOMONTH(DATEVALUE($B494&amp;"-01"),0)))-1)/4*100,"")</f>
        <v/>
      </c>
      <c r="Q494" t="str">
        <f>IF(H494="","",MIN(100,100*H494/Parametros!$B$4))</f>
        <v/>
      </c>
      <c r="R494" t="str">
        <f>IF(I494="","",IF(I494=0,100,MIN(100,100*Parametros!$B$5/I494)))</f>
        <v/>
      </c>
      <c r="S494" t="str">
        <f>IF(J494="","",IF(J494=0,100,MIN(100,100*Parametros!$B$6/J494)))</f>
        <v/>
      </c>
      <c r="T494" t="str">
        <f>IF(L494="","",MIN(100,100*L494/Parametros!$B$7))</f>
        <v/>
      </c>
      <c r="U494" t="str">
        <f>IF(K494="","",MIN(100,100*K494/Parametros!$B$8))</f>
        <v/>
      </c>
      <c r="V494" t="str">
        <f ca="1">IFERROR(((AVERAGEIFS(Documentacion!$C$2:$C$1000,Documentacion!$A$2:$A$1000,$A494,Documentacion!$B$2:$B$1000,"&gt;="&amp;DATEVALUE($B494&amp;"-01"),Documentacion!$B$2:$B$1000,"&lt;="&amp;EOMONTH(DATEVALUE($B494&amp;"-01"),0)))-1)/4*100,"")</f>
        <v/>
      </c>
      <c r="W494" t="str">
        <f ca="1">IFERROR(((AVERAGEIFS(Feedback_360!$D$2:$D$1000,Feedback_360!$A$2:$A$1000,$A494,Feedback_360!$B$2:$B$1000,"&gt;="&amp;DATEVALUE($B494&amp;"-01"),Feedback_360!$B$2:$B$1000,"&lt;="&amp;EOMONTH(DATEVALUE($B494&amp;"-01"),0)))-1)/4*100,"")</f>
        <v/>
      </c>
      <c r="X494" t="str">
        <f ca="1">IFERROR(((AVERAGEIFS(Observacion_Directa!$D$2:$D$1000,Observacion_Directa!$A$2:$A$1000,$A494,Observacion_Directa!$B$2:$B$1000,"&gt;="&amp;DATEVALUE($B494&amp;"-01"),Observacion_Directa!$B$2:$B$1000,"&lt;="&amp;EOMONTH(DATEVALUE($B494&amp;"-01"),0)))-1)/4*100,"")</f>
        <v/>
      </c>
      <c r="Y494" t="e">
        <f t="shared" ca="1" si="15"/>
        <v>#DIV/0!</v>
      </c>
    </row>
    <row r="495" spans="12:25" x14ac:dyDescent="0.2">
      <c r="L495" t="str">
        <f t="shared" si="14"/>
        <v/>
      </c>
      <c r="M495" t="str">
        <f>IFERROR(AVERAGEIFS(Prod_5dias!$H$2:$H$1000,Prod_5dias!$A$2:$A$1000,$A495,Prod_5dias!$B$2:$B$1000,$B495),"")</f>
        <v/>
      </c>
      <c r="N495" t="str">
        <f>IF(M495="","",MIN(100,100*M495/Parametros!$B$7))</f>
        <v/>
      </c>
      <c r="O495" t="str">
        <f>IF(F495="","",IF(F495=0,100,MIN(100,100*Parametros!$B$3/F495)))</f>
        <v/>
      </c>
      <c r="P495" t="str">
        <f ca="1">IFERROR(((AVERAGEIFS(Observacion_Directa!$E$2:$E$1000,Observacion_Directa!$A$2:$A$1000,$A495,Observacion_Directa!$B$2:$B$1000,"&gt;="&amp;DATEVALUE($B495&amp;"-01"),Observacion_Directa!$B$2:$B$1000,"&lt;="&amp;EOMONTH(DATEVALUE($B495&amp;"-01"),0)))-1)/4*100,"")</f>
        <v/>
      </c>
      <c r="Q495" t="str">
        <f>IF(H495="","",MIN(100,100*H495/Parametros!$B$4))</f>
        <v/>
      </c>
      <c r="R495" t="str">
        <f>IF(I495="","",IF(I495=0,100,MIN(100,100*Parametros!$B$5/I495)))</f>
        <v/>
      </c>
      <c r="S495" t="str">
        <f>IF(J495="","",IF(J495=0,100,MIN(100,100*Parametros!$B$6/J495)))</f>
        <v/>
      </c>
      <c r="T495" t="str">
        <f>IF(L495="","",MIN(100,100*L495/Parametros!$B$7))</f>
        <v/>
      </c>
      <c r="U495" t="str">
        <f>IF(K495="","",MIN(100,100*K495/Parametros!$B$8))</f>
        <v/>
      </c>
      <c r="V495" t="str">
        <f ca="1">IFERROR(((AVERAGEIFS(Documentacion!$C$2:$C$1000,Documentacion!$A$2:$A$1000,$A495,Documentacion!$B$2:$B$1000,"&gt;="&amp;DATEVALUE($B495&amp;"-01"),Documentacion!$B$2:$B$1000,"&lt;="&amp;EOMONTH(DATEVALUE($B495&amp;"-01"),0)))-1)/4*100,"")</f>
        <v/>
      </c>
      <c r="W495" t="str">
        <f ca="1">IFERROR(((AVERAGEIFS(Feedback_360!$D$2:$D$1000,Feedback_360!$A$2:$A$1000,$A495,Feedback_360!$B$2:$B$1000,"&gt;="&amp;DATEVALUE($B495&amp;"-01"),Feedback_360!$B$2:$B$1000,"&lt;="&amp;EOMONTH(DATEVALUE($B495&amp;"-01"),0)))-1)/4*100,"")</f>
        <v/>
      </c>
      <c r="X495" t="str">
        <f ca="1">IFERROR(((AVERAGEIFS(Observacion_Directa!$D$2:$D$1000,Observacion_Directa!$A$2:$A$1000,$A495,Observacion_Directa!$B$2:$B$1000,"&gt;="&amp;DATEVALUE($B495&amp;"-01"),Observacion_Directa!$B$2:$B$1000,"&lt;="&amp;EOMONTH(DATEVALUE($B495&amp;"-01"),0)))-1)/4*100,"")</f>
        <v/>
      </c>
      <c r="Y495" t="e">
        <f t="shared" ca="1" si="15"/>
        <v>#DIV/0!</v>
      </c>
    </row>
    <row r="496" spans="12:25" x14ac:dyDescent="0.2">
      <c r="L496" t="str">
        <f t="shared" si="14"/>
        <v/>
      </c>
      <c r="M496" t="str">
        <f>IFERROR(AVERAGEIFS(Prod_5dias!$H$2:$H$1000,Prod_5dias!$A$2:$A$1000,$A496,Prod_5dias!$B$2:$B$1000,$B496),"")</f>
        <v/>
      </c>
      <c r="N496" t="str">
        <f>IF(M496="","",MIN(100,100*M496/Parametros!$B$7))</f>
        <v/>
      </c>
      <c r="O496" t="str">
        <f>IF(F496="","",IF(F496=0,100,MIN(100,100*Parametros!$B$3/F496)))</f>
        <v/>
      </c>
      <c r="P496" t="str">
        <f ca="1">IFERROR(((AVERAGEIFS(Observacion_Directa!$E$2:$E$1000,Observacion_Directa!$A$2:$A$1000,$A496,Observacion_Directa!$B$2:$B$1000,"&gt;="&amp;DATEVALUE($B496&amp;"-01"),Observacion_Directa!$B$2:$B$1000,"&lt;="&amp;EOMONTH(DATEVALUE($B496&amp;"-01"),0)))-1)/4*100,"")</f>
        <v/>
      </c>
      <c r="Q496" t="str">
        <f>IF(H496="","",MIN(100,100*H496/Parametros!$B$4))</f>
        <v/>
      </c>
      <c r="R496" t="str">
        <f>IF(I496="","",IF(I496=0,100,MIN(100,100*Parametros!$B$5/I496)))</f>
        <v/>
      </c>
      <c r="S496" t="str">
        <f>IF(J496="","",IF(J496=0,100,MIN(100,100*Parametros!$B$6/J496)))</f>
        <v/>
      </c>
      <c r="T496" t="str">
        <f>IF(L496="","",MIN(100,100*L496/Parametros!$B$7))</f>
        <v/>
      </c>
      <c r="U496" t="str">
        <f>IF(K496="","",MIN(100,100*K496/Parametros!$B$8))</f>
        <v/>
      </c>
      <c r="V496" t="str">
        <f ca="1">IFERROR(((AVERAGEIFS(Documentacion!$C$2:$C$1000,Documentacion!$A$2:$A$1000,$A496,Documentacion!$B$2:$B$1000,"&gt;="&amp;DATEVALUE($B496&amp;"-01"),Documentacion!$B$2:$B$1000,"&lt;="&amp;EOMONTH(DATEVALUE($B496&amp;"-01"),0)))-1)/4*100,"")</f>
        <v/>
      </c>
      <c r="W496" t="str">
        <f ca="1">IFERROR(((AVERAGEIFS(Feedback_360!$D$2:$D$1000,Feedback_360!$A$2:$A$1000,$A496,Feedback_360!$B$2:$B$1000,"&gt;="&amp;DATEVALUE($B496&amp;"-01"),Feedback_360!$B$2:$B$1000,"&lt;="&amp;EOMONTH(DATEVALUE($B496&amp;"-01"),0)))-1)/4*100,"")</f>
        <v/>
      </c>
      <c r="X496" t="str">
        <f ca="1">IFERROR(((AVERAGEIFS(Observacion_Directa!$D$2:$D$1000,Observacion_Directa!$A$2:$A$1000,$A496,Observacion_Directa!$B$2:$B$1000,"&gt;="&amp;DATEVALUE($B496&amp;"-01"),Observacion_Directa!$B$2:$B$1000,"&lt;="&amp;EOMONTH(DATEVALUE($B496&amp;"-01"),0)))-1)/4*100,"")</f>
        <v/>
      </c>
      <c r="Y496" t="e">
        <f t="shared" ca="1" si="15"/>
        <v>#DIV/0!</v>
      </c>
    </row>
    <row r="497" spans="12:25" x14ac:dyDescent="0.2">
      <c r="L497" t="str">
        <f t="shared" si="14"/>
        <v/>
      </c>
      <c r="M497" t="str">
        <f>IFERROR(AVERAGEIFS(Prod_5dias!$H$2:$H$1000,Prod_5dias!$A$2:$A$1000,$A497,Prod_5dias!$B$2:$B$1000,$B497),"")</f>
        <v/>
      </c>
      <c r="N497" t="str">
        <f>IF(M497="","",MIN(100,100*M497/Parametros!$B$7))</f>
        <v/>
      </c>
      <c r="O497" t="str">
        <f>IF(F497="","",IF(F497=0,100,MIN(100,100*Parametros!$B$3/F497)))</f>
        <v/>
      </c>
      <c r="P497" t="str">
        <f ca="1">IFERROR(((AVERAGEIFS(Observacion_Directa!$E$2:$E$1000,Observacion_Directa!$A$2:$A$1000,$A497,Observacion_Directa!$B$2:$B$1000,"&gt;="&amp;DATEVALUE($B497&amp;"-01"),Observacion_Directa!$B$2:$B$1000,"&lt;="&amp;EOMONTH(DATEVALUE($B497&amp;"-01"),0)))-1)/4*100,"")</f>
        <v/>
      </c>
      <c r="Q497" t="str">
        <f>IF(H497="","",MIN(100,100*H497/Parametros!$B$4))</f>
        <v/>
      </c>
      <c r="R497" t="str">
        <f>IF(I497="","",IF(I497=0,100,MIN(100,100*Parametros!$B$5/I497)))</f>
        <v/>
      </c>
      <c r="S497" t="str">
        <f>IF(J497="","",IF(J497=0,100,MIN(100,100*Parametros!$B$6/J497)))</f>
        <v/>
      </c>
      <c r="T497" t="str">
        <f>IF(L497="","",MIN(100,100*L497/Parametros!$B$7))</f>
        <v/>
      </c>
      <c r="U497" t="str">
        <f>IF(K497="","",MIN(100,100*K497/Parametros!$B$8))</f>
        <v/>
      </c>
      <c r="V497" t="str">
        <f ca="1">IFERROR(((AVERAGEIFS(Documentacion!$C$2:$C$1000,Documentacion!$A$2:$A$1000,$A497,Documentacion!$B$2:$B$1000,"&gt;="&amp;DATEVALUE($B497&amp;"-01"),Documentacion!$B$2:$B$1000,"&lt;="&amp;EOMONTH(DATEVALUE($B497&amp;"-01"),0)))-1)/4*100,"")</f>
        <v/>
      </c>
      <c r="W497" t="str">
        <f ca="1">IFERROR(((AVERAGEIFS(Feedback_360!$D$2:$D$1000,Feedback_360!$A$2:$A$1000,$A497,Feedback_360!$B$2:$B$1000,"&gt;="&amp;DATEVALUE($B497&amp;"-01"),Feedback_360!$B$2:$B$1000,"&lt;="&amp;EOMONTH(DATEVALUE($B497&amp;"-01"),0)))-1)/4*100,"")</f>
        <v/>
      </c>
      <c r="X497" t="str">
        <f ca="1">IFERROR(((AVERAGEIFS(Observacion_Directa!$D$2:$D$1000,Observacion_Directa!$A$2:$A$1000,$A497,Observacion_Directa!$B$2:$B$1000,"&gt;="&amp;DATEVALUE($B497&amp;"-01"),Observacion_Directa!$B$2:$B$1000,"&lt;="&amp;EOMONTH(DATEVALUE($B497&amp;"-01"),0)))-1)/4*100,"")</f>
        <v/>
      </c>
      <c r="Y497" t="e">
        <f t="shared" ca="1" si="15"/>
        <v>#DIV/0!</v>
      </c>
    </row>
    <row r="498" spans="12:25" x14ac:dyDescent="0.2">
      <c r="L498" t="str">
        <f t="shared" si="14"/>
        <v/>
      </c>
      <c r="M498" t="str">
        <f>IFERROR(AVERAGEIFS(Prod_5dias!$H$2:$H$1000,Prod_5dias!$A$2:$A$1000,$A498,Prod_5dias!$B$2:$B$1000,$B498),"")</f>
        <v/>
      </c>
      <c r="N498" t="str">
        <f>IF(M498="","",MIN(100,100*M498/Parametros!$B$7))</f>
        <v/>
      </c>
      <c r="O498" t="str">
        <f>IF(F498="","",IF(F498=0,100,MIN(100,100*Parametros!$B$3/F498)))</f>
        <v/>
      </c>
      <c r="P498" t="str">
        <f ca="1">IFERROR(((AVERAGEIFS(Observacion_Directa!$E$2:$E$1000,Observacion_Directa!$A$2:$A$1000,$A498,Observacion_Directa!$B$2:$B$1000,"&gt;="&amp;DATEVALUE($B498&amp;"-01"),Observacion_Directa!$B$2:$B$1000,"&lt;="&amp;EOMONTH(DATEVALUE($B498&amp;"-01"),0)))-1)/4*100,"")</f>
        <v/>
      </c>
      <c r="Q498" t="str">
        <f>IF(H498="","",MIN(100,100*H498/Parametros!$B$4))</f>
        <v/>
      </c>
      <c r="R498" t="str">
        <f>IF(I498="","",IF(I498=0,100,MIN(100,100*Parametros!$B$5/I498)))</f>
        <v/>
      </c>
      <c r="S498" t="str">
        <f>IF(J498="","",IF(J498=0,100,MIN(100,100*Parametros!$B$6/J498)))</f>
        <v/>
      </c>
      <c r="T498" t="str">
        <f>IF(L498="","",MIN(100,100*L498/Parametros!$B$7))</f>
        <v/>
      </c>
      <c r="U498" t="str">
        <f>IF(K498="","",MIN(100,100*K498/Parametros!$B$8))</f>
        <v/>
      </c>
      <c r="V498" t="str">
        <f ca="1">IFERROR(((AVERAGEIFS(Documentacion!$C$2:$C$1000,Documentacion!$A$2:$A$1000,$A498,Documentacion!$B$2:$B$1000,"&gt;="&amp;DATEVALUE($B498&amp;"-01"),Documentacion!$B$2:$B$1000,"&lt;="&amp;EOMONTH(DATEVALUE($B498&amp;"-01"),0)))-1)/4*100,"")</f>
        <v/>
      </c>
      <c r="W498" t="str">
        <f ca="1">IFERROR(((AVERAGEIFS(Feedback_360!$D$2:$D$1000,Feedback_360!$A$2:$A$1000,$A498,Feedback_360!$B$2:$B$1000,"&gt;="&amp;DATEVALUE($B498&amp;"-01"),Feedback_360!$B$2:$B$1000,"&lt;="&amp;EOMONTH(DATEVALUE($B498&amp;"-01"),0)))-1)/4*100,"")</f>
        <v/>
      </c>
      <c r="X498" t="str">
        <f ca="1">IFERROR(((AVERAGEIFS(Observacion_Directa!$D$2:$D$1000,Observacion_Directa!$A$2:$A$1000,$A498,Observacion_Directa!$B$2:$B$1000,"&gt;="&amp;DATEVALUE($B498&amp;"-01"),Observacion_Directa!$B$2:$B$1000,"&lt;="&amp;EOMONTH(DATEVALUE($B498&amp;"-01"),0)))-1)/4*100,"")</f>
        <v/>
      </c>
      <c r="Y498" t="e">
        <f t="shared" ca="1" si="15"/>
        <v>#DIV/0!</v>
      </c>
    </row>
    <row r="499" spans="12:25" x14ac:dyDescent="0.2">
      <c r="L499" t="str">
        <f t="shared" si="14"/>
        <v/>
      </c>
      <c r="M499" t="str">
        <f>IFERROR(AVERAGEIFS(Prod_5dias!$H$2:$H$1000,Prod_5dias!$A$2:$A$1000,$A499,Prod_5dias!$B$2:$B$1000,$B499),"")</f>
        <v/>
      </c>
      <c r="N499" t="str">
        <f>IF(M499="","",MIN(100,100*M499/Parametros!$B$7))</f>
        <v/>
      </c>
      <c r="O499" t="str">
        <f>IF(F499="","",IF(F499=0,100,MIN(100,100*Parametros!$B$3/F499)))</f>
        <v/>
      </c>
      <c r="P499" t="str">
        <f ca="1">IFERROR(((AVERAGEIFS(Observacion_Directa!$E$2:$E$1000,Observacion_Directa!$A$2:$A$1000,$A499,Observacion_Directa!$B$2:$B$1000,"&gt;="&amp;DATEVALUE($B499&amp;"-01"),Observacion_Directa!$B$2:$B$1000,"&lt;="&amp;EOMONTH(DATEVALUE($B499&amp;"-01"),0)))-1)/4*100,"")</f>
        <v/>
      </c>
      <c r="Q499" t="str">
        <f>IF(H499="","",MIN(100,100*H499/Parametros!$B$4))</f>
        <v/>
      </c>
      <c r="R499" t="str">
        <f>IF(I499="","",IF(I499=0,100,MIN(100,100*Parametros!$B$5/I499)))</f>
        <v/>
      </c>
      <c r="S499" t="str">
        <f>IF(J499="","",IF(J499=0,100,MIN(100,100*Parametros!$B$6/J499)))</f>
        <v/>
      </c>
      <c r="T499" t="str">
        <f>IF(L499="","",MIN(100,100*L499/Parametros!$B$7))</f>
        <v/>
      </c>
      <c r="U499" t="str">
        <f>IF(K499="","",MIN(100,100*K499/Parametros!$B$8))</f>
        <v/>
      </c>
      <c r="V499" t="str">
        <f ca="1">IFERROR(((AVERAGEIFS(Documentacion!$C$2:$C$1000,Documentacion!$A$2:$A$1000,$A499,Documentacion!$B$2:$B$1000,"&gt;="&amp;DATEVALUE($B499&amp;"-01"),Documentacion!$B$2:$B$1000,"&lt;="&amp;EOMONTH(DATEVALUE($B499&amp;"-01"),0)))-1)/4*100,"")</f>
        <v/>
      </c>
      <c r="W499" t="str">
        <f ca="1">IFERROR(((AVERAGEIFS(Feedback_360!$D$2:$D$1000,Feedback_360!$A$2:$A$1000,$A499,Feedback_360!$B$2:$B$1000,"&gt;="&amp;DATEVALUE($B499&amp;"-01"),Feedback_360!$B$2:$B$1000,"&lt;="&amp;EOMONTH(DATEVALUE($B499&amp;"-01"),0)))-1)/4*100,"")</f>
        <v/>
      </c>
      <c r="X499" t="str">
        <f ca="1">IFERROR(((AVERAGEIFS(Observacion_Directa!$D$2:$D$1000,Observacion_Directa!$A$2:$A$1000,$A499,Observacion_Directa!$B$2:$B$1000,"&gt;="&amp;DATEVALUE($B499&amp;"-01"),Observacion_Directa!$B$2:$B$1000,"&lt;="&amp;EOMONTH(DATEVALUE($B499&amp;"-01"),0)))-1)/4*100,"")</f>
        <v/>
      </c>
      <c r="Y499" t="e">
        <f t="shared" ca="1" si="15"/>
        <v>#DIV/0!</v>
      </c>
    </row>
    <row r="500" spans="12:25" x14ac:dyDescent="0.2">
      <c r="L500" t="str">
        <f t="shared" si="14"/>
        <v/>
      </c>
      <c r="M500" t="str">
        <f>IFERROR(AVERAGEIFS(Prod_5dias!$H$2:$H$1000,Prod_5dias!$A$2:$A$1000,$A500,Prod_5dias!$B$2:$B$1000,$B500),"")</f>
        <v/>
      </c>
      <c r="N500" t="str">
        <f>IF(M500="","",MIN(100,100*M500/Parametros!$B$7))</f>
        <v/>
      </c>
      <c r="O500" t="str">
        <f>IF(F500="","",IF(F500=0,100,MIN(100,100*Parametros!$B$3/F500)))</f>
        <v/>
      </c>
      <c r="P500" t="str">
        <f ca="1">IFERROR(((AVERAGEIFS(Observacion_Directa!$E$2:$E$1000,Observacion_Directa!$A$2:$A$1000,$A500,Observacion_Directa!$B$2:$B$1000,"&gt;="&amp;DATEVALUE($B500&amp;"-01"),Observacion_Directa!$B$2:$B$1000,"&lt;="&amp;EOMONTH(DATEVALUE($B500&amp;"-01"),0)))-1)/4*100,"")</f>
        <v/>
      </c>
      <c r="Q500" t="str">
        <f>IF(H500="","",MIN(100,100*H500/Parametros!$B$4))</f>
        <v/>
      </c>
      <c r="R500" t="str">
        <f>IF(I500="","",IF(I500=0,100,MIN(100,100*Parametros!$B$5/I500)))</f>
        <v/>
      </c>
      <c r="S500" t="str">
        <f>IF(J500="","",IF(J500=0,100,MIN(100,100*Parametros!$B$6/J500)))</f>
        <v/>
      </c>
      <c r="T500" t="str">
        <f>IF(L500="","",MIN(100,100*L500/Parametros!$B$7))</f>
        <v/>
      </c>
      <c r="U500" t="str">
        <f>IF(K500="","",MIN(100,100*K500/Parametros!$B$8))</f>
        <v/>
      </c>
      <c r="V500" t="str">
        <f ca="1">IFERROR(((AVERAGEIFS(Documentacion!$C$2:$C$1000,Documentacion!$A$2:$A$1000,$A500,Documentacion!$B$2:$B$1000,"&gt;="&amp;DATEVALUE($B500&amp;"-01"),Documentacion!$B$2:$B$1000,"&lt;="&amp;EOMONTH(DATEVALUE($B500&amp;"-01"),0)))-1)/4*100,"")</f>
        <v/>
      </c>
      <c r="W500" t="str">
        <f ca="1">IFERROR(((AVERAGEIFS(Feedback_360!$D$2:$D$1000,Feedback_360!$A$2:$A$1000,$A500,Feedback_360!$B$2:$B$1000,"&gt;="&amp;DATEVALUE($B500&amp;"-01"),Feedback_360!$B$2:$B$1000,"&lt;="&amp;EOMONTH(DATEVALUE($B500&amp;"-01"),0)))-1)/4*100,"")</f>
        <v/>
      </c>
      <c r="X500" t="str">
        <f ca="1">IFERROR(((AVERAGEIFS(Observacion_Directa!$D$2:$D$1000,Observacion_Directa!$A$2:$A$1000,$A500,Observacion_Directa!$B$2:$B$1000,"&gt;="&amp;DATEVALUE($B500&amp;"-01"),Observacion_Directa!$B$2:$B$1000,"&lt;="&amp;EOMONTH(DATEVALUE($B500&amp;"-01"),0)))-1)/4*100,"")</f>
        <v/>
      </c>
      <c r="Y500" t="e">
        <f t="shared" ca="1" si="15"/>
        <v>#DIV/0!</v>
      </c>
    </row>
    <row r="501" spans="12:25" x14ac:dyDescent="0.2">
      <c r="L501" t="str">
        <f t="shared" si="14"/>
        <v/>
      </c>
      <c r="M501" t="str">
        <f>IFERROR(AVERAGEIFS(Prod_5dias!$H$2:$H$1000,Prod_5dias!$A$2:$A$1000,$A501,Prod_5dias!$B$2:$B$1000,$B501),"")</f>
        <v/>
      </c>
      <c r="N501" t="str">
        <f>IF(M501="","",MIN(100,100*M501/Parametros!$B$7))</f>
        <v/>
      </c>
      <c r="O501" t="str">
        <f>IF(F501="","",IF(F501=0,100,MIN(100,100*Parametros!$B$3/F501)))</f>
        <v/>
      </c>
      <c r="P501" t="str">
        <f ca="1">IFERROR(((AVERAGEIFS(Observacion_Directa!$E$2:$E$1000,Observacion_Directa!$A$2:$A$1000,$A501,Observacion_Directa!$B$2:$B$1000,"&gt;="&amp;DATEVALUE($B501&amp;"-01"),Observacion_Directa!$B$2:$B$1000,"&lt;="&amp;EOMONTH(DATEVALUE($B501&amp;"-01"),0)))-1)/4*100,"")</f>
        <v/>
      </c>
      <c r="Q501" t="str">
        <f>IF(H501="","",MIN(100,100*H501/Parametros!$B$4))</f>
        <v/>
      </c>
      <c r="R501" t="str">
        <f>IF(I501="","",IF(I501=0,100,MIN(100,100*Parametros!$B$5/I501)))</f>
        <v/>
      </c>
      <c r="S501" t="str">
        <f>IF(J501="","",IF(J501=0,100,MIN(100,100*Parametros!$B$6/J501)))</f>
        <v/>
      </c>
      <c r="T501" t="str">
        <f>IF(L501="","",MIN(100,100*L501/Parametros!$B$7))</f>
        <v/>
      </c>
      <c r="U501" t="str">
        <f>IF(K501="","",MIN(100,100*K501/Parametros!$B$8))</f>
        <v/>
      </c>
      <c r="V501" t="str">
        <f ca="1">IFERROR(((AVERAGEIFS(Documentacion!$C$2:$C$1000,Documentacion!$A$2:$A$1000,$A501,Documentacion!$B$2:$B$1000,"&gt;="&amp;DATEVALUE($B501&amp;"-01"),Documentacion!$B$2:$B$1000,"&lt;="&amp;EOMONTH(DATEVALUE($B501&amp;"-01"),0)))-1)/4*100,"")</f>
        <v/>
      </c>
      <c r="W501" t="str">
        <f ca="1">IFERROR(((AVERAGEIFS(Feedback_360!$D$2:$D$1000,Feedback_360!$A$2:$A$1000,$A501,Feedback_360!$B$2:$B$1000,"&gt;="&amp;DATEVALUE($B501&amp;"-01"),Feedback_360!$B$2:$B$1000,"&lt;="&amp;EOMONTH(DATEVALUE($B501&amp;"-01"),0)))-1)/4*100,"")</f>
        <v/>
      </c>
      <c r="X501" t="str">
        <f ca="1">IFERROR(((AVERAGEIFS(Observacion_Directa!$D$2:$D$1000,Observacion_Directa!$A$2:$A$1000,$A501,Observacion_Directa!$B$2:$B$1000,"&gt;="&amp;DATEVALUE($B501&amp;"-01"),Observacion_Directa!$B$2:$B$1000,"&lt;="&amp;EOMONTH(DATEVALUE($B501&amp;"-01"),0)))-1)/4*100,"")</f>
        <v/>
      </c>
      <c r="Y501" t="e">
        <f t="shared" ca="1" si="15"/>
        <v>#DIV/0!</v>
      </c>
    </row>
    <row r="502" spans="12:25" x14ac:dyDescent="0.2">
      <c r="L502" t="str">
        <f t="shared" si="14"/>
        <v/>
      </c>
      <c r="M502" t="str">
        <f>IFERROR(AVERAGEIFS(Prod_5dias!$H$2:$H$1000,Prod_5dias!$A$2:$A$1000,$A502,Prod_5dias!$B$2:$B$1000,$B502),"")</f>
        <v/>
      </c>
      <c r="N502" t="str">
        <f>IF(M502="","",MIN(100,100*M502/Parametros!$B$7))</f>
        <v/>
      </c>
      <c r="O502" t="str">
        <f>IF(F502="","",IF(F502=0,100,MIN(100,100*Parametros!$B$3/F502)))</f>
        <v/>
      </c>
      <c r="P502" t="str">
        <f ca="1">IFERROR(((AVERAGEIFS(Observacion_Directa!$E$2:$E$1000,Observacion_Directa!$A$2:$A$1000,$A502,Observacion_Directa!$B$2:$B$1000,"&gt;="&amp;DATEVALUE($B502&amp;"-01"),Observacion_Directa!$B$2:$B$1000,"&lt;="&amp;EOMONTH(DATEVALUE($B502&amp;"-01"),0)))-1)/4*100,"")</f>
        <v/>
      </c>
      <c r="Q502" t="str">
        <f>IF(H502="","",MIN(100,100*H502/Parametros!$B$4))</f>
        <v/>
      </c>
      <c r="R502" t="str">
        <f>IF(I502="","",IF(I502=0,100,MIN(100,100*Parametros!$B$5/I502)))</f>
        <v/>
      </c>
      <c r="S502" t="str">
        <f>IF(J502="","",IF(J502=0,100,MIN(100,100*Parametros!$B$6/J502)))</f>
        <v/>
      </c>
      <c r="T502" t="str">
        <f>IF(L502="","",MIN(100,100*L502/Parametros!$B$7))</f>
        <v/>
      </c>
      <c r="U502" t="str">
        <f>IF(K502="","",MIN(100,100*K502/Parametros!$B$8))</f>
        <v/>
      </c>
      <c r="V502" t="str">
        <f ca="1">IFERROR(((AVERAGEIFS(Documentacion!$C$2:$C$1000,Documentacion!$A$2:$A$1000,$A502,Documentacion!$B$2:$B$1000,"&gt;="&amp;DATEVALUE($B502&amp;"-01"),Documentacion!$B$2:$B$1000,"&lt;="&amp;EOMONTH(DATEVALUE($B502&amp;"-01"),0)))-1)/4*100,"")</f>
        <v/>
      </c>
      <c r="W502" t="str">
        <f ca="1">IFERROR(((AVERAGEIFS(Feedback_360!$D$2:$D$1000,Feedback_360!$A$2:$A$1000,$A502,Feedback_360!$B$2:$B$1000,"&gt;="&amp;DATEVALUE($B502&amp;"-01"),Feedback_360!$B$2:$B$1000,"&lt;="&amp;EOMONTH(DATEVALUE($B502&amp;"-01"),0)))-1)/4*100,"")</f>
        <v/>
      </c>
      <c r="X502" t="str">
        <f ca="1">IFERROR(((AVERAGEIFS(Observacion_Directa!$D$2:$D$1000,Observacion_Directa!$A$2:$A$1000,$A502,Observacion_Directa!$B$2:$B$1000,"&gt;="&amp;DATEVALUE($B502&amp;"-01"),Observacion_Directa!$B$2:$B$1000,"&lt;="&amp;EOMONTH(DATEVALUE($B502&amp;"-01"),0)))-1)/4*100,"")</f>
        <v/>
      </c>
      <c r="Y502" t="e">
        <f t="shared" ca="1" si="15"/>
        <v>#DIV/0!</v>
      </c>
    </row>
    <row r="503" spans="12:25" x14ac:dyDescent="0.2">
      <c r="L503" t="str">
        <f t="shared" si="14"/>
        <v/>
      </c>
      <c r="M503" t="str">
        <f>IFERROR(AVERAGEIFS(Prod_5dias!$H$2:$H$1000,Prod_5dias!$A$2:$A$1000,$A503,Prod_5dias!$B$2:$B$1000,$B503),"")</f>
        <v/>
      </c>
      <c r="N503" t="str">
        <f>IF(M503="","",MIN(100,100*M503/Parametros!$B$7))</f>
        <v/>
      </c>
      <c r="O503" t="str">
        <f>IF(F503="","",IF(F503=0,100,MIN(100,100*Parametros!$B$3/F503)))</f>
        <v/>
      </c>
      <c r="P503" t="str">
        <f ca="1">IFERROR(((AVERAGEIFS(Observacion_Directa!$E$2:$E$1000,Observacion_Directa!$A$2:$A$1000,$A503,Observacion_Directa!$B$2:$B$1000,"&gt;="&amp;DATEVALUE($B503&amp;"-01"),Observacion_Directa!$B$2:$B$1000,"&lt;="&amp;EOMONTH(DATEVALUE($B503&amp;"-01"),0)))-1)/4*100,"")</f>
        <v/>
      </c>
      <c r="Q503" t="str">
        <f>IF(H503="","",MIN(100,100*H503/Parametros!$B$4))</f>
        <v/>
      </c>
      <c r="R503" t="str">
        <f>IF(I503="","",IF(I503=0,100,MIN(100,100*Parametros!$B$5/I503)))</f>
        <v/>
      </c>
      <c r="S503" t="str">
        <f>IF(J503="","",IF(J503=0,100,MIN(100,100*Parametros!$B$6/J503)))</f>
        <v/>
      </c>
      <c r="T503" t="str">
        <f>IF(L503="","",MIN(100,100*L503/Parametros!$B$7))</f>
        <v/>
      </c>
      <c r="U503" t="str">
        <f>IF(K503="","",MIN(100,100*K503/Parametros!$B$8))</f>
        <v/>
      </c>
      <c r="V503" t="str">
        <f ca="1">IFERROR(((AVERAGEIFS(Documentacion!$C$2:$C$1000,Documentacion!$A$2:$A$1000,$A503,Documentacion!$B$2:$B$1000,"&gt;="&amp;DATEVALUE($B503&amp;"-01"),Documentacion!$B$2:$B$1000,"&lt;="&amp;EOMONTH(DATEVALUE($B503&amp;"-01"),0)))-1)/4*100,"")</f>
        <v/>
      </c>
      <c r="W503" t="str">
        <f ca="1">IFERROR(((AVERAGEIFS(Feedback_360!$D$2:$D$1000,Feedback_360!$A$2:$A$1000,$A503,Feedback_360!$B$2:$B$1000,"&gt;="&amp;DATEVALUE($B503&amp;"-01"),Feedback_360!$B$2:$B$1000,"&lt;="&amp;EOMONTH(DATEVALUE($B503&amp;"-01"),0)))-1)/4*100,"")</f>
        <v/>
      </c>
      <c r="X503" t="str">
        <f ca="1">IFERROR(((AVERAGEIFS(Observacion_Directa!$D$2:$D$1000,Observacion_Directa!$A$2:$A$1000,$A503,Observacion_Directa!$B$2:$B$1000,"&gt;="&amp;DATEVALUE($B503&amp;"-01"),Observacion_Directa!$B$2:$B$1000,"&lt;="&amp;EOMONTH(DATEVALUE($B503&amp;"-01"),0)))-1)/4*100,"")</f>
        <v/>
      </c>
      <c r="Y503" t="e">
        <f t="shared" ca="1" si="15"/>
        <v>#DIV/0!</v>
      </c>
    </row>
    <row r="504" spans="12:25" x14ac:dyDescent="0.2">
      <c r="L504" t="str">
        <f t="shared" si="14"/>
        <v/>
      </c>
      <c r="M504" t="str">
        <f>IFERROR(AVERAGEIFS(Prod_5dias!$H$2:$H$1000,Prod_5dias!$A$2:$A$1000,$A504,Prod_5dias!$B$2:$B$1000,$B504),"")</f>
        <v/>
      </c>
      <c r="N504" t="str">
        <f>IF(M504="","",MIN(100,100*M504/Parametros!$B$7))</f>
        <v/>
      </c>
      <c r="O504" t="str">
        <f>IF(F504="","",IF(F504=0,100,MIN(100,100*Parametros!$B$3/F504)))</f>
        <v/>
      </c>
      <c r="P504" t="str">
        <f ca="1">IFERROR(((AVERAGEIFS(Observacion_Directa!$E$2:$E$1000,Observacion_Directa!$A$2:$A$1000,$A504,Observacion_Directa!$B$2:$B$1000,"&gt;="&amp;DATEVALUE($B504&amp;"-01"),Observacion_Directa!$B$2:$B$1000,"&lt;="&amp;EOMONTH(DATEVALUE($B504&amp;"-01"),0)))-1)/4*100,"")</f>
        <v/>
      </c>
      <c r="Q504" t="str">
        <f>IF(H504="","",MIN(100,100*H504/Parametros!$B$4))</f>
        <v/>
      </c>
      <c r="R504" t="str">
        <f>IF(I504="","",IF(I504=0,100,MIN(100,100*Parametros!$B$5/I504)))</f>
        <v/>
      </c>
      <c r="S504" t="str">
        <f>IF(J504="","",IF(J504=0,100,MIN(100,100*Parametros!$B$6/J504)))</f>
        <v/>
      </c>
      <c r="T504" t="str">
        <f>IF(L504="","",MIN(100,100*L504/Parametros!$B$7))</f>
        <v/>
      </c>
      <c r="U504" t="str">
        <f>IF(K504="","",MIN(100,100*K504/Parametros!$B$8))</f>
        <v/>
      </c>
      <c r="V504" t="str">
        <f ca="1">IFERROR(((AVERAGEIFS(Documentacion!$C$2:$C$1000,Documentacion!$A$2:$A$1000,$A504,Documentacion!$B$2:$B$1000,"&gt;="&amp;DATEVALUE($B504&amp;"-01"),Documentacion!$B$2:$B$1000,"&lt;="&amp;EOMONTH(DATEVALUE($B504&amp;"-01"),0)))-1)/4*100,"")</f>
        <v/>
      </c>
      <c r="W504" t="str">
        <f ca="1">IFERROR(((AVERAGEIFS(Feedback_360!$D$2:$D$1000,Feedback_360!$A$2:$A$1000,$A504,Feedback_360!$B$2:$B$1000,"&gt;="&amp;DATEVALUE($B504&amp;"-01"),Feedback_360!$B$2:$B$1000,"&lt;="&amp;EOMONTH(DATEVALUE($B504&amp;"-01"),0)))-1)/4*100,"")</f>
        <v/>
      </c>
      <c r="X504" t="str">
        <f ca="1">IFERROR(((AVERAGEIFS(Observacion_Directa!$D$2:$D$1000,Observacion_Directa!$A$2:$A$1000,$A504,Observacion_Directa!$B$2:$B$1000,"&gt;="&amp;DATEVALUE($B504&amp;"-01"),Observacion_Directa!$B$2:$B$1000,"&lt;="&amp;EOMONTH(DATEVALUE($B504&amp;"-01"),0)))-1)/4*100,"")</f>
        <v/>
      </c>
      <c r="Y504" t="e">
        <f t="shared" ca="1" si="15"/>
        <v>#DIV/0!</v>
      </c>
    </row>
    <row r="505" spans="12:25" x14ac:dyDescent="0.2">
      <c r="L505" t="str">
        <f t="shared" si="14"/>
        <v/>
      </c>
      <c r="M505" t="str">
        <f>IFERROR(AVERAGEIFS(Prod_5dias!$H$2:$H$1000,Prod_5dias!$A$2:$A$1000,$A505,Prod_5dias!$B$2:$B$1000,$B505),"")</f>
        <v/>
      </c>
      <c r="N505" t="str">
        <f>IF(M505="","",MIN(100,100*M505/Parametros!$B$7))</f>
        <v/>
      </c>
      <c r="O505" t="str">
        <f>IF(F505="","",IF(F505=0,100,MIN(100,100*Parametros!$B$3/F505)))</f>
        <v/>
      </c>
      <c r="P505" t="str">
        <f ca="1">IFERROR(((AVERAGEIFS(Observacion_Directa!$E$2:$E$1000,Observacion_Directa!$A$2:$A$1000,$A505,Observacion_Directa!$B$2:$B$1000,"&gt;="&amp;DATEVALUE($B505&amp;"-01"),Observacion_Directa!$B$2:$B$1000,"&lt;="&amp;EOMONTH(DATEVALUE($B505&amp;"-01"),0)))-1)/4*100,"")</f>
        <v/>
      </c>
      <c r="Q505" t="str">
        <f>IF(H505="","",MIN(100,100*H505/Parametros!$B$4))</f>
        <v/>
      </c>
      <c r="R505" t="str">
        <f>IF(I505="","",IF(I505=0,100,MIN(100,100*Parametros!$B$5/I505)))</f>
        <v/>
      </c>
      <c r="S505" t="str">
        <f>IF(J505="","",IF(J505=0,100,MIN(100,100*Parametros!$B$6/J505)))</f>
        <v/>
      </c>
      <c r="T505" t="str">
        <f>IF(L505="","",MIN(100,100*L505/Parametros!$B$7))</f>
        <v/>
      </c>
      <c r="U505" t="str">
        <f>IF(K505="","",MIN(100,100*K505/Parametros!$B$8))</f>
        <v/>
      </c>
      <c r="V505" t="str">
        <f ca="1">IFERROR(((AVERAGEIFS(Documentacion!$C$2:$C$1000,Documentacion!$A$2:$A$1000,$A505,Documentacion!$B$2:$B$1000,"&gt;="&amp;DATEVALUE($B505&amp;"-01"),Documentacion!$B$2:$B$1000,"&lt;="&amp;EOMONTH(DATEVALUE($B505&amp;"-01"),0)))-1)/4*100,"")</f>
        <v/>
      </c>
      <c r="W505" t="str">
        <f ca="1">IFERROR(((AVERAGEIFS(Feedback_360!$D$2:$D$1000,Feedback_360!$A$2:$A$1000,$A505,Feedback_360!$B$2:$B$1000,"&gt;="&amp;DATEVALUE($B505&amp;"-01"),Feedback_360!$B$2:$B$1000,"&lt;="&amp;EOMONTH(DATEVALUE($B505&amp;"-01"),0)))-1)/4*100,"")</f>
        <v/>
      </c>
      <c r="X505" t="str">
        <f ca="1">IFERROR(((AVERAGEIFS(Observacion_Directa!$D$2:$D$1000,Observacion_Directa!$A$2:$A$1000,$A505,Observacion_Directa!$B$2:$B$1000,"&gt;="&amp;DATEVALUE($B505&amp;"-01"),Observacion_Directa!$B$2:$B$1000,"&lt;="&amp;EOMONTH(DATEVALUE($B505&amp;"-01"),0)))-1)/4*100,"")</f>
        <v/>
      </c>
      <c r="Y505" t="e">
        <f t="shared" ca="1" si="15"/>
        <v>#DIV/0!</v>
      </c>
    </row>
    <row r="506" spans="12:25" x14ac:dyDescent="0.2">
      <c r="L506" t="str">
        <f t="shared" si="14"/>
        <v/>
      </c>
      <c r="M506" t="str">
        <f>IFERROR(AVERAGEIFS(Prod_5dias!$H$2:$H$1000,Prod_5dias!$A$2:$A$1000,$A506,Prod_5dias!$B$2:$B$1000,$B506),"")</f>
        <v/>
      </c>
      <c r="N506" t="str">
        <f>IF(M506="","",MIN(100,100*M506/Parametros!$B$7))</f>
        <v/>
      </c>
      <c r="O506" t="str">
        <f>IF(F506="","",IF(F506=0,100,MIN(100,100*Parametros!$B$3/F506)))</f>
        <v/>
      </c>
      <c r="P506" t="str">
        <f ca="1">IFERROR(((AVERAGEIFS(Observacion_Directa!$E$2:$E$1000,Observacion_Directa!$A$2:$A$1000,$A506,Observacion_Directa!$B$2:$B$1000,"&gt;="&amp;DATEVALUE($B506&amp;"-01"),Observacion_Directa!$B$2:$B$1000,"&lt;="&amp;EOMONTH(DATEVALUE($B506&amp;"-01"),0)))-1)/4*100,"")</f>
        <v/>
      </c>
      <c r="Q506" t="str">
        <f>IF(H506="","",MIN(100,100*H506/Parametros!$B$4))</f>
        <v/>
      </c>
      <c r="R506" t="str">
        <f>IF(I506="","",IF(I506=0,100,MIN(100,100*Parametros!$B$5/I506)))</f>
        <v/>
      </c>
      <c r="S506" t="str">
        <f>IF(J506="","",IF(J506=0,100,MIN(100,100*Parametros!$B$6/J506)))</f>
        <v/>
      </c>
      <c r="T506" t="str">
        <f>IF(L506="","",MIN(100,100*L506/Parametros!$B$7))</f>
        <v/>
      </c>
      <c r="U506" t="str">
        <f>IF(K506="","",MIN(100,100*K506/Parametros!$B$8))</f>
        <v/>
      </c>
      <c r="V506" t="str">
        <f ca="1">IFERROR(((AVERAGEIFS(Documentacion!$C$2:$C$1000,Documentacion!$A$2:$A$1000,$A506,Documentacion!$B$2:$B$1000,"&gt;="&amp;DATEVALUE($B506&amp;"-01"),Documentacion!$B$2:$B$1000,"&lt;="&amp;EOMONTH(DATEVALUE($B506&amp;"-01"),0)))-1)/4*100,"")</f>
        <v/>
      </c>
      <c r="W506" t="str">
        <f ca="1">IFERROR(((AVERAGEIFS(Feedback_360!$D$2:$D$1000,Feedback_360!$A$2:$A$1000,$A506,Feedback_360!$B$2:$B$1000,"&gt;="&amp;DATEVALUE($B506&amp;"-01"),Feedback_360!$B$2:$B$1000,"&lt;="&amp;EOMONTH(DATEVALUE($B506&amp;"-01"),0)))-1)/4*100,"")</f>
        <v/>
      </c>
      <c r="X506" t="str">
        <f ca="1">IFERROR(((AVERAGEIFS(Observacion_Directa!$D$2:$D$1000,Observacion_Directa!$A$2:$A$1000,$A506,Observacion_Directa!$B$2:$B$1000,"&gt;="&amp;DATEVALUE($B506&amp;"-01"),Observacion_Directa!$B$2:$B$1000,"&lt;="&amp;EOMONTH(DATEVALUE($B506&amp;"-01"),0)))-1)/4*100,"")</f>
        <v/>
      </c>
      <c r="Y506" t="e">
        <f t="shared" ca="1" si="15"/>
        <v>#DIV/0!</v>
      </c>
    </row>
    <row r="507" spans="12:25" x14ac:dyDescent="0.2">
      <c r="L507" t="str">
        <f t="shared" si="14"/>
        <v/>
      </c>
      <c r="M507" t="str">
        <f>IFERROR(AVERAGEIFS(Prod_5dias!$H$2:$H$1000,Prod_5dias!$A$2:$A$1000,$A507,Prod_5dias!$B$2:$B$1000,$B507),"")</f>
        <v/>
      </c>
      <c r="N507" t="str">
        <f>IF(M507="","",MIN(100,100*M507/Parametros!$B$7))</f>
        <v/>
      </c>
      <c r="O507" t="str">
        <f>IF(F507="","",IF(F507=0,100,MIN(100,100*Parametros!$B$3/F507)))</f>
        <v/>
      </c>
      <c r="P507" t="str">
        <f ca="1">IFERROR(((AVERAGEIFS(Observacion_Directa!$E$2:$E$1000,Observacion_Directa!$A$2:$A$1000,$A507,Observacion_Directa!$B$2:$B$1000,"&gt;="&amp;DATEVALUE($B507&amp;"-01"),Observacion_Directa!$B$2:$B$1000,"&lt;="&amp;EOMONTH(DATEVALUE($B507&amp;"-01"),0)))-1)/4*100,"")</f>
        <v/>
      </c>
      <c r="Q507" t="str">
        <f>IF(H507="","",MIN(100,100*H507/Parametros!$B$4))</f>
        <v/>
      </c>
      <c r="R507" t="str">
        <f>IF(I507="","",IF(I507=0,100,MIN(100,100*Parametros!$B$5/I507)))</f>
        <v/>
      </c>
      <c r="S507" t="str">
        <f>IF(J507="","",IF(J507=0,100,MIN(100,100*Parametros!$B$6/J507)))</f>
        <v/>
      </c>
      <c r="T507" t="str">
        <f>IF(L507="","",MIN(100,100*L507/Parametros!$B$7))</f>
        <v/>
      </c>
      <c r="U507" t="str">
        <f>IF(K507="","",MIN(100,100*K507/Parametros!$B$8))</f>
        <v/>
      </c>
      <c r="V507" t="str">
        <f ca="1">IFERROR(((AVERAGEIFS(Documentacion!$C$2:$C$1000,Documentacion!$A$2:$A$1000,$A507,Documentacion!$B$2:$B$1000,"&gt;="&amp;DATEVALUE($B507&amp;"-01"),Documentacion!$B$2:$B$1000,"&lt;="&amp;EOMONTH(DATEVALUE($B507&amp;"-01"),0)))-1)/4*100,"")</f>
        <v/>
      </c>
      <c r="W507" t="str">
        <f ca="1">IFERROR(((AVERAGEIFS(Feedback_360!$D$2:$D$1000,Feedback_360!$A$2:$A$1000,$A507,Feedback_360!$B$2:$B$1000,"&gt;="&amp;DATEVALUE($B507&amp;"-01"),Feedback_360!$B$2:$B$1000,"&lt;="&amp;EOMONTH(DATEVALUE($B507&amp;"-01"),0)))-1)/4*100,"")</f>
        <v/>
      </c>
      <c r="X507" t="str">
        <f ca="1">IFERROR(((AVERAGEIFS(Observacion_Directa!$D$2:$D$1000,Observacion_Directa!$A$2:$A$1000,$A507,Observacion_Directa!$B$2:$B$1000,"&gt;="&amp;DATEVALUE($B507&amp;"-01"),Observacion_Directa!$B$2:$B$1000,"&lt;="&amp;EOMONTH(DATEVALUE($B507&amp;"-01"),0)))-1)/4*100,"")</f>
        <v/>
      </c>
      <c r="Y507" t="e">
        <f t="shared" ca="1" si="15"/>
        <v>#DIV/0!</v>
      </c>
    </row>
    <row r="508" spans="12:25" x14ac:dyDescent="0.2">
      <c r="L508" t="str">
        <f t="shared" si="14"/>
        <v/>
      </c>
      <c r="M508" t="str">
        <f>IFERROR(AVERAGEIFS(Prod_5dias!$H$2:$H$1000,Prod_5dias!$A$2:$A$1000,$A508,Prod_5dias!$B$2:$B$1000,$B508),"")</f>
        <v/>
      </c>
      <c r="N508" t="str">
        <f>IF(M508="","",MIN(100,100*M508/Parametros!$B$7))</f>
        <v/>
      </c>
      <c r="O508" t="str">
        <f>IF(F508="","",IF(F508=0,100,MIN(100,100*Parametros!$B$3/F508)))</f>
        <v/>
      </c>
      <c r="P508" t="str">
        <f ca="1">IFERROR(((AVERAGEIFS(Observacion_Directa!$E$2:$E$1000,Observacion_Directa!$A$2:$A$1000,$A508,Observacion_Directa!$B$2:$B$1000,"&gt;="&amp;DATEVALUE($B508&amp;"-01"),Observacion_Directa!$B$2:$B$1000,"&lt;="&amp;EOMONTH(DATEVALUE($B508&amp;"-01"),0)))-1)/4*100,"")</f>
        <v/>
      </c>
      <c r="Q508" t="str">
        <f>IF(H508="","",MIN(100,100*H508/Parametros!$B$4))</f>
        <v/>
      </c>
      <c r="R508" t="str">
        <f>IF(I508="","",IF(I508=0,100,MIN(100,100*Parametros!$B$5/I508)))</f>
        <v/>
      </c>
      <c r="S508" t="str">
        <f>IF(J508="","",IF(J508=0,100,MIN(100,100*Parametros!$B$6/J508)))</f>
        <v/>
      </c>
      <c r="T508" t="str">
        <f>IF(L508="","",MIN(100,100*L508/Parametros!$B$7))</f>
        <v/>
      </c>
      <c r="U508" t="str">
        <f>IF(K508="","",MIN(100,100*K508/Parametros!$B$8))</f>
        <v/>
      </c>
      <c r="V508" t="str">
        <f ca="1">IFERROR(((AVERAGEIFS(Documentacion!$C$2:$C$1000,Documentacion!$A$2:$A$1000,$A508,Documentacion!$B$2:$B$1000,"&gt;="&amp;DATEVALUE($B508&amp;"-01"),Documentacion!$B$2:$B$1000,"&lt;="&amp;EOMONTH(DATEVALUE($B508&amp;"-01"),0)))-1)/4*100,"")</f>
        <v/>
      </c>
      <c r="W508" t="str">
        <f ca="1">IFERROR(((AVERAGEIFS(Feedback_360!$D$2:$D$1000,Feedback_360!$A$2:$A$1000,$A508,Feedback_360!$B$2:$B$1000,"&gt;="&amp;DATEVALUE($B508&amp;"-01"),Feedback_360!$B$2:$B$1000,"&lt;="&amp;EOMONTH(DATEVALUE($B508&amp;"-01"),0)))-1)/4*100,"")</f>
        <v/>
      </c>
      <c r="X508" t="str">
        <f ca="1">IFERROR(((AVERAGEIFS(Observacion_Directa!$D$2:$D$1000,Observacion_Directa!$A$2:$A$1000,$A508,Observacion_Directa!$B$2:$B$1000,"&gt;="&amp;DATEVALUE($B508&amp;"-01"),Observacion_Directa!$B$2:$B$1000,"&lt;="&amp;EOMONTH(DATEVALUE($B508&amp;"-01"),0)))-1)/4*100,"")</f>
        <v/>
      </c>
      <c r="Y508" t="e">
        <f t="shared" ca="1" si="15"/>
        <v>#DIV/0!</v>
      </c>
    </row>
    <row r="509" spans="12:25" x14ac:dyDescent="0.2">
      <c r="L509" t="str">
        <f t="shared" si="14"/>
        <v/>
      </c>
      <c r="M509" t="str">
        <f>IFERROR(AVERAGEIFS(Prod_5dias!$H$2:$H$1000,Prod_5dias!$A$2:$A$1000,$A509,Prod_5dias!$B$2:$B$1000,$B509),"")</f>
        <v/>
      </c>
      <c r="N509" t="str">
        <f>IF(M509="","",MIN(100,100*M509/Parametros!$B$7))</f>
        <v/>
      </c>
      <c r="O509" t="str">
        <f>IF(F509="","",IF(F509=0,100,MIN(100,100*Parametros!$B$3/F509)))</f>
        <v/>
      </c>
      <c r="P509" t="str">
        <f ca="1">IFERROR(((AVERAGEIFS(Observacion_Directa!$E$2:$E$1000,Observacion_Directa!$A$2:$A$1000,$A509,Observacion_Directa!$B$2:$B$1000,"&gt;="&amp;DATEVALUE($B509&amp;"-01"),Observacion_Directa!$B$2:$B$1000,"&lt;="&amp;EOMONTH(DATEVALUE($B509&amp;"-01"),0)))-1)/4*100,"")</f>
        <v/>
      </c>
      <c r="Q509" t="str">
        <f>IF(H509="","",MIN(100,100*H509/Parametros!$B$4))</f>
        <v/>
      </c>
      <c r="R509" t="str">
        <f>IF(I509="","",IF(I509=0,100,MIN(100,100*Parametros!$B$5/I509)))</f>
        <v/>
      </c>
      <c r="S509" t="str">
        <f>IF(J509="","",IF(J509=0,100,MIN(100,100*Parametros!$B$6/J509)))</f>
        <v/>
      </c>
      <c r="T509" t="str">
        <f>IF(L509="","",MIN(100,100*L509/Parametros!$B$7))</f>
        <v/>
      </c>
      <c r="U509" t="str">
        <f>IF(K509="","",MIN(100,100*K509/Parametros!$B$8))</f>
        <v/>
      </c>
      <c r="V509" t="str">
        <f ca="1">IFERROR(((AVERAGEIFS(Documentacion!$C$2:$C$1000,Documentacion!$A$2:$A$1000,$A509,Documentacion!$B$2:$B$1000,"&gt;="&amp;DATEVALUE($B509&amp;"-01"),Documentacion!$B$2:$B$1000,"&lt;="&amp;EOMONTH(DATEVALUE($B509&amp;"-01"),0)))-1)/4*100,"")</f>
        <v/>
      </c>
      <c r="W509" t="str">
        <f ca="1">IFERROR(((AVERAGEIFS(Feedback_360!$D$2:$D$1000,Feedback_360!$A$2:$A$1000,$A509,Feedback_360!$B$2:$B$1000,"&gt;="&amp;DATEVALUE($B509&amp;"-01"),Feedback_360!$B$2:$B$1000,"&lt;="&amp;EOMONTH(DATEVALUE($B509&amp;"-01"),0)))-1)/4*100,"")</f>
        <v/>
      </c>
      <c r="X509" t="str">
        <f ca="1">IFERROR(((AVERAGEIFS(Observacion_Directa!$D$2:$D$1000,Observacion_Directa!$A$2:$A$1000,$A509,Observacion_Directa!$B$2:$B$1000,"&gt;="&amp;DATEVALUE($B509&amp;"-01"),Observacion_Directa!$B$2:$B$1000,"&lt;="&amp;EOMONTH(DATEVALUE($B509&amp;"-01"),0)))-1)/4*100,"")</f>
        <v/>
      </c>
      <c r="Y509" t="e">
        <f t="shared" ca="1" si="15"/>
        <v>#DIV/0!</v>
      </c>
    </row>
    <row r="510" spans="12:25" x14ac:dyDescent="0.2">
      <c r="L510" t="str">
        <f t="shared" si="14"/>
        <v/>
      </c>
      <c r="M510" t="str">
        <f>IFERROR(AVERAGEIFS(Prod_5dias!$H$2:$H$1000,Prod_5dias!$A$2:$A$1000,$A510,Prod_5dias!$B$2:$B$1000,$B510),"")</f>
        <v/>
      </c>
      <c r="N510" t="str">
        <f>IF(M510="","",MIN(100,100*M510/Parametros!$B$7))</f>
        <v/>
      </c>
      <c r="O510" t="str">
        <f>IF(F510="","",IF(F510=0,100,MIN(100,100*Parametros!$B$3/F510)))</f>
        <v/>
      </c>
      <c r="P510" t="str">
        <f ca="1">IFERROR(((AVERAGEIFS(Observacion_Directa!$E$2:$E$1000,Observacion_Directa!$A$2:$A$1000,$A510,Observacion_Directa!$B$2:$B$1000,"&gt;="&amp;DATEVALUE($B510&amp;"-01"),Observacion_Directa!$B$2:$B$1000,"&lt;="&amp;EOMONTH(DATEVALUE($B510&amp;"-01"),0)))-1)/4*100,"")</f>
        <v/>
      </c>
      <c r="Q510" t="str">
        <f>IF(H510="","",MIN(100,100*H510/Parametros!$B$4))</f>
        <v/>
      </c>
      <c r="R510" t="str">
        <f>IF(I510="","",IF(I510=0,100,MIN(100,100*Parametros!$B$5/I510)))</f>
        <v/>
      </c>
      <c r="S510" t="str">
        <f>IF(J510="","",IF(J510=0,100,MIN(100,100*Parametros!$B$6/J510)))</f>
        <v/>
      </c>
      <c r="T510" t="str">
        <f>IF(L510="","",MIN(100,100*L510/Parametros!$B$7))</f>
        <v/>
      </c>
      <c r="U510" t="str">
        <f>IF(K510="","",MIN(100,100*K510/Parametros!$B$8))</f>
        <v/>
      </c>
      <c r="V510" t="str">
        <f ca="1">IFERROR(((AVERAGEIFS(Documentacion!$C$2:$C$1000,Documentacion!$A$2:$A$1000,$A510,Documentacion!$B$2:$B$1000,"&gt;="&amp;DATEVALUE($B510&amp;"-01"),Documentacion!$B$2:$B$1000,"&lt;="&amp;EOMONTH(DATEVALUE($B510&amp;"-01"),0)))-1)/4*100,"")</f>
        <v/>
      </c>
      <c r="W510" t="str">
        <f ca="1">IFERROR(((AVERAGEIFS(Feedback_360!$D$2:$D$1000,Feedback_360!$A$2:$A$1000,$A510,Feedback_360!$B$2:$B$1000,"&gt;="&amp;DATEVALUE($B510&amp;"-01"),Feedback_360!$B$2:$B$1000,"&lt;="&amp;EOMONTH(DATEVALUE($B510&amp;"-01"),0)))-1)/4*100,"")</f>
        <v/>
      </c>
      <c r="X510" t="str">
        <f ca="1">IFERROR(((AVERAGEIFS(Observacion_Directa!$D$2:$D$1000,Observacion_Directa!$A$2:$A$1000,$A510,Observacion_Directa!$B$2:$B$1000,"&gt;="&amp;DATEVALUE($B510&amp;"-01"),Observacion_Directa!$B$2:$B$1000,"&lt;="&amp;EOMONTH(DATEVALUE($B510&amp;"-01"),0)))-1)/4*100,"")</f>
        <v/>
      </c>
      <c r="Y510" t="e">
        <f t="shared" ca="1" si="15"/>
        <v>#DIV/0!</v>
      </c>
    </row>
    <row r="511" spans="12:25" x14ac:dyDescent="0.2">
      <c r="L511" t="str">
        <f t="shared" si="14"/>
        <v/>
      </c>
      <c r="M511" t="str">
        <f>IFERROR(AVERAGEIFS(Prod_5dias!$H$2:$H$1000,Prod_5dias!$A$2:$A$1000,$A511,Prod_5dias!$B$2:$B$1000,$B511),"")</f>
        <v/>
      </c>
      <c r="N511" t="str">
        <f>IF(M511="","",MIN(100,100*M511/Parametros!$B$7))</f>
        <v/>
      </c>
      <c r="O511" t="str">
        <f>IF(F511="","",IF(F511=0,100,MIN(100,100*Parametros!$B$3/F511)))</f>
        <v/>
      </c>
      <c r="P511" t="str">
        <f ca="1">IFERROR(((AVERAGEIFS(Observacion_Directa!$E$2:$E$1000,Observacion_Directa!$A$2:$A$1000,$A511,Observacion_Directa!$B$2:$B$1000,"&gt;="&amp;DATEVALUE($B511&amp;"-01"),Observacion_Directa!$B$2:$B$1000,"&lt;="&amp;EOMONTH(DATEVALUE($B511&amp;"-01"),0)))-1)/4*100,"")</f>
        <v/>
      </c>
      <c r="Q511" t="str">
        <f>IF(H511="","",MIN(100,100*H511/Parametros!$B$4))</f>
        <v/>
      </c>
      <c r="R511" t="str">
        <f>IF(I511="","",IF(I511=0,100,MIN(100,100*Parametros!$B$5/I511)))</f>
        <v/>
      </c>
      <c r="S511" t="str">
        <f>IF(J511="","",IF(J511=0,100,MIN(100,100*Parametros!$B$6/J511)))</f>
        <v/>
      </c>
      <c r="T511" t="str">
        <f>IF(L511="","",MIN(100,100*L511/Parametros!$B$7))</f>
        <v/>
      </c>
      <c r="U511" t="str">
        <f>IF(K511="","",MIN(100,100*K511/Parametros!$B$8))</f>
        <v/>
      </c>
      <c r="V511" t="str">
        <f ca="1">IFERROR(((AVERAGEIFS(Documentacion!$C$2:$C$1000,Documentacion!$A$2:$A$1000,$A511,Documentacion!$B$2:$B$1000,"&gt;="&amp;DATEVALUE($B511&amp;"-01"),Documentacion!$B$2:$B$1000,"&lt;="&amp;EOMONTH(DATEVALUE($B511&amp;"-01"),0)))-1)/4*100,"")</f>
        <v/>
      </c>
      <c r="W511" t="str">
        <f ca="1">IFERROR(((AVERAGEIFS(Feedback_360!$D$2:$D$1000,Feedback_360!$A$2:$A$1000,$A511,Feedback_360!$B$2:$B$1000,"&gt;="&amp;DATEVALUE($B511&amp;"-01"),Feedback_360!$B$2:$B$1000,"&lt;="&amp;EOMONTH(DATEVALUE($B511&amp;"-01"),0)))-1)/4*100,"")</f>
        <v/>
      </c>
      <c r="X511" t="str">
        <f ca="1">IFERROR(((AVERAGEIFS(Observacion_Directa!$D$2:$D$1000,Observacion_Directa!$A$2:$A$1000,$A511,Observacion_Directa!$B$2:$B$1000,"&gt;="&amp;DATEVALUE($B511&amp;"-01"),Observacion_Directa!$B$2:$B$1000,"&lt;="&amp;EOMONTH(DATEVALUE($B511&amp;"-01"),0)))-1)/4*100,"")</f>
        <v/>
      </c>
      <c r="Y511" t="e">
        <f t="shared" ca="1" si="15"/>
        <v>#DIV/0!</v>
      </c>
    </row>
    <row r="512" spans="12:25" x14ac:dyDescent="0.2">
      <c r="L512" t="str">
        <f t="shared" si="14"/>
        <v/>
      </c>
      <c r="M512" t="str">
        <f>IFERROR(AVERAGEIFS(Prod_5dias!$H$2:$H$1000,Prod_5dias!$A$2:$A$1000,$A512,Prod_5dias!$B$2:$B$1000,$B512),"")</f>
        <v/>
      </c>
      <c r="N512" t="str">
        <f>IF(M512="","",MIN(100,100*M512/Parametros!$B$7))</f>
        <v/>
      </c>
      <c r="O512" t="str">
        <f>IF(F512="","",IF(F512=0,100,MIN(100,100*Parametros!$B$3/F512)))</f>
        <v/>
      </c>
      <c r="P512" t="str">
        <f ca="1">IFERROR(((AVERAGEIFS(Observacion_Directa!$E$2:$E$1000,Observacion_Directa!$A$2:$A$1000,$A512,Observacion_Directa!$B$2:$B$1000,"&gt;="&amp;DATEVALUE($B512&amp;"-01"),Observacion_Directa!$B$2:$B$1000,"&lt;="&amp;EOMONTH(DATEVALUE($B512&amp;"-01"),0)))-1)/4*100,"")</f>
        <v/>
      </c>
      <c r="Q512" t="str">
        <f>IF(H512="","",MIN(100,100*H512/Parametros!$B$4))</f>
        <v/>
      </c>
      <c r="R512" t="str">
        <f>IF(I512="","",IF(I512=0,100,MIN(100,100*Parametros!$B$5/I512)))</f>
        <v/>
      </c>
      <c r="S512" t="str">
        <f>IF(J512="","",IF(J512=0,100,MIN(100,100*Parametros!$B$6/J512)))</f>
        <v/>
      </c>
      <c r="T512" t="str">
        <f>IF(L512="","",MIN(100,100*L512/Parametros!$B$7))</f>
        <v/>
      </c>
      <c r="U512" t="str">
        <f>IF(K512="","",MIN(100,100*K512/Parametros!$B$8))</f>
        <v/>
      </c>
      <c r="V512" t="str">
        <f ca="1">IFERROR(((AVERAGEIFS(Documentacion!$C$2:$C$1000,Documentacion!$A$2:$A$1000,$A512,Documentacion!$B$2:$B$1000,"&gt;="&amp;DATEVALUE($B512&amp;"-01"),Documentacion!$B$2:$B$1000,"&lt;="&amp;EOMONTH(DATEVALUE($B512&amp;"-01"),0)))-1)/4*100,"")</f>
        <v/>
      </c>
      <c r="W512" t="str">
        <f ca="1">IFERROR(((AVERAGEIFS(Feedback_360!$D$2:$D$1000,Feedback_360!$A$2:$A$1000,$A512,Feedback_360!$B$2:$B$1000,"&gt;="&amp;DATEVALUE($B512&amp;"-01"),Feedback_360!$B$2:$B$1000,"&lt;="&amp;EOMONTH(DATEVALUE($B512&amp;"-01"),0)))-1)/4*100,"")</f>
        <v/>
      </c>
      <c r="X512" t="str">
        <f ca="1">IFERROR(((AVERAGEIFS(Observacion_Directa!$D$2:$D$1000,Observacion_Directa!$A$2:$A$1000,$A512,Observacion_Directa!$B$2:$B$1000,"&gt;="&amp;DATEVALUE($B512&amp;"-01"),Observacion_Directa!$B$2:$B$1000,"&lt;="&amp;EOMONTH(DATEVALUE($B512&amp;"-01"),0)))-1)/4*100,"")</f>
        <v/>
      </c>
      <c r="Y512" t="e">
        <f t="shared" ca="1" si="15"/>
        <v>#DIV/0!</v>
      </c>
    </row>
    <row r="513" spans="12:25" x14ac:dyDescent="0.2">
      <c r="L513" t="str">
        <f t="shared" si="14"/>
        <v/>
      </c>
      <c r="M513" t="str">
        <f>IFERROR(AVERAGEIFS(Prod_5dias!$H$2:$H$1000,Prod_5dias!$A$2:$A$1000,$A513,Prod_5dias!$B$2:$B$1000,$B513),"")</f>
        <v/>
      </c>
      <c r="N513" t="str">
        <f>IF(M513="","",MIN(100,100*M513/Parametros!$B$7))</f>
        <v/>
      </c>
      <c r="O513" t="str">
        <f>IF(F513="","",IF(F513=0,100,MIN(100,100*Parametros!$B$3/F513)))</f>
        <v/>
      </c>
      <c r="P513" t="str">
        <f ca="1">IFERROR(((AVERAGEIFS(Observacion_Directa!$E$2:$E$1000,Observacion_Directa!$A$2:$A$1000,$A513,Observacion_Directa!$B$2:$B$1000,"&gt;="&amp;DATEVALUE($B513&amp;"-01"),Observacion_Directa!$B$2:$B$1000,"&lt;="&amp;EOMONTH(DATEVALUE($B513&amp;"-01"),0)))-1)/4*100,"")</f>
        <v/>
      </c>
      <c r="Q513" t="str">
        <f>IF(H513="","",MIN(100,100*H513/Parametros!$B$4))</f>
        <v/>
      </c>
      <c r="R513" t="str">
        <f>IF(I513="","",IF(I513=0,100,MIN(100,100*Parametros!$B$5/I513)))</f>
        <v/>
      </c>
      <c r="S513" t="str">
        <f>IF(J513="","",IF(J513=0,100,MIN(100,100*Parametros!$B$6/J513)))</f>
        <v/>
      </c>
      <c r="T513" t="str">
        <f>IF(L513="","",MIN(100,100*L513/Parametros!$B$7))</f>
        <v/>
      </c>
      <c r="U513" t="str">
        <f>IF(K513="","",MIN(100,100*K513/Parametros!$B$8))</f>
        <v/>
      </c>
      <c r="V513" t="str">
        <f ca="1">IFERROR(((AVERAGEIFS(Documentacion!$C$2:$C$1000,Documentacion!$A$2:$A$1000,$A513,Documentacion!$B$2:$B$1000,"&gt;="&amp;DATEVALUE($B513&amp;"-01"),Documentacion!$B$2:$B$1000,"&lt;="&amp;EOMONTH(DATEVALUE($B513&amp;"-01"),0)))-1)/4*100,"")</f>
        <v/>
      </c>
      <c r="W513" t="str">
        <f ca="1">IFERROR(((AVERAGEIFS(Feedback_360!$D$2:$D$1000,Feedback_360!$A$2:$A$1000,$A513,Feedback_360!$B$2:$B$1000,"&gt;="&amp;DATEVALUE($B513&amp;"-01"),Feedback_360!$B$2:$B$1000,"&lt;="&amp;EOMONTH(DATEVALUE($B513&amp;"-01"),0)))-1)/4*100,"")</f>
        <v/>
      </c>
      <c r="X513" t="str">
        <f ca="1">IFERROR(((AVERAGEIFS(Observacion_Directa!$D$2:$D$1000,Observacion_Directa!$A$2:$A$1000,$A513,Observacion_Directa!$B$2:$B$1000,"&gt;="&amp;DATEVALUE($B513&amp;"-01"),Observacion_Directa!$B$2:$B$1000,"&lt;="&amp;EOMONTH(DATEVALUE($B513&amp;"-01"),0)))-1)/4*100,"")</f>
        <v/>
      </c>
      <c r="Y513" t="e">
        <f t="shared" ca="1" si="15"/>
        <v>#DIV/0!</v>
      </c>
    </row>
    <row r="514" spans="12:25" x14ac:dyDescent="0.2">
      <c r="L514" t="str">
        <f t="shared" ref="L514:L577" si="16">IF(OR(C514="",D514=""),"",C514/D514)</f>
        <v/>
      </c>
      <c r="M514" t="str">
        <f>IFERROR(AVERAGEIFS(Prod_5dias!$H$2:$H$1000,Prod_5dias!$A$2:$A$1000,$A514,Prod_5dias!$B$2:$B$1000,$B514),"")</f>
        <v/>
      </c>
      <c r="N514" t="str">
        <f>IF(M514="","",MIN(100,100*M514/Parametros!$B$7))</f>
        <v/>
      </c>
      <c r="O514" t="str">
        <f>IF(F514="","",IF(F514=0,100,MIN(100,100*Parametros!$B$3/F514)))</f>
        <v/>
      </c>
      <c r="P514" t="str">
        <f ca="1">IFERROR(((AVERAGEIFS(Observacion_Directa!$E$2:$E$1000,Observacion_Directa!$A$2:$A$1000,$A514,Observacion_Directa!$B$2:$B$1000,"&gt;="&amp;DATEVALUE($B514&amp;"-01"),Observacion_Directa!$B$2:$B$1000,"&lt;="&amp;EOMONTH(DATEVALUE($B514&amp;"-01"),0)))-1)/4*100,"")</f>
        <v/>
      </c>
      <c r="Q514" t="str">
        <f>IF(H514="","",MIN(100,100*H514/Parametros!$B$4))</f>
        <v/>
      </c>
      <c r="R514" t="str">
        <f>IF(I514="","",IF(I514=0,100,MIN(100,100*Parametros!$B$5/I514)))</f>
        <v/>
      </c>
      <c r="S514" t="str">
        <f>IF(J514="","",IF(J514=0,100,MIN(100,100*Parametros!$B$6/J514)))</f>
        <v/>
      </c>
      <c r="T514" t="str">
        <f>IF(L514="","",MIN(100,100*L514/Parametros!$B$7))</f>
        <v/>
      </c>
      <c r="U514" t="str">
        <f>IF(K514="","",MIN(100,100*K514/Parametros!$B$8))</f>
        <v/>
      </c>
      <c r="V514" t="str">
        <f ca="1">IFERROR(((AVERAGEIFS(Documentacion!$C$2:$C$1000,Documentacion!$A$2:$A$1000,$A514,Documentacion!$B$2:$B$1000,"&gt;="&amp;DATEVALUE($B514&amp;"-01"),Documentacion!$B$2:$B$1000,"&lt;="&amp;EOMONTH(DATEVALUE($B514&amp;"-01"),0)))-1)/4*100,"")</f>
        <v/>
      </c>
      <c r="W514" t="str">
        <f ca="1">IFERROR(((AVERAGEIFS(Feedback_360!$D$2:$D$1000,Feedback_360!$A$2:$A$1000,$A514,Feedback_360!$B$2:$B$1000,"&gt;="&amp;DATEVALUE($B514&amp;"-01"),Feedback_360!$B$2:$B$1000,"&lt;="&amp;EOMONTH(DATEVALUE($B514&amp;"-01"),0)))-1)/4*100,"")</f>
        <v/>
      </c>
      <c r="X514" t="str">
        <f ca="1">IFERROR(((AVERAGEIFS(Observacion_Directa!$D$2:$D$1000,Observacion_Directa!$A$2:$A$1000,$A514,Observacion_Directa!$B$2:$B$1000,"&gt;="&amp;DATEVALUE($B514&amp;"-01"),Observacion_Directa!$B$2:$B$1000,"&lt;="&amp;EOMONTH(DATEVALUE($B514&amp;"-01"),0)))-1)/4*100,"")</f>
        <v/>
      </c>
      <c r="Y514" t="e">
        <f t="shared" ref="Y514:Y577" ca="1" si="17">IF(COUNTA(N514:X514)=0,"",AVERAGE(N514:X514))</f>
        <v>#DIV/0!</v>
      </c>
    </row>
    <row r="515" spans="12:25" x14ac:dyDescent="0.2">
      <c r="L515" t="str">
        <f t="shared" si="16"/>
        <v/>
      </c>
      <c r="M515" t="str">
        <f>IFERROR(AVERAGEIFS(Prod_5dias!$H$2:$H$1000,Prod_5dias!$A$2:$A$1000,$A515,Prod_5dias!$B$2:$B$1000,$B515),"")</f>
        <v/>
      </c>
      <c r="N515" t="str">
        <f>IF(M515="","",MIN(100,100*M515/Parametros!$B$7))</f>
        <v/>
      </c>
      <c r="O515" t="str">
        <f>IF(F515="","",IF(F515=0,100,MIN(100,100*Parametros!$B$3/F515)))</f>
        <v/>
      </c>
      <c r="P515" t="str">
        <f ca="1">IFERROR(((AVERAGEIFS(Observacion_Directa!$E$2:$E$1000,Observacion_Directa!$A$2:$A$1000,$A515,Observacion_Directa!$B$2:$B$1000,"&gt;="&amp;DATEVALUE($B515&amp;"-01"),Observacion_Directa!$B$2:$B$1000,"&lt;="&amp;EOMONTH(DATEVALUE($B515&amp;"-01"),0)))-1)/4*100,"")</f>
        <v/>
      </c>
      <c r="Q515" t="str">
        <f>IF(H515="","",MIN(100,100*H515/Parametros!$B$4))</f>
        <v/>
      </c>
      <c r="R515" t="str">
        <f>IF(I515="","",IF(I515=0,100,MIN(100,100*Parametros!$B$5/I515)))</f>
        <v/>
      </c>
      <c r="S515" t="str">
        <f>IF(J515="","",IF(J515=0,100,MIN(100,100*Parametros!$B$6/J515)))</f>
        <v/>
      </c>
      <c r="T515" t="str">
        <f>IF(L515="","",MIN(100,100*L515/Parametros!$B$7))</f>
        <v/>
      </c>
      <c r="U515" t="str">
        <f>IF(K515="","",MIN(100,100*K515/Parametros!$B$8))</f>
        <v/>
      </c>
      <c r="V515" t="str">
        <f ca="1">IFERROR(((AVERAGEIFS(Documentacion!$C$2:$C$1000,Documentacion!$A$2:$A$1000,$A515,Documentacion!$B$2:$B$1000,"&gt;="&amp;DATEVALUE($B515&amp;"-01"),Documentacion!$B$2:$B$1000,"&lt;="&amp;EOMONTH(DATEVALUE($B515&amp;"-01"),0)))-1)/4*100,"")</f>
        <v/>
      </c>
      <c r="W515" t="str">
        <f ca="1">IFERROR(((AVERAGEIFS(Feedback_360!$D$2:$D$1000,Feedback_360!$A$2:$A$1000,$A515,Feedback_360!$B$2:$B$1000,"&gt;="&amp;DATEVALUE($B515&amp;"-01"),Feedback_360!$B$2:$B$1000,"&lt;="&amp;EOMONTH(DATEVALUE($B515&amp;"-01"),0)))-1)/4*100,"")</f>
        <v/>
      </c>
      <c r="X515" t="str">
        <f ca="1">IFERROR(((AVERAGEIFS(Observacion_Directa!$D$2:$D$1000,Observacion_Directa!$A$2:$A$1000,$A515,Observacion_Directa!$B$2:$B$1000,"&gt;="&amp;DATEVALUE($B515&amp;"-01"),Observacion_Directa!$B$2:$B$1000,"&lt;="&amp;EOMONTH(DATEVALUE($B515&amp;"-01"),0)))-1)/4*100,"")</f>
        <v/>
      </c>
      <c r="Y515" t="e">
        <f t="shared" ca="1" si="17"/>
        <v>#DIV/0!</v>
      </c>
    </row>
    <row r="516" spans="12:25" x14ac:dyDescent="0.2">
      <c r="L516" t="str">
        <f t="shared" si="16"/>
        <v/>
      </c>
      <c r="M516" t="str">
        <f>IFERROR(AVERAGEIFS(Prod_5dias!$H$2:$H$1000,Prod_5dias!$A$2:$A$1000,$A516,Prod_5dias!$B$2:$B$1000,$B516),"")</f>
        <v/>
      </c>
      <c r="N516" t="str">
        <f>IF(M516="","",MIN(100,100*M516/Parametros!$B$7))</f>
        <v/>
      </c>
      <c r="O516" t="str">
        <f>IF(F516="","",IF(F516=0,100,MIN(100,100*Parametros!$B$3/F516)))</f>
        <v/>
      </c>
      <c r="P516" t="str">
        <f ca="1">IFERROR(((AVERAGEIFS(Observacion_Directa!$E$2:$E$1000,Observacion_Directa!$A$2:$A$1000,$A516,Observacion_Directa!$B$2:$B$1000,"&gt;="&amp;DATEVALUE($B516&amp;"-01"),Observacion_Directa!$B$2:$B$1000,"&lt;="&amp;EOMONTH(DATEVALUE($B516&amp;"-01"),0)))-1)/4*100,"")</f>
        <v/>
      </c>
      <c r="Q516" t="str">
        <f>IF(H516="","",MIN(100,100*H516/Parametros!$B$4))</f>
        <v/>
      </c>
      <c r="R516" t="str">
        <f>IF(I516="","",IF(I516=0,100,MIN(100,100*Parametros!$B$5/I516)))</f>
        <v/>
      </c>
      <c r="S516" t="str">
        <f>IF(J516="","",IF(J516=0,100,MIN(100,100*Parametros!$B$6/J516)))</f>
        <v/>
      </c>
      <c r="T516" t="str">
        <f>IF(L516="","",MIN(100,100*L516/Parametros!$B$7))</f>
        <v/>
      </c>
      <c r="U516" t="str">
        <f>IF(K516="","",MIN(100,100*K516/Parametros!$B$8))</f>
        <v/>
      </c>
      <c r="V516" t="str">
        <f ca="1">IFERROR(((AVERAGEIFS(Documentacion!$C$2:$C$1000,Documentacion!$A$2:$A$1000,$A516,Documentacion!$B$2:$B$1000,"&gt;="&amp;DATEVALUE($B516&amp;"-01"),Documentacion!$B$2:$B$1000,"&lt;="&amp;EOMONTH(DATEVALUE($B516&amp;"-01"),0)))-1)/4*100,"")</f>
        <v/>
      </c>
      <c r="W516" t="str">
        <f ca="1">IFERROR(((AVERAGEIFS(Feedback_360!$D$2:$D$1000,Feedback_360!$A$2:$A$1000,$A516,Feedback_360!$B$2:$B$1000,"&gt;="&amp;DATEVALUE($B516&amp;"-01"),Feedback_360!$B$2:$B$1000,"&lt;="&amp;EOMONTH(DATEVALUE($B516&amp;"-01"),0)))-1)/4*100,"")</f>
        <v/>
      </c>
      <c r="X516" t="str">
        <f ca="1">IFERROR(((AVERAGEIFS(Observacion_Directa!$D$2:$D$1000,Observacion_Directa!$A$2:$A$1000,$A516,Observacion_Directa!$B$2:$B$1000,"&gt;="&amp;DATEVALUE($B516&amp;"-01"),Observacion_Directa!$B$2:$B$1000,"&lt;="&amp;EOMONTH(DATEVALUE($B516&amp;"-01"),0)))-1)/4*100,"")</f>
        <v/>
      </c>
      <c r="Y516" t="e">
        <f t="shared" ca="1" si="17"/>
        <v>#DIV/0!</v>
      </c>
    </row>
    <row r="517" spans="12:25" x14ac:dyDescent="0.2">
      <c r="L517" t="str">
        <f t="shared" si="16"/>
        <v/>
      </c>
      <c r="M517" t="str">
        <f>IFERROR(AVERAGEIFS(Prod_5dias!$H$2:$H$1000,Prod_5dias!$A$2:$A$1000,$A517,Prod_5dias!$B$2:$B$1000,$B517),"")</f>
        <v/>
      </c>
      <c r="N517" t="str">
        <f>IF(M517="","",MIN(100,100*M517/Parametros!$B$7))</f>
        <v/>
      </c>
      <c r="O517" t="str">
        <f>IF(F517="","",IF(F517=0,100,MIN(100,100*Parametros!$B$3/F517)))</f>
        <v/>
      </c>
      <c r="P517" t="str">
        <f ca="1">IFERROR(((AVERAGEIFS(Observacion_Directa!$E$2:$E$1000,Observacion_Directa!$A$2:$A$1000,$A517,Observacion_Directa!$B$2:$B$1000,"&gt;="&amp;DATEVALUE($B517&amp;"-01"),Observacion_Directa!$B$2:$B$1000,"&lt;="&amp;EOMONTH(DATEVALUE($B517&amp;"-01"),0)))-1)/4*100,"")</f>
        <v/>
      </c>
      <c r="Q517" t="str">
        <f>IF(H517="","",MIN(100,100*H517/Parametros!$B$4))</f>
        <v/>
      </c>
      <c r="R517" t="str">
        <f>IF(I517="","",IF(I517=0,100,MIN(100,100*Parametros!$B$5/I517)))</f>
        <v/>
      </c>
      <c r="S517" t="str">
        <f>IF(J517="","",IF(J517=0,100,MIN(100,100*Parametros!$B$6/J517)))</f>
        <v/>
      </c>
      <c r="T517" t="str">
        <f>IF(L517="","",MIN(100,100*L517/Parametros!$B$7))</f>
        <v/>
      </c>
      <c r="U517" t="str">
        <f>IF(K517="","",MIN(100,100*K517/Parametros!$B$8))</f>
        <v/>
      </c>
      <c r="V517" t="str">
        <f ca="1">IFERROR(((AVERAGEIFS(Documentacion!$C$2:$C$1000,Documentacion!$A$2:$A$1000,$A517,Documentacion!$B$2:$B$1000,"&gt;="&amp;DATEVALUE($B517&amp;"-01"),Documentacion!$B$2:$B$1000,"&lt;="&amp;EOMONTH(DATEVALUE($B517&amp;"-01"),0)))-1)/4*100,"")</f>
        <v/>
      </c>
      <c r="W517" t="str">
        <f ca="1">IFERROR(((AVERAGEIFS(Feedback_360!$D$2:$D$1000,Feedback_360!$A$2:$A$1000,$A517,Feedback_360!$B$2:$B$1000,"&gt;="&amp;DATEVALUE($B517&amp;"-01"),Feedback_360!$B$2:$B$1000,"&lt;="&amp;EOMONTH(DATEVALUE($B517&amp;"-01"),0)))-1)/4*100,"")</f>
        <v/>
      </c>
      <c r="X517" t="str">
        <f ca="1">IFERROR(((AVERAGEIFS(Observacion_Directa!$D$2:$D$1000,Observacion_Directa!$A$2:$A$1000,$A517,Observacion_Directa!$B$2:$B$1000,"&gt;="&amp;DATEVALUE($B517&amp;"-01"),Observacion_Directa!$B$2:$B$1000,"&lt;="&amp;EOMONTH(DATEVALUE($B517&amp;"-01"),0)))-1)/4*100,"")</f>
        <v/>
      </c>
      <c r="Y517" t="e">
        <f t="shared" ca="1" si="17"/>
        <v>#DIV/0!</v>
      </c>
    </row>
    <row r="518" spans="12:25" x14ac:dyDescent="0.2">
      <c r="L518" t="str">
        <f t="shared" si="16"/>
        <v/>
      </c>
      <c r="M518" t="str">
        <f>IFERROR(AVERAGEIFS(Prod_5dias!$H$2:$H$1000,Prod_5dias!$A$2:$A$1000,$A518,Prod_5dias!$B$2:$B$1000,$B518),"")</f>
        <v/>
      </c>
      <c r="N518" t="str">
        <f>IF(M518="","",MIN(100,100*M518/Parametros!$B$7))</f>
        <v/>
      </c>
      <c r="O518" t="str">
        <f>IF(F518="","",IF(F518=0,100,MIN(100,100*Parametros!$B$3/F518)))</f>
        <v/>
      </c>
      <c r="P518" t="str">
        <f ca="1">IFERROR(((AVERAGEIFS(Observacion_Directa!$E$2:$E$1000,Observacion_Directa!$A$2:$A$1000,$A518,Observacion_Directa!$B$2:$B$1000,"&gt;="&amp;DATEVALUE($B518&amp;"-01"),Observacion_Directa!$B$2:$B$1000,"&lt;="&amp;EOMONTH(DATEVALUE($B518&amp;"-01"),0)))-1)/4*100,"")</f>
        <v/>
      </c>
      <c r="Q518" t="str">
        <f>IF(H518="","",MIN(100,100*H518/Parametros!$B$4))</f>
        <v/>
      </c>
      <c r="R518" t="str">
        <f>IF(I518="","",IF(I518=0,100,MIN(100,100*Parametros!$B$5/I518)))</f>
        <v/>
      </c>
      <c r="S518" t="str">
        <f>IF(J518="","",IF(J518=0,100,MIN(100,100*Parametros!$B$6/J518)))</f>
        <v/>
      </c>
      <c r="T518" t="str">
        <f>IF(L518="","",MIN(100,100*L518/Parametros!$B$7))</f>
        <v/>
      </c>
      <c r="U518" t="str">
        <f>IF(K518="","",MIN(100,100*K518/Parametros!$B$8))</f>
        <v/>
      </c>
      <c r="V518" t="str">
        <f ca="1">IFERROR(((AVERAGEIFS(Documentacion!$C$2:$C$1000,Documentacion!$A$2:$A$1000,$A518,Documentacion!$B$2:$B$1000,"&gt;="&amp;DATEVALUE($B518&amp;"-01"),Documentacion!$B$2:$B$1000,"&lt;="&amp;EOMONTH(DATEVALUE($B518&amp;"-01"),0)))-1)/4*100,"")</f>
        <v/>
      </c>
      <c r="W518" t="str">
        <f ca="1">IFERROR(((AVERAGEIFS(Feedback_360!$D$2:$D$1000,Feedback_360!$A$2:$A$1000,$A518,Feedback_360!$B$2:$B$1000,"&gt;="&amp;DATEVALUE($B518&amp;"-01"),Feedback_360!$B$2:$B$1000,"&lt;="&amp;EOMONTH(DATEVALUE($B518&amp;"-01"),0)))-1)/4*100,"")</f>
        <v/>
      </c>
      <c r="X518" t="str">
        <f ca="1">IFERROR(((AVERAGEIFS(Observacion_Directa!$D$2:$D$1000,Observacion_Directa!$A$2:$A$1000,$A518,Observacion_Directa!$B$2:$B$1000,"&gt;="&amp;DATEVALUE($B518&amp;"-01"),Observacion_Directa!$B$2:$B$1000,"&lt;="&amp;EOMONTH(DATEVALUE($B518&amp;"-01"),0)))-1)/4*100,"")</f>
        <v/>
      </c>
      <c r="Y518" t="e">
        <f t="shared" ca="1" si="17"/>
        <v>#DIV/0!</v>
      </c>
    </row>
    <row r="519" spans="12:25" x14ac:dyDescent="0.2">
      <c r="L519" t="str">
        <f t="shared" si="16"/>
        <v/>
      </c>
      <c r="M519" t="str">
        <f>IFERROR(AVERAGEIFS(Prod_5dias!$H$2:$H$1000,Prod_5dias!$A$2:$A$1000,$A519,Prod_5dias!$B$2:$B$1000,$B519),"")</f>
        <v/>
      </c>
      <c r="N519" t="str">
        <f>IF(M519="","",MIN(100,100*M519/Parametros!$B$7))</f>
        <v/>
      </c>
      <c r="O519" t="str">
        <f>IF(F519="","",IF(F519=0,100,MIN(100,100*Parametros!$B$3/F519)))</f>
        <v/>
      </c>
      <c r="P519" t="str">
        <f ca="1">IFERROR(((AVERAGEIFS(Observacion_Directa!$E$2:$E$1000,Observacion_Directa!$A$2:$A$1000,$A519,Observacion_Directa!$B$2:$B$1000,"&gt;="&amp;DATEVALUE($B519&amp;"-01"),Observacion_Directa!$B$2:$B$1000,"&lt;="&amp;EOMONTH(DATEVALUE($B519&amp;"-01"),0)))-1)/4*100,"")</f>
        <v/>
      </c>
      <c r="Q519" t="str">
        <f>IF(H519="","",MIN(100,100*H519/Parametros!$B$4))</f>
        <v/>
      </c>
      <c r="R519" t="str">
        <f>IF(I519="","",IF(I519=0,100,MIN(100,100*Parametros!$B$5/I519)))</f>
        <v/>
      </c>
      <c r="S519" t="str">
        <f>IF(J519="","",IF(J519=0,100,MIN(100,100*Parametros!$B$6/J519)))</f>
        <v/>
      </c>
      <c r="T519" t="str">
        <f>IF(L519="","",MIN(100,100*L519/Parametros!$B$7))</f>
        <v/>
      </c>
      <c r="U519" t="str">
        <f>IF(K519="","",MIN(100,100*K519/Parametros!$B$8))</f>
        <v/>
      </c>
      <c r="V519" t="str">
        <f ca="1">IFERROR(((AVERAGEIFS(Documentacion!$C$2:$C$1000,Documentacion!$A$2:$A$1000,$A519,Documentacion!$B$2:$B$1000,"&gt;="&amp;DATEVALUE($B519&amp;"-01"),Documentacion!$B$2:$B$1000,"&lt;="&amp;EOMONTH(DATEVALUE($B519&amp;"-01"),0)))-1)/4*100,"")</f>
        <v/>
      </c>
      <c r="W519" t="str">
        <f ca="1">IFERROR(((AVERAGEIFS(Feedback_360!$D$2:$D$1000,Feedback_360!$A$2:$A$1000,$A519,Feedback_360!$B$2:$B$1000,"&gt;="&amp;DATEVALUE($B519&amp;"-01"),Feedback_360!$B$2:$B$1000,"&lt;="&amp;EOMONTH(DATEVALUE($B519&amp;"-01"),0)))-1)/4*100,"")</f>
        <v/>
      </c>
      <c r="X519" t="str">
        <f ca="1">IFERROR(((AVERAGEIFS(Observacion_Directa!$D$2:$D$1000,Observacion_Directa!$A$2:$A$1000,$A519,Observacion_Directa!$B$2:$B$1000,"&gt;="&amp;DATEVALUE($B519&amp;"-01"),Observacion_Directa!$B$2:$B$1000,"&lt;="&amp;EOMONTH(DATEVALUE($B519&amp;"-01"),0)))-1)/4*100,"")</f>
        <v/>
      </c>
      <c r="Y519" t="e">
        <f t="shared" ca="1" si="17"/>
        <v>#DIV/0!</v>
      </c>
    </row>
    <row r="520" spans="12:25" x14ac:dyDescent="0.2">
      <c r="L520" t="str">
        <f t="shared" si="16"/>
        <v/>
      </c>
      <c r="M520" t="str">
        <f>IFERROR(AVERAGEIFS(Prod_5dias!$H$2:$H$1000,Prod_5dias!$A$2:$A$1000,$A520,Prod_5dias!$B$2:$B$1000,$B520),"")</f>
        <v/>
      </c>
      <c r="N520" t="str">
        <f>IF(M520="","",MIN(100,100*M520/Parametros!$B$7))</f>
        <v/>
      </c>
      <c r="O520" t="str">
        <f>IF(F520="","",IF(F520=0,100,MIN(100,100*Parametros!$B$3/F520)))</f>
        <v/>
      </c>
      <c r="P520" t="str">
        <f ca="1">IFERROR(((AVERAGEIFS(Observacion_Directa!$E$2:$E$1000,Observacion_Directa!$A$2:$A$1000,$A520,Observacion_Directa!$B$2:$B$1000,"&gt;="&amp;DATEVALUE($B520&amp;"-01"),Observacion_Directa!$B$2:$B$1000,"&lt;="&amp;EOMONTH(DATEVALUE($B520&amp;"-01"),0)))-1)/4*100,"")</f>
        <v/>
      </c>
      <c r="Q520" t="str">
        <f>IF(H520="","",MIN(100,100*H520/Parametros!$B$4))</f>
        <v/>
      </c>
      <c r="R520" t="str">
        <f>IF(I520="","",IF(I520=0,100,MIN(100,100*Parametros!$B$5/I520)))</f>
        <v/>
      </c>
      <c r="S520" t="str">
        <f>IF(J520="","",IF(J520=0,100,MIN(100,100*Parametros!$B$6/J520)))</f>
        <v/>
      </c>
      <c r="T520" t="str">
        <f>IF(L520="","",MIN(100,100*L520/Parametros!$B$7))</f>
        <v/>
      </c>
      <c r="U520" t="str">
        <f>IF(K520="","",MIN(100,100*K520/Parametros!$B$8))</f>
        <v/>
      </c>
      <c r="V520" t="str">
        <f ca="1">IFERROR(((AVERAGEIFS(Documentacion!$C$2:$C$1000,Documentacion!$A$2:$A$1000,$A520,Documentacion!$B$2:$B$1000,"&gt;="&amp;DATEVALUE($B520&amp;"-01"),Documentacion!$B$2:$B$1000,"&lt;="&amp;EOMONTH(DATEVALUE($B520&amp;"-01"),0)))-1)/4*100,"")</f>
        <v/>
      </c>
      <c r="W520" t="str">
        <f ca="1">IFERROR(((AVERAGEIFS(Feedback_360!$D$2:$D$1000,Feedback_360!$A$2:$A$1000,$A520,Feedback_360!$B$2:$B$1000,"&gt;="&amp;DATEVALUE($B520&amp;"-01"),Feedback_360!$B$2:$B$1000,"&lt;="&amp;EOMONTH(DATEVALUE($B520&amp;"-01"),0)))-1)/4*100,"")</f>
        <v/>
      </c>
      <c r="X520" t="str">
        <f ca="1">IFERROR(((AVERAGEIFS(Observacion_Directa!$D$2:$D$1000,Observacion_Directa!$A$2:$A$1000,$A520,Observacion_Directa!$B$2:$B$1000,"&gt;="&amp;DATEVALUE($B520&amp;"-01"),Observacion_Directa!$B$2:$B$1000,"&lt;="&amp;EOMONTH(DATEVALUE($B520&amp;"-01"),0)))-1)/4*100,"")</f>
        <v/>
      </c>
      <c r="Y520" t="e">
        <f t="shared" ca="1" si="17"/>
        <v>#DIV/0!</v>
      </c>
    </row>
    <row r="521" spans="12:25" x14ac:dyDescent="0.2">
      <c r="L521" t="str">
        <f t="shared" si="16"/>
        <v/>
      </c>
      <c r="M521" t="str">
        <f>IFERROR(AVERAGEIFS(Prod_5dias!$H$2:$H$1000,Prod_5dias!$A$2:$A$1000,$A521,Prod_5dias!$B$2:$B$1000,$B521),"")</f>
        <v/>
      </c>
      <c r="N521" t="str">
        <f>IF(M521="","",MIN(100,100*M521/Parametros!$B$7))</f>
        <v/>
      </c>
      <c r="O521" t="str">
        <f>IF(F521="","",IF(F521=0,100,MIN(100,100*Parametros!$B$3/F521)))</f>
        <v/>
      </c>
      <c r="P521" t="str">
        <f ca="1">IFERROR(((AVERAGEIFS(Observacion_Directa!$E$2:$E$1000,Observacion_Directa!$A$2:$A$1000,$A521,Observacion_Directa!$B$2:$B$1000,"&gt;="&amp;DATEVALUE($B521&amp;"-01"),Observacion_Directa!$B$2:$B$1000,"&lt;="&amp;EOMONTH(DATEVALUE($B521&amp;"-01"),0)))-1)/4*100,"")</f>
        <v/>
      </c>
      <c r="Q521" t="str">
        <f>IF(H521="","",MIN(100,100*H521/Parametros!$B$4))</f>
        <v/>
      </c>
      <c r="R521" t="str">
        <f>IF(I521="","",IF(I521=0,100,MIN(100,100*Parametros!$B$5/I521)))</f>
        <v/>
      </c>
      <c r="S521" t="str">
        <f>IF(J521="","",IF(J521=0,100,MIN(100,100*Parametros!$B$6/J521)))</f>
        <v/>
      </c>
      <c r="T521" t="str">
        <f>IF(L521="","",MIN(100,100*L521/Parametros!$B$7))</f>
        <v/>
      </c>
      <c r="U521" t="str">
        <f>IF(K521="","",MIN(100,100*K521/Parametros!$B$8))</f>
        <v/>
      </c>
      <c r="V521" t="str">
        <f ca="1">IFERROR(((AVERAGEIFS(Documentacion!$C$2:$C$1000,Documentacion!$A$2:$A$1000,$A521,Documentacion!$B$2:$B$1000,"&gt;="&amp;DATEVALUE($B521&amp;"-01"),Documentacion!$B$2:$B$1000,"&lt;="&amp;EOMONTH(DATEVALUE($B521&amp;"-01"),0)))-1)/4*100,"")</f>
        <v/>
      </c>
      <c r="W521" t="str">
        <f ca="1">IFERROR(((AVERAGEIFS(Feedback_360!$D$2:$D$1000,Feedback_360!$A$2:$A$1000,$A521,Feedback_360!$B$2:$B$1000,"&gt;="&amp;DATEVALUE($B521&amp;"-01"),Feedback_360!$B$2:$B$1000,"&lt;="&amp;EOMONTH(DATEVALUE($B521&amp;"-01"),0)))-1)/4*100,"")</f>
        <v/>
      </c>
      <c r="X521" t="str">
        <f ca="1">IFERROR(((AVERAGEIFS(Observacion_Directa!$D$2:$D$1000,Observacion_Directa!$A$2:$A$1000,$A521,Observacion_Directa!$B$2:$B$1000,"&gt;="&amp;DATEVALUE($B521&amp;"-01"),Observacion_Directa!$B$2:$B$1000,"&lt;="&amp;EOMONTH(DATEVALUE($B521&amp;"-01"),0)))-1)/4*100,"")</f>
        <v/>
      </c>
      <c r="Y521" t="e">
        <f t="shared" ca="1" si="17"/>
        <v>#DIV/0!</v>
      </c>
    </row>
    <row r="522" spans="12:25" x14ac:dyDescent="0.2">
      <c r="L522" t="str">
        <f t="shared" si="16"/>
        <v/>
      </c>
      <c r="M522" t="str">
        <f>IFERROR(AVERAGEIFS(Prod_5dias!$H$2:$H$1000,Prod_5dias!$A$2:$A$1000,$A522,Prod_5dias!$B$2:$B$1000,$B522),"")</f>
        <v/>
      </c>
      <c r="N522" t="str">
        <f>IF(M522="","",MIN(100,100*M522/Parametros!$B$7))</f>
        <v/>
      </c>
      <c r="O522" t="str">
        <f>IF(F522="","",IF(F522=0,100,MIN(100,100*Parametros!$B$3/F522)))</f>
        <v/>
      </c>
      <c r="P522" t="str">
        <f ca="1">IFERROR(((AVERAGEIFS(Observacion_Directa!$E$2:$E$1000,Observacion_Directa!$A$2:$A$1000,$A522,Observacion_Directa!$B$2:$B$1000,"&gt;="&amp;DATEVALUE($B522&amp;"-01"),Observacion_Directa!$B$2:$B$1000,"&lt;="&amp;EOMONTH(DATEVALUE($B522&amp;"-01"),0)))-1)/4*100,"")</f>
        <v/>
      </c>
      <c r="Q522" t="str">
        <f>IF(H522="","",MIN(100,100*H522/Parametros!$B$4))</f>
        <v/>
      </c>
      <c r="R522" t="str">
        <f>IF(I522="","",IF(I522=0,100,MIN(100,100*Parametros!$B$5/I522)))</f>
        <v/>
      </c>
      <c r="S522" t="str">
        <f>IF(J522="","",IF(J522=0,100,MIN(100,100*Parametros!$B$6/J522)))</f>
        <v/>
      </c>
      <c r="T522" t="str">
        <f>IF(L522="","",MIN(100,100*L522/Parametros!$B$7))</f>
        <v/>
      </c>
      <c r="U522" t="str">
        <f>IF(K522="","",MIN(100,100*K522/Parametros!$B$8))</f>
        <v/>
      </c>
      <c r="V522" t="str">
        <f ca="1">IFERROR(((AVERAGEIFS(Documentacion!$C$2:$C$1000,Documentacion!$A$2:$A$1000,$A522,Documentacion!$B$2:$B$1000,"&gt;="&amp;DATEVALUE($B522&amp;"-01"),Documentacion!$B$2:$B$1000,"&lt;="&amp;EOMONTH(DATEVALUE($B522&amp;"-01"),0)))-1)/4*100,"")</f>
        <v/>
      </c>
      <c r="W522" t="str">
        <f ca="1">IFERROR(((AVERAGEIFS(Feedback_360!$D$2:$D$1000,Feedback_360!$A$2:$A$1000,$A522,Feedback_360!$B$2:$B$1000,"&gt;="&amp;DATEVALUE($B522&amp;"-01"),Feedback_360!$B$2:$B$1000,"&lt;="&amp;EOMONTH(DATEVALUE($B522&amp;"-01"),0)))-1)/4*100,"")</f>
        <v/>
      </c>
      <c r="X522" t="str">
        <f ca="1">IFERROR(((AVERAGEIFS(Observacion_Directa!$D$2:$D$1000,Observacion_Directa!$A$2:$A$1000,$A522,Observacion_Directa!$B$2:$B$1000,"&gt;="&amp;DATEVALUE($B522&amp;"-01"),Observacion_Directa!$B$2:$B$1000,"&lt;="&amp;EOMONTH(DATEVALUE($B522&amp;"-01"),0)))-1)/4*100,"")</f>
        <v/>
      </c>
      <c r="Y522" t="e">
        <f t="shared" ca="1" si="17"/>
        <v>#DIV/0!</v>
      </c>
    </row>
    <row r="523" spans="12:25" x14ac:dyDescent="0.2">
      <c r="L523" t="str">
        <f t="shared" si="16"/>
        <v/>
      </c>
      <c r="M523" t="str">
        <f>IFERROR(AVERAGEIFS(Prod_5dias!$H$2:$H$1000,Prod_5dias!$A$2:$A$1000,$A523,Prod_5dias!$B$2:$B$1000,$B523),"")</f>
        <v/>
      </c>
      <c r="N523" t="str">
        <f>IF(M523="","",MIN(100,100*M523/Parametros!$B$7))</f>
        <v/>
      </c>
      <c r="O523" t="str">
        <f>IF(F523="","",IF(F523=0,100,MIN(100,100*Parametros!$B$3/F523)))</f>
        <v/>
      </c>
      <c r="P523" t="str">
        <f ca="1">IFERROR(((AVERAGEIFS(Observacion_Directa!$E$2:$E$1000,Observacion_Directa!$A$2:$A$1000,$A523,Observacion_Directa!$B$2:$B$1000,"&gt;="&amp;DATEVALUE($B523&amp;"-01"),Observacion_Directa!$B$2:$B$1000,"&lt;="&amp;EOMONTH(DATEVALUE($B523&amp;"-01"),0)))-1)/4*100,"")</f>
        <v/>
      </c>
      <c r="Q523" t="str">
        <f>IF(H523="","",MIN(100,100*H523/Parametros!$B$4))</f>
        <v/>
      </c>
      <c r="R523" t="str">
        <f>IF(I523="","",IF(I523=0,100,MIN(100,100*Parametros!$B$5/I523)))</f>
        <v/>
      </c>
      <c r="S523" t="str">
        <f>IF(J523="","",IF(J523=0,100,MIN(100,100*Parametros!$B$6/J523)))</f>
        <v/>
      </c>
      <c r="T523" t="str">
        <f>IF(L523="","",MIN(100,100*L523/Parametros!$B$7))</f>
        <v/>
      </c>
      <c r="U523" t="str">
        <f>IF(K523="","",MIN(100,100*K523/Parametros!$B$8))</f>
        <v/>
      </c>
      <c r="V523" t="str">
        <f ca="1">IFERROR(((AVERAGEIFS(Documentacion!$C$2:$C$1000,Documentacion!$A$2:$A$1000,$A523,Documentacion!$B$2:$B$1000,"&gt;="&amp;DATEVALUE($B523&amp;"-01"),Documentacion!$B$2:$B$1000,"&lt;="&amp;EOMONTH(DATEVALUE($B523&amp;"-01"),0)))-1)/4*100,"")</f>
        <v/>
      </c>
      <c r="W523" t="str">
        <f ca="1">IFERROR(((AVERAGEIFS(Feedback_360!$D$2:$D$1000,Feedback_360!$A$2:$A$1000,$A523,Feedback_360!$B$2:$B$1000,"&gt;="&amp;DATEVALUE($B523&amp;"-01"),Feedback_360!$B$2:$B$1000,"&lt;="&amp;EOMONTH(DATEVALUE($B523&amp;"-01"),0)))-1)/4*100,"")</f>
        <v/>
      </c>
      <c r="X523" t="str">
        <f ca="1">IFERROR(((AVERAGEIFS(Observacion_Directa!$D$2:$D$1000,Observacion_Directa!$A$2:$A$1000,$A523,Observacion_Directa!$B$2:$B$1000,"&gt;="&amp;DATEVALUE($B523&amp;"-01"),Observacion_Directa!$B$2:$B$1000,"&lt;="&amp;EOMONTH(DATEVALUE($B523&amp;"-01"),0)))-1)/4*100,"")</f>
        <v/>
      </c>
      <c r="Y523" t="e">
        <f t="shared" ca="1" si="17"/>
        <v>#DIV/0!</v>
      </c>
    </row>
    <row r="524" spans="12:25" x14ac:dyDescent="0.2">
      <c r="L524" t="str">
        <f t="shared" si="16"/>
        <v/>
      </c>
      <c r="M524" t="str">
        <f>IFERROR(AVERAGEIFS(Prod_5dias!$H$2:$H$1000,Prod_5dias!$A$2:$A$1000,$A524,Prod_5dias!$B$2:$B$1000,$B524),"")</f>
        <v/>
      </c>
      <c r="N524" t="str">
        <f>IF(M524="","",MIN(100,100*M524/Parametros!$B$7))</f>
        <v/>
      </c>
      <c r="O524" t="str">
        <f>IF(F524="","",IF(F524=0,100,MIN(100,100*Parametros!$B$3/F524)))</f>
        <v/>
      </c>
      <c r="P524" t="str">
        <f ca="1">IFERROR(((AVERAGEIFS(Observacion_Directa!$E$2:$E$1000,Observacion_Directa!$A$2:$A$1000,$A524,Observacion_Directa!$B$2:$B$1000,"&gt;="&amp;DATEVALUE($B524&amp;"-01"),Observacion_Directa!$B$2:$B$1000,"&lt;="&amp;EOMONTH(DATEVALUE($B524&amp;"-01"),0)))-1)/4*100,"")</f>
        <v/>
      </c>
      <c r="Q524" t="str">
        <f>IF(H524="","",MIN(100,100*H524/Parametros!$B$4))</f>
        <v/>
      </c>
      <c r="R524" t="str">
        <f>IF(I524="","",IF(I524=0,100,MIN(100,100*Parametros!$B$5/I524)))</f>
        <v/>
      </c>
      <c r="S524" t="str">
        <f>IF(J524="","",IF(J524=0,100,MIN(100,100*Parametros!$B$6/J524)))</f>
        <v/>
      </c>
      <c r="T524" t="str">
        <f>IF(L524="","",MIN(100,100*L524/Parametros!$B$7))</f>
        <v/>
      </c>
      <c r="U524" t="str">
        <f>IF(K524="","",MIN(100,100*K524/Parametros!$B$8))</f>
        <v/>
      </c>
      <c r="V524" t="str">
        <f ca="1">IFERROR(((AVERAGEIFS(Documentacion!$C$2:$C$1000,Documentacion!$A$2:$A$1000,$A524,Documentacion!$B$2:$B$1000,"&gt;="&amp;DATEVALUE($B524&amp;"-01"),Documentacion!$B$2:$B$1000,"&lt;="&amp;EOMONTH(DATEVALUE($B524&amp;"-01"),0)))-1)/4*100,"")</f>
        <v/>
      </c>
      <c r="W524" t="str">
        <f ca="1">IFERROR(((AVERAGEIFS(Feedback_360!$D$2:$D$1000,Feedback_360!$A$2:$A$1000,$A524,Feedback_360!$B$2:$B$1000,"&gt;="&amp;DATEVALUE($B524&amp;"-01"),Feedback_360!$B$2:$B$1000,"&lt;="&amp;EOMONTH(DATEVALUE($B524&amp;"-01"),0)))-1)/4*100,"")</f>
        <v/>
      </c>
      <c r="X524" t="str">
        <f ca="1">IFERROR(((AVERAGEIFS(Observacion_Directa!$D$2:$D$1000,Observacion_Directa!$A$2:$A$1000,$A524,Observacion_Directa!$B$2:$B$1000,"&gt;="&amp;DATEVALUE($B524&amp;"-01"),Observacion_Directa!$B$2:$B$1000,"&lt;="&amp;EOMONTH(DATEVALUE($B524&amp;"-01"),0)))-1)/4*100,"")</f>
        <v/>
      </c>
      <c r="Y524" t="e">
        <f t="shared" ca="1" si="17"/>
        <v>#DIV/0!</v>
      </c>
    </row>
    <row r="525" spans="12:25" x14ac:dyDescent="0.2">
      <c r="L525" t="str">
        <f t="shared" si="16"/>
        <v/>
      </c>
      <c r="M525" t="str">
        <f>IFERROR(AVERAGEIFS(Prod_5dias!$H$2:$H$1000,Prod_5dias!$A$2:$A$1000,$A525,Prod_5dias!$B$2:$B$1000,$B525),"")</f>
        <v/>
      </c>
      <c r="N525" t="str">
        <f>IF(M525="","",MIN(100,100*M525/Parametros!$B$7))</f>
        <v/>
      </c>
      <c r="O525" t="str">
        <f>IF(F525="","",IF(F525=0,100,MIN(100,100*Parametros!$B$3/F525)))</f>
        <v/>
      </c>
      <c r="P525" t="str">
        <f ca="1">IFERROR(((AVERAGEIFS(Observacion_Directa!$E$2:$E$1000,Observacion_Directa!$A$2:$A$1000,$A525,Observacion_Directa!$B$2:$B$1000,"&gt;="&amp;DATEVALUE($B525&amp;"-01"),Observacion_Directa!$B$2:$B$1000,"&lt;="&amp;EOMONTH(DATEVALUE($B525&amp;"-01"),0)))-1)/4*100,"")</f>
        <v/>
      </c>
      <c r="Q525" t="str">
        <f>IF(H525="","",MIN(100,100*H525/Parametros!$B$4))</f>
        <v/>
      </c>
      <c r="R525" t="str">
        <f>IF(I525="","",IF(I525=0,100,MIN(100,100*Parametros!$B$5/I525)))</f>
        <v/>
      </c>
      <c r="S525" t="str">
        <f>IF(J525="","",IF(J525=0,100,MIN(100,100*Parametros!$B$6/J525)))</f>
        <v/>
      </c>
      <c r="T525" t="str">
        <f>IF(L525="","",MIN(100,100*L525/Parametros!$B$7))</f>
        <v/>
      </c>
      <c r="U525" t="str">
        <f>IF(K525="","",MIN(100,100*K525/Parametros!$B$8))</f>
        <v/>
      </c>
      <c r="V525" t="str">
        <f ca="1">IFERROR(((AVERAGEIFS(Documentacion!$C$2:$C$1000,Documentacion!$A$2:$A$1000,$A525,Documentacion!$B$2:$B$1000,"&gt;="&amp;DATEVALUE($B525&amp;"-01"),Documentacion!$B$2:$B$1000,"&lt;="&amp;EOMONTH(DATEVALUE($B525&amp;"-01"),0)))-1)/4*100,"")</f>
        <v/>
      </c>
      <c r="W525" t="str">
        <f ca="1">IFERROR(((AVERAGEIFS(Feedback_360!$D$2:$D$1000,Feedback_360!$A$2:$A$1000,$A525,Feedback_360!$B$2:$B$1000,"&gt;="&amp;DATEVALUE($B525&amp;"-01"),Feedback_360!$B$2:$B$1000,"&lt;="&amp;EOMONTH(DATEVALUE($B525&amp;"-01"),0)))-1)/4*100,"")</f>
        <v/>
      </c>
      <c r="X525" t="str">
        <f ca="1">IFERROR(((AVERAGEIFS(Observacion_Directa!$D$2:$D$1000,Observacion_Directa!$A$2:$A$1000,$A525,Observacion_Directa!$B$2:$B$1000,"&gt;="&amp;DATEVALUE($B525&amp;"-01"),Observacion_Directa!$B$2:$B$1000,"&lt;="&amp;EOMONTH(DATEVALUE($B525&amp;"-01"),0)))-1)/4*100,"")</f>
        <v/>
      </c>
      <c r="Y525" t="e">
        <f t="shared" ca="1" si="17"/>
        <v>#DIV/0!</v>
      </c>
    </row>
    <row r="526" spans="12:25" x14ac:dyDescent="0.2">
      <c r="L526" t="str">
        <f t="shared" si="16"/>
        <v/>
      </c>
      <c r="M526" t="str">
        <f>IFERROR(AVERAGEIFS(Prod_5dias!$H$2:$H$1000,Prod_5dias!$A$2:$A$1000,$A526,Prod_5dias!$B$2:$B$1000,$B526),"")</f>
        <v/>
      </c>
      <c r="N526" t="str">
        <f>IF(M526="","",MIN(100,100*M526/Parametros!$B$7))</f>
        <v/>
      </c>
      <c r="O526" t="str">
        <f>IF(F526="","",IF(F526=0,100,MIN(100,100*Parametros!$B$3/F526)))</f>
        <v/>
      </c>
      <c r="P526" t="str">
        <f ca="1">IFERROR(((AVERAGEIFS(Observacion_Directa!$E$2:$E$1000,Observacion_Directa!$A$2:$A$1000,$A526,Observacion_Directa!$B$2:$B$1000,"&gt;="&amp;DATEVALUE($B526&amp;"-01"),Observacion_Directa!$B$2:$B$1000,"&lt;="&amp;EOMONTH(DATEVALUE($B526&amp;"-01"),0)))-1)/4*100,"")</f>
        <v/>
      </c>
      <c r="Q526" t="str">
        <f>IF(H526="","",MIN(100,100*H526/Parametros!$B$4))</f>
        <v/>
      </c>
      <c r="R526" t="str">
        <f>IF(I526="","",IF(I526=0,100,MIN(100,100*Parametros!$B$5/I526)))</f>
        <v/>
      </c>
      <c r="S526" t="str">
        <f>IF(J526="","",IF(J526=0,100,MIN(100,100*Parametros!$B$6/J526)))</f>
        <v/>
      </c>
      <c r="T526" t="str">
        <f>IF(L526="","",MIN(100,100*L526/Parametros!$B$7))</f>
        <v/>
      </c>
      <c r="U526" t="str">
        <f>IF(K526="","",MIN(100,100*K526/Parametros!$B$8))</f>
        <v/>
      </c>
      <c r="V526" t="str">
        <f ca="1">IFERROR(((AVERAGEIFS(Documentacion!$C$2:$C$1000,Documentacion!$A$2:$A$1000,$A526,Documentacion!$B$2:$B$1000,"&gt;="&amp;DATEVALUE($B526&amp;"-01"),Documentacion!$B$2:$B$1000,"&lt;="&amp;EOMONTH(DATEVALUE($B526&amp;"-01"),0)))-1)/4*100,"")</f>
        <v/>
      </c>
      <c r="W526" t="str">
        <f ca="1">IFERROR(((AVERAGEIFS(Feedback_360!$D$2:$D$1000,Feedback_360!$A$2:$A$1000,$A526,Feedback_360!$B$2:$B$1000,"&gt;="&amp;DATEVALUE($B526&amp;"-01"),Feedback_360!$B$2:$B$1000,"&lt;="&amp;EOMONTH(DATEVALUE($B526&amp;"-01"),0)))-1)/4*100,"")</f>
        <v/>
      </c>
      <c r="X526" t="str">
        <f ca="1">IFERROR(((AVERAGEIFS(Observacion_Directa!$D$2:$D$1000,Observacion_Directa!$A$2:$A$1000,$A526,Observacion_Directa!$B$2:$B$1000,"&gt;="&amp;DATEVALUE($B526&amp;"-01"),Observacion_Directa!$B$2:$B$1000,"&lt;="&amp;EOMONTH(DATEVALUE($B526&amp;"-01"),0)))-1)/4*100,"")</f>
        <v/>
      </c>
      <c r="Y526" t="e">
        <f t="shared" ca="1" si="17"/>
        <v>#DIV/0!</v>
      </c>
    </row>
    <row r="527" spans="12:25" x14ac:dyDescent="0.2">
      <c r="L527" t="str">
        <f t="shared" si="16"/>
        <v/>
      </c>
      <c r="M527" t="str">
        <f>IFERROR(AVERAGEIFS(Prod_5dias!$H$2:$H$1000,Prod_5dias!$A$2:$A$1000,$A527,Prod_5dias!$B$2:$B$1000,$B527),"")</f>
        <v/>
      </c>
      <c r="N527" t="str">
        <f>IF(M527="","",MIN(100,100*M527/Parametros!$B$7))</f>
        <v/>
      </c>
      <c r="O527" t="str">
        <f>IF(F527="","",IF(F527=0,100,MIN(100,100*Parametros!$B$3/F527)))</f>
        <v/>
      </c>
      <c r="P527" t="str">
        <f ca="1">IFERROR(((AVERAGEIFS(Observacion_Directa!$E$2:$E$1000,Observacion_Directa!$A$2:$A$1000,$A527,Observacion_Directa!$B$2:$B$1000,"&gt;="&amp;DATEVALUE($B527&amp;"-01"),Observacion_Directa!$B$2:$B$1000,"&lt;="&amp;EOMONTH(DATEVALUE($B527&amp;"-01"),0)))-1)/4*100,"")</f>
        <v/>
      </c>
      <c r="Q527" t="str">
        <f>IF(H527="","",MIN(100,100*H527/Parametros!$B$4))</f>
        <v/>
      </c>
      <c r="R527" t="str">
        <f>IF(I527="","",IF(I527=0,100,MIN(100,100*Parametros!$B$5/I527)))</f>
        <v/>
      </c>
      <c r="S527" t="str">
        <f>IF(J527="","",IF(J527=0,100,MIN(100,100*Parametros!$B$6/J527)))</f>
        <v/>
      </c>
      <c r="T527" t="str">
        <f>IF(L527="","",MIN(100,100*L527/Parametros!$B$7))</f>
        <v/>
      </c>
      <c r="U527" t="str">
        <f>IF(K527="","",MIN(100,100*K527/Parametros!$B$8))</f>
        <v/>
      </c>
      <c r="V527" t="str">
        <f ca="1">IFERROR(((AVERAGEIFS(Documentacion!$C$2:$C$1000,Documentacion!$A$2:$A$1000,$A527,Documentacion!$B$2:$B$1000,"&gt;="&amp;DATEVALUE($B527&amp;"-01"),Documentacion!$B$2:$B$1000,"&lt;="&amp;EOMONTH(DATEVALUE($B527&amp;"-01"),0)))-1)/4*100,"")</f>
        <v/>
      </c>
      <c r="W527" t="str">
        <f ca="1">IFERROR(((AVERAGEIFS(Feedback_360!$D$2:$D$1000,Feedback_360!$A$2:$A$1000,$A527,Feedback_360!$B$2:$B$1000,"&gt;="&amp;DATEVALUE($B527&amp;"-01"),Feedback_360!$B$2:$B$1000,"&lt;="&amp;EOMONTH(DATEVALUE($B527&amp;"-01"),0)))-1)/4*100,"")</f>
        <v/>
      </c>
      <c r="X527" t="str">
        <f ca="1">IFERROR(((AVERAGEIFS(Observacion_Directa!$D$2:$D$1000,Observacion_Directa!$A$2:$A$1000,$A527,Observacion_Directa!$B$2:$B$1000,"&gt;="&amp;DATEVALUE($B527&amp;"-01"),Observacion_Directa!$B$2:$B$1000,"&lt;="&amp;EOMONTH(DATEVALUE($B527&amp;"-01"),0)))-1)/4*100,"")</f>
        <v/>
      </c>
      <c r="Y527" t="e">
        <f t="shared" ca="1" si="17"/>
        <v>#DIV/0!</v>
      </c>
    </row>
    <row r="528" spans="12:25" x14ac:dyDescent="0.2">
      <c r="L528" t="str">
        <f t="shared" si="16"/>
        <v/>
      </c>
      <c r="M528" t="str">
        <f>IFERROR(AVERAGEIFS(Prod_5dias!$H$2:$H$1000,Prod_5dias!$A$2:$A$1000,$A528,Prod_5dias!$B$2:$B$1000,$B528),"")</f>
        <v/>
      </c>
      <c r="N528" t="str">
        <f>IF(M528="","",MIN(100,100*M528/Parametros!$B$7))</f>
        <v/>
      </c>
      <c r="O528" t="str">
        <f>IF(F528="","",IF(F528=0,100,MIN(100,100*Parametros!$B$3/F528)))</f>
        <v/>
      </c>
      <c r="P528" t="str">
        <f ca="1">IFERROR(((AVERAGEIFS(Observacion_Directa!$E$2:$E$1000,Observacion_Directa!$A$2:$A$1000,$A528,Observacion_Directa!$B$2:$B$1000,"&gt;="&amp;DATEVALUE($B528&amp;"-01"),Observacion_Directa!$B$2:$B$1000,"&lt;="&amp;EOMONTH(DATEVALUE($B528&amp;"-01"),0)))-1)/4*100,"")</f>
        <v/>
      </c>
      <c r="Q528" t="str">
        <f>IF(H528="","",MIN(100,100*H528/Parametros!$B$4))</f>
        <v/>
      </c>
      <c r="R528" t="str">
        <f>IF(I528="","",IF(I528=0,100,MIN(100,100*Parametros!$B$5/I528)))</f>
        <v/>
      </c>
      <c r="S528" t="str">
        <f>IF(J528="","",IF(J528=0,100,MIN(100,100*Parametros!$B$6/J528)))</f>
        <v/>
      </c>
      <c r="T528" t="str">
        <f>IF(L528="","",MIN(100,100*L528/Parametros!$B$7))</f>
        <v/>
      </c>
      <c r="U528" t="str">
        <f>IF(K528="","",MIN(100,100*K528/Parametros!$B$8))</f>
        <v/>
      </c>
      <c r="V528" t="str">
        <f ca="1">IFERROR(((AVERAGEIFS(Documentacion!$C$2:$C$1000,Documentacion!$A$2:$A$1000,$A528,Documentacion!$B$2:$B$1000,"&gt;="&amp;DATEVALUE($B528&amp;"-01"),Documentacion!$B$2:$B$1000,"&lt;="&amp;EOMONTH(DATEVALUE($B528&amp;"-01"),0)))-1)/4*100,"")</f>
        <v/>
      </c>
      <c r="W528" t="str">
        <f ca="1">IFERROR(((AVERAGEIFS(Feedback_360!$D$2:$D$1000,Feedback_360!$A$2:$A$1000,$A528,Feedback_360!$B$2:$B$1000,"&gt;="&amp;DATEVALUE($B528&amp;"-01"),Feedback_360!$B$2:$B$1000,"&lt;="&amp;EOMONTH(DATEVALUE($B528&amp;"-01"),0)))-1)/4*100,"")</f>
        <v/>
      </c>
      <c r="X528" t="str">
        <f ca="1">IFERROR(((AVERAGEIFS(Observacion_Directa!$D$2:$D$1000,Observacion_Directa!$A$2:$A$1000,$A528,Observacion_Directa!$B$2:$B$1000,"&gt;="&amp;DATEVALUE($B528&amp;"-01"),Observacion_Directa!$B$2:$B$1000,"&lt;="&amp;EOMONTH(DATEVALUE($B528&amp;"-01"),0)))-1)/4*100,"")</f>
        <v/>
      </c>
      <c r="Y528" t="e">
        <f t="shared" ca="1" si="17"/>
        <v>#DIV/0!</v>
      </c>
    </row>
    <row r="529" spans="12:25" x14ac:dyDescent="0.2">
      <c r="L529" t="str">
        <f t="shared" si="16"/>
        <v/>
      </c>
      <c r="M529" t="str">
        <f>IFERROR(AVERAGEIFS(Prod_5dias!$H$2:$H$1000,Prod_5dias!$A$2:$A$1000,$A529,Prod_5dias!$B$2:$B$1000,$B529),"")</f>
        <v/>
      </c>
      <c r="N529" t="str">
        <f>IF(M529="","",MIN(100,100*M529/Parametros!$B$7))</f>
        <v/>
      </c>
      <c r="O529" t="str">
        <f>IF(F529="","",IF(F529=0,100,MIN(100,100*Parametros!$B$3/F529)))</f>
        <v/>
      </c>
      <c r="P529" t="str">
        <f ca="1">IFERROR(((AVERAGEIFS(Observacion_Directa!$E$2:$E$1000,Observacion_Directa!$A$2:$A$1000,$A529,Observacion_Directa!$B$2:$B$1000,"&gt;="&amp;DATEVALUE($B529&amp;"-01"),Observacion_Directa!$B$2:$B$1000,"&lt;="&amp;EOMONTH(DATEVALUE($B529&amp;"-01"),0)))-1)/4*100,"")</f>
        <v/>
      </c>
      <c r="Q529" t="str">
        <f>IF(H529="","",MIN(100,100*H529/Parametros!$B$4))</f>
        <v/>
      </c>
      <c r="R529" t="str">
        <f>IF(I529="","",IF(I529=0,100,MIN(100,100*Parametros!$B$5/I529)))</f>
        <v/>
      </c>
      <c r="S529" t="str">
        <f>IF(J529="","",IF(J529=0,100,MIN(100,100*Parametros!$B$6/J529)))</f>
        <v/>
      </c>
      <c r="T529" t="str">
        <f>IF(L529="","",MIN(100,100*L529/Parametros!$B$7))</f>
        <v/>
      </c>
      <c r="U529" t="str">
        <f>IF(K529="","",MIN(100,100*K529/Parametros!$B$8))</f>
        <v/>
      </c>
      <c r="V529" t="str">
        <f ca="1">IFERROR(((AVERAGEIFS(Documentacion!$C$2:$C$1000,Documentacion!$A$2:$A$1000,$A529,Documentacion!$B$2:$B$1000,"&gt;="&amp;DATEVALUE($B529&amp;"-01"),Documentacion!$B$2:$B$1000,"&lt;="&amp;EOMONTH(DATEVALUE($B529&amp;"-01"),0)))-1)/4*100,"")</f>
        <v/>
      </c>
      <c r="W529" t="str">
        <f ca="1">IFERROR(((AVERAGEIFS(Feedback_360!$D$2:$D$1000,Feedback_360!$A$2:$A$1000,$A529,Feedback_360!$B$2:$B$1000,"&gt;="&amp;DATEVALUE($B529&amp;"-01"),Feedback_360!$B$2:$B$1000,"&lt;="&amp;EOMONTH(DATEVALUE($B529&amp;"-01"),0)))-1)/4*100,"")</f>
        <v/>
      </c>
      <c r="X529" t="str">
        <f ca="1">IFERROR(((AVERAGEIFS(Observacion_Directa!$D$2:$D$1000,Observacion_Directa!$A$2:$A$1000,$A529,Observacion_Directa!$B$2:$B$1000,"&gt;="&amp;DATEVALUE($B529&amp;"-01"),Observacion_Directa!$B$2:$B$1000,"&lt;="&amp;EOMONTH(DATEVALUE($B529&amp;"-01"),0)))-1)/4*100,"")</f>
        <v/>
      </c>
      <c r="Y529" t="e">
        <f t="shared" ca="1" si="17"/>
        <v>#DIV/0!</v>
      </c>
    </row>
    <row r="530" spans="12:25" x14ac:dyDescent="0.2">
      <c r="L530" t="str">
        <f t="shared" si="16"/>
        <v/>
      </c>
      <c r="M530" t="str">
        <f>IFERROR(AVERAGEIFS(Prod_5dias!$H$2:$H$1000,Prod_5dias!$A$2:$A$1000,$A530,Prod_5dias!$B$2:$B$1000,$B530),"")</f>
        <v/>
      </c>
      <c r="N530" t="str">
        <f>IF(M530="","",MIN(100,100*M530/Parametros!$B$7))</f>
        <v/>
      </c>
      <c r="O530" t="str">
        <f>IF(F530="","",IF(F530=0,100,MIN(100,100*Parametros!$B$3/F530)))</f>
        <v/>
      </c>
      <c r="P530" t="str">
        <f ca="1">IFERROR(((AVERAGEIFS(Observacion_Directa!$E$2:$E$1000,Observacion_Directa!$A$2:$A$1000,$A530,Observacion_Directa!$B$2:$B$1000,"&gt;="&amp;DATEVALUE($B530&amp;"-01"),Observacion_Directa!$B$2:$B$1000,"&lt;="&amp;EOMONTH(DATEVALUE($B530&amp;"-01"),0)))-1)/4*100,"")</f>
        <v/>
      </c>
      <c r="Q530" t="str">
        <f>IF(H530="","",MIN(100,100*H530/Parametros!$B$4))</f>
        <v/>
      </c>
      <c r="R530" t="str">
        <f>IF(I530="","",IF(I530=0,100,MIN(100,100*Parametros!$B$5/I530)))</f>
        <v/>
      </c>
      <c r="S530" t="str">
        <f>IF(J530="","",IF(J530=0,100,MIN(100,100*Parametros!$B$6/J530)))</f>
        <v/>
      </c>
      <c r="T530" t="str">
        <f>IF(L530="","",MIN(100,100*L530/Parametros!$B$7))</f>
        <v/>
      </c>
      <c r="U530" t="str">
        <f>IF(K530="","",MIN(100,100*K530/Parametros!$B$8))</f>
        <v/>
      </c>
      <c r="V530" t="str">
        <f ca="1">IFERROR(((AVERAGEIFS(Documentacion!$C$2:$C$1000,Documentacion!$A$2:$A$1000,$A530,Documentacion!$B$2:$B$1000,"&gt;="&amp;DATEVALUE($B530&amp;"-01"),Documentacion!$B$2:$B$1000,"&lt;="&amp;EOMONTH(DATEVALUE($B530&amp;"-01"),0)))-1)/4*100,"")</f>
        <v/>
      </c>
      <c r="W530" t="str">
        <f ca="1">IFERROR(((AVERAGEIFS(Feedback_360!$D$2:$D$1000,Feedback_360!$A$2:$A$1000,$A530,Feedback_360!$B$2:$B$1000,"&gt;="&amp;DATEVALUE($B530&amp;"-01"),Feedback_360!$B$2:$B$1000,"&lt;="&amp;EOMONTH(DATEVALUE($B530&amp;"-01"),0)))-1)/4*100,"")</f>
        <v/>
      </c>
      <c r="X530" t="str">
        <f ca="1">IFERROR(((AVERAGEIFS(Observacion_Directa!$D$2:$D$1000,Observacion_Directa!$A$2:$A$1000,$A530,Observacion_Directa!$B$2:$B$1000,"&gt;="&amp;DATEVALUE($B530&amp;"-01"),Observacion_Directa!$B$2:$B$1000,"&lt;="&amp;EOMONTH(DATEVALUE($B530&amp;"-01"),0)))-1)/4*100,"")</f>
        <v/>
      </c>
      <c r="Y530" t="e">
        <f t="shared" ca="1" si="17"/>
        <v>#DIV/0!</v>
      </c>
    </row>
    <row r="531" spans="12:25" x14ac:dyDescent="0.2">
      <c r="L531" t="str">
        <f t="shared" si="16"/>
        <v/>
      </c>
      <c r="M531" t="str">
        <f>IFERROR(AVERAGEIFS(Prod_5dias!$H$2:$H$1000,Prod_5dias!$A$2:$A$1000,$A531,Prod_5dias!$B$2:$B$1000,$B531),"")</f>
        <v/>
      </c>
      <c r="N531" t="str">
        <f>IF(M531="","",MIN(100,100*M531/Parametros!$B$7))</f>
        <v/>
      </c>
      <c r="O531" t="str">
        <f>IF(F531="","",IF(F531=0,100,MIN(100,100*Parametros!$B$3/F531)))</f>
        <v/>
      </c>
      <c r="P531" t="str">
        <f ca="1">IFERROR(((AVERAGEIFS(Observacion_Directa!$E$2:$E$1000,Observacion_Directa!$A$2:$A$1000,$A531,Observacion_Directa!$B$2:$B$1000,"&gt;="&amp;DATEVALUE($B531&amp;"-01"),Observacion_Directa!$B$2:$B$1000,"&lt;="&amp;EOMONTH(DATEVALUE($B531&amp;"-01"),0)))-1)/4*100,"")</f>
        <v/>
      </c>
      <c r="Q531" t="str">
        <f>IF(H531="","",MIN(100,100*H531/Parametros!$B$4))</f>
        <v/>
      </c>
      <c r="R531" t="str">
        <f>IF(I531="","",IF(I531=0,100,MIN(100,100*Parametros!$B$5/I531)))</f>
        <v/>
      </c>
      <c r="S531" t="str">
        <f>IF(J531="","",IF(J531=0,100,MIN(100,100*Parametros!$B$6/J531)))</f>
        <v/>
      </c>
      <c r="T531" t="str">
        <f>IF(L531="","",MIN(100,100*L531/Parametros!$B$7))</f>
        <v/>
      </c>
      <c r="U531" t="str">
        <f>IF(K531="","",MIN(100,100*K531/Parametros!$B$8))</f>
        <v/>
      </c>
      <c r="V531" t="str">
        <f ca="1">IFERROR(((AVERAGEIFS(Documentacion!$C$2:$C$1000,Documentacion!$A$2:$A$1000,$A531,Documentacion!$B$2:$B$1000,"&gt;="&amp;DATEVALUE($B531&amp;"-01"),Documentacion!$B$2:$B$1000,"&lt;="&amp;EOMONTH(DATEVALUE($B531&amp;"-01"),0)))-1)/4*100,"")</f>
        <v/>
      </c>
      <c r="W531" t="str">
        <f ca="1">IFERROR(((AVERAGEIFS(Feedback_360!$D$2:$D$1000,Feedback_360!$A$2:$A$1000,$A531,Feedback_360!$B$2:$B$1000,"&gt;="&amp;DATEVALUE($B531&amp;"-01"),Feedback_360!$B$2:$B$1000,"&lt;="&amp;EOMONTH(DATEVALUE($B531&amp;"-01"),0)))-1)/4*100,"")</f>
        <v/>
      </c>
      <c r="X531" t="str">
        <f ca="1">IFERROR(((AVERAGEIFS(Observacion_Directa!$D$2:$D$1000,Observacion_Directa!$A$2:$A$1000,$A531,Observacion_Directa!$B$2:$B$1000,"&gt;="&amp;DATEVALUE($B531&amp;"-01"),Observacion_Directa!$B$2:$B$1000,"&lt;="&amp;EOMONTH(DATEVALUE($B531&amp;"-01"),0)))-1)/4*100,"")</f>
        <v/>
      </c>
      <c r="Y531" t="e">
        <f t="shared" ca="1" si="17"/>
        <v>#DIV/0!</v>
      </c>
    </row>
    <row r="532" spans="12:25" x14ac:dyDescent="0.2">
      <c r="L532" t="str">
        <f t="shared" si="16"/>
        <v/>
      </c>
      <c r="M532" t="str">
        <f>IFERROR(AVERAGEIFS(Prod_5dias!$H$2:$H$1000,Prod_5dias!$A$2:$A$1000,$A532,Prod_5dias!$B$2:$B$1000,$B532),"")</f>
        <v/>
      </c>
      <c r="N532" t="str">
        <f>IF(M532="","",MIN(100,100*M532/Parametros!$B$7))</f>
        <v/>
      </c>
      <c r="O532" t="str">
        <f>IF(F532="","",IF(F532=0,100,MIN(100,100*Parametros!$B$3/F532)))</f>
        <v/>
      </c>
      <c r="P532" t="str">
        <f ca="1">IFERROR(((AVERAGEIFS(Observacion_Directa!$E$2:$E$1000,Observacion_Directa!$A$2:$A$1000,$A532,Observacion_Directa!$B$2:$B$1000,"&gt;="&amp;DATEVALUE($B532&amp;"-01"),Observacion_Directa!$B$2:$B$1000,"&lt;="&amp;EOMONTH(DATEVALUE($B532&amp;"-01"),0)))-1)/4*100,"")</f>
        <v/>
      </c>
      <c r="Q532" t="str">
        <f>IF(H532="","",MIN(100,100*H532/Parametros!$B$4))</f>
        <v/>
      </c>
      <c r="R532" t="str">
        <f>IF(I532="","",IF(I532=0,100,MIN(100,100*Parametros!$B$5/I532)))</f>
        <v/>
      </c>
      <c r="S532" t="str">
        <f>IF(J532="","",IF(J532=0,100,MIN(100,100*Parametros!$B$6/J532)))</f>
        <v/>
      </c>
      <c r="T532" t="str">
        <f>IF(L532="","",MIN(100,100*L532/Parametros!$B$7))</f>
        <v/>
      </c>
      <c r="U532" t="str">
        <f>IF(K532="","",MIN(100,100*K532/Parametros!$B$8))</f>
        <v/>
      </c>
      <c r="V532" t="str">
        <f ca="1">IFERROR(((AVERAGEIFS(Documentacion!$C$2:$C$1000,Documentacion!$A$2:$A$1000,$A532,Documentacion!$B$2:$B$1000,"&gt;="&amp;DATEVALUE($B532&amp;"-01"),Documentacion!$B$2:$B$1000,"&lt;="&amp;EOMONTH(DATEVALUE($B532&amp;"-01"),0)))-1)/4*100,"")</f>
        <v/>
      </c>
      <c r="W532" t="str">
        <f ca="1">IFERROR(((AVERAGEIFS(Feedback_360!$D$2:$D$1000,Feedback_360!$A$2:$A$1000,$A532,Feedback_360!$B$2:$B$1000,"&gt;="&amp;DATEVALUE($B532&amp;"-01"),Feedback_360!$B$2:$B$1000,"&lt;="&amp;EOMONTH(DATEVALUE($B532&amp;"-01"),0)))-1)/4*100,"")</f>
        <v/>
      </c>
      <c r="X532" t="str">
        <f ca="1">IFERROR(((AVERAGEIFS(Observacion_Directa!$D$2:$D$1000,Observacion_Directa!$A$2:$A$1000,$A532,Observacion_Directa!$B$2:$B$1000,"&gt;="&amp;DATEVALUE($B532&amp;"-01"),Observacion_Directa!$B$2:$B$1000,"&lt;="&amp;EOMONTH(DATEVALUE($B532&amp;"-01"),0)))-1)/4*100,"")</f>
        <v/>
      </c>
      <c r="Y532" t="e">
        <f t="shared" ca="1" si="17"/>
        <v>#DIV/0!</v>
      </c>
    </row>
    <row r="533" spans="12:25" x14ac:dyDescent="0.2">
      <c r="L533" t="str">
        <f t="shared" si="16"/>
        <v/>
      </c>
      <c r="M533" t="str">
        <f>IFERROR(AVERAGEIFS(Prod_5dias!$H$2:$H$1000,Prod_5dias!$A$2:$A$1000,$A533,Prod_5dias!$B$2:$B$1000,$B533),"")</f>
        <v/>
      </c>
      <c r="N533" t="str">
        <f>IF(M533="","",MIN(100,100*M533/Parametros!$B$7))</f>
        <v/>
      </c>
      <c r="O533" t="str">
        <f>IF(F533="","",IF(F533=0,100,MIN(100,100*Parametros!$B$3/F533)))</f>
        <v/>
      </c>
      <c r="P533" t="str">
        <f ca="1">IFERROR(((AVERAGEIFS(Observacion_Directa!$E$2:$E$1000,Observacion_Directa!$A$2:$A$1000,$A533,Observacion_Directa!$B$2:$B$1000,"&gt;="&amp;DATEVALUE($B533&amp;"-01"),Observacion_Directa!$B$2:$B$1000,"&lt;="&amp;EOMONTH(DATEVALUE($B533&amp;"-01"),0)))-1)/4*100,"")</f>
        <v/>
      </c>
      <c r="Q533" t="str">
        <f>IF(H533="","",MIN(100,100*H533/Parametros!$B$4))</f>
        <v/>
      </c>
      <c r="R533" t="str">
        <f>IF(I533="","",IF(I533=0,100,MIN(100,100*Parametros!$B$5/I533)))</f>
        <v/>
      </c>
      <c r="S533" t="str">
        <f>IF(J533="","",IF(J533=0,100,MIN(100,100*Parametros!$B$6/J533)))</f>
        <v/>
      </c>
      <c r="T533" t="str">
        <f>IF(L533="","",MIN(100,100*L533/Parametros!$B$7))</f>
        <v/>
      </c>
      <c r="U533" t="str">
        <f>IF(K533="","",MIN(100,100*K533/Parametros!$B$8))</f>
        <v/>
      </c>
      <c r="V533" t="str">
        <f ca="1">IFERROR(((AVERAGEIFS(Documentacion!$C$2:$C$1000,Documentacion!$A$2:$A$1000,$A533,Documentacion!$B$2:$B$1000,"&gt;="&amp;DATEVALUE($B533&amp;"-01"),Documentacion!$B$2:$B$1000,"&lt;="&amp;EOMONTH(DATEVALUE($B533&amp;"-01"),0)))-1)/4*100,"")</f>
        <v/>
      </c>
      <c r="W533" t="str">
        <f ca="1">IFERROR(((AVERAGEIFS(Feedback_360!$D$2:$D$1000,Feedback_360!$A$2:$A$1000,$A533,Feedback_360!$B$2:$B$1000,"&gt;="&amp;DATEVALUE($B533&amp;"-01"),Feedback_360!$B$2:$B$1000,"&lt;="&amp;EOMONTH(DATEVALUE($B533&amp;"-01"),0)))-1)/4*100,"")</f>
        <v/>
      </c>
      <c r="X533" t="str">
        <f ca="1">IFERROR(((AVERAGEIFS(Observacion_Directa!$D$2:$D$1000,Observacion_Directa!$A$2:$A$1000,$A533,Observacion_Directa!$B$2:$B$1000,"&gt;="&amp;DATEVALUE($B533&amp;"-01"),Observacion_Directa!$B$2:$B$1000,"&lt;="&amp;EOMONTH(DATEVALUE($B533&amp;"-01"),0)))-1)/4*100,"")</f>
        <v/>
      </c>
      <c r="Y533" t="e">
        <f t="shared" ca="1" si="17"/>
        <v>#DIV/0!</v>
      </c>
    </row>
    <row r="534" spans="12:25" x14ac:dyDescent="0.2">
      <c r="L534" t="str">
        <f t="shared" si="16"/>
        <v/>
      </c>
      <c r="M534" t="str">
        <f>IFERROR(AVERAGEIFS(Prod_5dias!$H$2:$H$1000,Prod_5dias!$A$2:$A$1000,$A534,Prod_5dias!$B$2:$B$1000,$B534),"")</f>
        <v/>
      </c>
      <c r="N534" t="str">
        <f>IF(M534="","",MIN(100,100*M534/Parametros!$B$7))</f>
        <v/>
      </c>
      <c r="O534" t="str">
        <f>IF(F534="","",IF(F534=0,100,MIN(100,100*Parametros!$B$3/F534)))</f>
        <v/>
      </c>
      <c r="P534" t="str">
        <f ca="1">IFERROR(((AVERAGEIFS(Observacion_Directa!$E$2:$E$1000,Observacion_Directa!$A$2:$A$1000,$A534,Observacion_Directa!$B$2:$B$1000,"&gt;="&amp;DATEVALUE($B534&amp;"-01"),Observacion_Directa!$B$2:$B$1000,"&lt;="&amp;EOMONTH(DATEVALUE($B534&amp;"-01"),0)))-1)/4*100,"")</f>
        <v/>
      </c>
      <c r="Q534" t="str">
        <f>IF(H534="","",MIN(100,100*H534/Parametros!$B$4))</f>
        <v/>
      </c>
      <c r="R534" t="str">
        <f>IF(I534="","",IF(I534=0,100,MIN(100,100*Parametros!$B$5/I534)))</f>
        <v/>
      </c>
      <c r="S534" t="str">
        <f>IF(J534="","",IF(J534=0,100,MIN(100,100*Parametros!$B$6/J534)))</f>
        <v/>
      </c>
      <c r="T534" t="str">
        <f>IF(L534="","",MIN(100,100*L534/Parametros!$B$7))</f>
        <v/>
      </c>
      <c r="U534" t="str">
        <f>IF(K534="","",MIN(100,100*K534/Parametros!$B$8))</f>
        <v/>
      </c>
      <c r="V534" t="str">
        <f ca="1">IFERROR(((AVERAGEIFS(Documentacion!$C$2:$C$1000,Documentacion!$A$2:$A$1000,$A534,Documentacion!$B$2:$B$1000,"&gt;="&amp;DATEVALUE($B534&amp;"-01"),Documentacion!$B$2:$B$1000,"&lt;="&amp;EOMONTH(DATEVALUE($B534&amp;"-01"),0)))-1)/4*100,"")</f>
        <v/>
      </c>
      <c r="W534" t="str">
        <f ca="1">IFERROR(((AVERAGEIFS(Feedback_360!$D$2:$D$1000,Feedback_360!$A$2:$A$1000,$A534,Feedback_360!$B$2:$B$1000,"&gt;="&amp;DATEVALUE($B534&amp;"-01"),Feedback_360!$B$2:$B$1000,"&lt;="&amp;EOMONTH(DATEVALUE($B534&amp;"-01"),0)))-1)/4*100,"")</f>
        <v/>
      </c>
      <c r="X534" t="str">
        <f ca="1">IFERROR(((AVERAGEIFS(Observacion_Directa!$D$2:$D$1000,Observacion_Directa!$A$2:$A$1000,$A534,Observacion_Directa!$B$2:$B$1000,"&gt;="&amp;DATEVALUE($B534&amp;"-01"),Observacion_Directa!$B$2:$B$1000,"&lt;="&amp;EOMONTH(DATEVALUE($B534&amp;"-01"),0)))-1)/4*100,"")</f>
        <v/>
      </c>
      <c r="Y534" t="e">
        <f t="shared" ca="1" si="17"/>
        <v>#DIV/0!</v>
      </c>
    </row>
    <row r="535" spans="12:25" x14ac:dyDescent="0.2">
      <c r="L535" t="str">
        <f t="shared" si="16"/>
        <v/>
      </c>
      <c r="M535" t="str">
        <f>IFERROR(AVERAGEIFS(Prod_5dias!$H$2:$H$1000,Prod_5dias!$A$2:$A$1000,$A535,Prod_5dias!$B$2:$B$1000,$B535),"")</f>
        <v/>
      </c>
      <c r="N535" t="str">
        <f>IF(M535="","",MIN(100,100*M535/Parametros!$B$7))</f>
        <v/>
      </c>
      <c r="O535" t="str">
        <f>IF(F535="","",IF(F535=0,100,MIN(100,100*Parametros!$B$3/F535)))</f>
        <v/>
      </c>
      <c r="P535" t="str">
        <f ca="1">IFERROR(((AVERAGEIFS(Observacion_Directa!$E$2:$E$1000,Observacion_Directa!$A$2:$A$1000,$A535,Observacion_Directa!$B$2:$B$1000,"&gt;="&amp;DATEVALUE($B535&amp;"-01"),Observacion_Directa!$B$2:$B$1000,"&lt;="&amp;EOMONTH(DATEVALUE($B535&amp;"-01"),0)))-1)/4*100,"")</f>
        <v/>
      </c>
      <c r="Q535" t="str">
        <f>IF(H535="","",MIN(100,100*H535/Parametros!$B$4))</f>
        <v/>
      </c>
      <c r="R535" t="str">
        <f>IF(I535="","",IF(I535=0,100,MIN(100,100*Parametros!$B$5/I535)))</f>
        <v/>
      </c>
      <c r="S535" t="str">
        <f>IF(J535="","",IF(J535=0,100,MIN(100,100*Parametros!$B$6/J535)))</f>
        <v/>
      </c>
      <c r="T535" t="str">
        <f>IF(L535="","",MIN(100,100*L535/Parametros!$B$7))</f>
        <v/>
      </c>
      <c r="U535" t="str">
        <f>IF(K535="","",MIN(100,100*K535/Parametros!$B$8))</f>
        <v/>
      </c>
      <c r="V535" t="str">
        <f ca="1">IFERROR(((AVERAGEIFS(Documentacion!$C$2:$C$1000,Documentacion!$A$2:$A$1000,$A535,Documentacion!$B$2:$B$1000,"&gt;="&amp;DATEVALUE($B535&amp;"-01"),Documentacion!$B$2:$B$1000,"&lt;="&amp;EOMONTH(DATEVALUE($B535&amp;"-01"),0)))-1)/4*100,"")</f>
        <v/>
      </c>
      <c r="W535" t="str">
        <f ca="1">IFERROR(((AVERAGEIFS(Feedback_360!$D$2:$D$1000,Feedback_360!$A$2:$A$1000,$A535,Feedback_360!$B$2:$B$1000,"&gt;="&amp;DATEVALUE($B535&amp;"-01"),Feedback_360!$B$2:$B$1000,"&lt;="&amp;EOMONTH(DATEVALUE($B535&amp;"-01"),0)))-1)/4*100,"")</f>
        <v/>
      </c>
      <c r="X535" t="str">
        <f ca="1">IFERROR(((AVERAGEIFS(Observacion_Directa!$D$2:$D$1000,Observacion_Directa!$A$2:$A$1000,$A535,Observacion_Directa!$B$2:$B$1000,"&gt;="&amp;DATEVALUE($B535&amp;"-01"),Observacion_Directa!$B$2:$B$1000,"&lt;="&amp;EOMONTH(DATEVALUE($B535&amp;"-01"),0)))-1)/4*100,"")</f>
        <v/>
      </c>
      <c r="Y535" t="e">
        <f t="shared" ca="1" si="17"/>
        <v>#DIV/0!</v>
      </c>
    </row>
    <row r="536" spans="12:25" x14ac:dyDescent="0.2">
      <c r="L536" t="str">
        <f t="shared" si="16"/>
        <v/>
      </c>
      <c r="M536" t="str">
        <f>IFERROR(AVERAGEIFS(Prod_5dias!$H$2:$H$1000,Prod_5dias!$A$2:$A$1000,$A536,Prod_5dias!$B$2:$B$1000,$B536),"")</f>
        <v/>
      </c>
      <c r="N536" t="str">
        <f>IF(M536="","",MIN(100,100*M536/Parametros!$B$7))</f>
        <v/>
      </c>
      <c r="O536" t="str">
        <f>IF(F536="","",IF(F536=0,100,MIN(100,100*Parametros!$B$3/F536)))</f>
        <v/>
      </c>
      <c r="P536" t="str">
        <f ca="1">IFERROR(((AVERAGEIFS(Observacion_Directa!$E$2:$E$1000,Observacion_Directa!$A$2:$A$1000,$A536,Observacion_Directa!$B$2:$B$1000,"&gt;="&amp;DATEVALUE($B536&amp;"-01"),Observacion_Directa!$B$2:$B$1000,"&lt;="&amp;EOMONTH(DATEVALUE($B536&amp;"-01"),0)))-1)/4*100,"")</f>
        <v/>
      </c>
      <c r="Q536" t="str">
        <f>IF(H536="","",MIN(100,100*H536/Parametros!$B$4))</f>
        <v/>
      </c>
      <c r="R536" t="str">
        <f>IF(I536="","",IF(I536=0,100,MIN(100,100*Parametros!$B$5/I536)))</f>
        <v/>
      </c>
      <c r="S536" t="str">
        <f>IF(J536="","",IF(J536=0,100,MIN(100,100*Parametros!$B$6/J536)))</f>
        <v/>
      </c>
      <c r="T536" t="str">
        <f>IF(L536="","",MIN(100,100*L536/Parametros!$B$7))</f>
        <v/>
      </c>
      <c r="U536" t="str">
        <f>IF(K536="","",MIN(100,100*K536/Parametros!$B$8))</f>
        <v/>
      </c>
      <c r="V536" t="str">
        <f ca="1">IFERROR(((AVERAGEIFS(Documentacion!$C$2:$C$1000,Documentacion!$A$2:$A$1000,$A536,Documentacion!$B$2:$B$1000,"&gt;="&amp;DATEVALUE($B536&amp;"-01"),Documentacion!$B$2:$B$1000,"&lt;="&amp;EOMONTH(DATEVALUE($B536&amp;"-01"),0)))-1)/4*100,"")</f>
        <v/>
      </c>
      <c r="W536" t="str">
        <f ca="1">IFERROR(((AVERAGEIFS(Feedback_360!$D$2:$D$1000,Feedback_360!$A$2:$A$1000,$A536,Feedback_360!$B$2:$B$1000,"&gt;="&amp;DATEVALUE($B536&amp;"-01"),Feedback_360!$B$2:$B$1000,"&lt;="&amp;EOMONTH(DATEVALUE($B536&amp;"-01"),0)))-1)/4*100,"")</f>
        <v/>
      </c>
      <c r="X536" t="str">
        <f ca="1">IFERROR(((AVERAGEIFS(Observacion_Directa!$D$2:$D$1000,Observacion_Directa!$A$2:$A$1000,$A536,Observacion_Directa!$B$2:$B$1000,"&gt;="&amp;DATEVALUE($B536&amp;"-01"),Observacion_Directa!$B$2:$B$1000,"&lt;="&amp;EOMONTH(DATEVALUE($B536&amp;"-01"),0)))-1)/4*100,"")</f>
        <v/>
      </c>
      <c r="Y536" t="e">
        <f t="shared" ca="1" si="17"/>
        <v>#DIV/0!</v>
      </c>
    </row>
    <row r="537" spans="12:25" x14ac:dyDescent="0.2">
      <c r="L537" t="str">
        <f t="shared" si="16"/>
        <v/>
      </c>
      <c r="M537" t="str">
        <f>IFERROR(AVERAGEIFS(Prod_5dias!$H$2:$H$1000,Prod_5dias!$A$2:$A$1000,$A537,Prod_5dias!$B$2:$B$1000,$B537),"")</f>
        <v/>
      </c>
      <c r="N537" t="str">
        <f>IF(M537="","",MIN(100,100*M537/Parametros!$B$7))</f>
        <v/>
      </c>
      <c r="O537" t="str">
        <f>IF(F537="","",IF(F537=0,100,MIN(100,100*Parametros!$B$3/F537)))</f>
        <v/>
      </c>
      <c r="P537" t="str">
        <f ca="1">IFERROR(((AVERAGEIFS(Observacion_Directa!$E$2:$E$1000,Observacion_Directa!$A$2:$A$1000,$A537,Observacion_Directa!$B$2:$B$1000,"&gt;="&amp;DATEVALUE($B537&amp;"-01"),Observacion_Directa!$B$2:$B$1000,"&lt;="&amp;EOMONTH(DATEVALUE($B537&amp;"-01"),0)))-1)/4*100,"")</f>
        <v/>
      </c>
      <c r="Q537" t="str">
        <f>IF(H537="","",MIN(100,100*H537/Parametros!$B$4))</f>
        <v/>
      </c>
      <c r="R537" t="str">
        <f>IF(I537="","",IF(I537=0,100,MIN(100,100*Parametros!$B$5/I537)))</f>
        <v/>
      </c>
      <c r="S537" t="str">
        <f>IF(J537="","",IF(J537=0,100,MIN(100,100*Parametros!$B$6/J537)))</f>
        <v/>
      </c>
      <c r="T537" t="str">
        <f>IF(L537="","",MIN(100,100*L537/Parametros!$B$7))</f>
        <v/>
      </c>
      <c r="U537" t="str">
        <f>IF(K537="","",MIN(100,100*K537/Parametros!$B$8))</f>
        <v/>
      </c>
      <c r="V537" t="str">
        <f ca="1">IFERROR(((AVERAGEIFS(Documentacion!$C$2:$C$1000,Documentacion!$A$2:$A$1000,$A537,Documentacion!$B$2:$B$1000,"&gt;="&amp;DATEVALUE($B537&amp;"-01"),Documentacion!$B$2:$B$1000,"&lt;="&amp;EOMONTH(DATEVALUE($B537&amp;"-01"),0)))-1)/4*100,"")</f>
        <v/>
      </c>
      <c r="W537" t="str">
        <f ca="1">IFERROR(((AVERAGEIFS(Feedback_360!$D$2:$D$1000,Feedback_360!$A$2:$A$1000,$A537,Feedback_360!$B$2:$B$1000,"&gt;="&amp;DATEVALUE($B537&amp;"-01"),Feedback_360!$B$2:$B$1000,"&lt;="&amp;EOMONTH(DATEVALUE($B537&amp;"-01"),0)))-1)/4*100,"")</f>
        <v/>
      </c>
      <c r="X537" t="str">
        <f ca="1">IFERROR(((AVERAGEIFS(Observacion_Directa!$D$2:$D$1000,Observacion_Directa!$A$2:$A$1000,$A537,Observacion_Directa!$B$2:$B$1000,"&gt;="&amp;DATEVALUE($B537&amp;"-01"),Observacion_Directa!$B$2:$B$1000,"&lt;="&amp;EOMONTH(DATEVALUE($B537&amp;"-01"),0)))-1)/4*100,"")</f>
        <v/>
      </c>
      <c r="Y537" t="e">
        <f t="shared" ca="1" si="17"/>
        <v>#DIV/0!</v>
      </c>
    </row>
    <row r="538" spans="12:25" x14ac:dyDescent="0.2">
      <c r="L538" t="str">
        <f t="shared" si="16"/>
        <v/>
      </c>
      <c r="M538" t="str">
        <f>IFERROR(AVERAGEIFS(Prod_5dias!$H$2:$H$1000,Prod_5dias!$A$2:$A$1000,$A538,Prod_5dias!$B$2:$B$1000,$B538),"")</f>
        <v/>
      </c>
      <c r="N538" t="str">
        <f>IF(M538="","",MIN(100,100*M538/Parametros!$B$7))</f>
        <v/>
      </c>
      <c r="O538" t="str">
        <f>IF(F538="","",IF(F538=0,100,MIN(100,100*Parametros!$B$3/F538)))</f>
        <v/>
      </c>
      <c r="P538" t="str">
        <f ca="1">IFERROR(((AVERAGEIFS(Observacion_Directa!$E$2:$E$1000,Observacion_Directa!$A$2:$A$1000,$A538,Observacion_Directa!$B$2:$B$1000,"&gt;="&amp;DATEVALUE($B538&amp;"-01"),Observacion_Directa!$B$2:$B$1000,"&lt;="&amp;EOMONTH(DATEVALUE($B538&amp;"-01"),0)))-1)/4*100,"")</f>
        <v/>
      </c>
      <c r="Q538" t="str">
        <f>IF(H538="","",MIN(100,100*H538/Parametros!$B$4))</f>
        <v/>
      </c>
      <c r="R538" t="str">
        <f>IF(I538="","",IF(I538=0,100,MIN(100,100*Parametros!$B$5/I538)))</f>
        <v/>
      </c>
      <c r="S538" t="str">
        <f>IF(J538="","",IF(J538=0,100,MIN(100,100*Parametros!$B$6/J538)))</f>
        <v/>
      </c>
      <c r="T538" t="str">
        <f>IF(L538="","",MIN(100,100*L538/Parametros!$B$7))</f>
        <v/>
      </c>
      <c r="U538" t="str">
        <f>IF(K538="","",MIN(100,100*K538/Parametros!$B$8))</f>
        <v/>
      </c>
      <c r="V538" t="str">
        <f ca="1">IFERROR(((AVERAGEIFS(Documentacion!$C$2:$C$1000,Documentacion!$A$2:$A$1000,$A538,Documentacion!$B$2:$B$1000,"&gt;="&amp;DATEVALUE($B538&amp;"-01"),Documentacion!$B$2:$B$1000,"&lt;="&amp;EOMONTH(DATEVALUE($B538&amp;"-01"),0)))-1)/4*100,"")</f>
        <v/>
      </c>
      <c r="W538" t="str">
        <f ca="1">IFERROR(((AVERAGEIFS(Feedback_360!$D$2:$D$1000,Feedback_360!$A$2:$A$1000,$A538,Feedback_360!$B$2:$B$1000,"&gt;="&amp;DATEVALUE($B538&amp;"-01"),Feedback_360!$B$2:$B$1000,"&lt;="&amp;EOMONTH(DATEVALUE($B538&amp;"-01"),0)))-1)/4*100,"")</f>
        <v/>
      </c>
      <c r="X538" t="str">
        <f ca="1">IFERROR(((AVERAGEIFS(Observacion_Directa!$D$2:$D$1000,Observacion_Directa!$A$2:$A$1000,$A538,Observacion_Directa!$B$2:$B$1000,"&gt;="&amp;DATEVALUE($B538&amp;"-01"),Observacion_Directa!$B$2:$B$1000,"&lt;="&amp;EOMONTH(DATEVALUE($B538&amp;"-01"),0)))-1)/4*100,"")</f>
        <v/>
      </c>
      <c r="Y538" t="e">
        <f t="shared" ca="1" si="17"/>
        <v>#DIV/0!</v>
      </c>
    </row>
    <row r="539" spans="12:25" x14ac:dyDescent="0.2">
      <c r="L539" t="str">
        <f t="shared" si="16"/>
        <v/>
      </c>
      <c r="M539" t="str">
        <f>IFERROR(AVERAGEIFS(Prod_5dias!$H$2:$H$1000,Prod_5dias!$A$2:$A$1000,$A539,Prod_5dias!$B$2:$B$1000,$B539),"")</f>
        <v/>
      </c>
      <c r="N539" t="str">
        <f>IF(M539="","",MIN(100,100*M539/Parametros!$B$7))</f>
        <v/>
      </c>
      <c r="O539" t="str">
        <f>IF(F539="","",IF(F539=0,100,MIN(100,100*Parametros!$B$3/F539)))</f>
        <v/>
      </c>
      <c r="P539" t="str">
        <f ca="1">IFERROR(((AVERAGEIFS(Observacion_Directa!$E$2:$E$1000,Observacion_Directa!$A$2:$A$1000,$A539,Observacion_Directa!$B$2:$B$1000,"&gt;="&amp;DATEVALUE($B539&amp;"-01"),Observacion_Directa!$B$2:$B$1000,"&lt;="&amp;EOMONTH(DATEVALUE($B539&amp;"-01"),0)))-1)/4*100,"")</f>
        <v/>
      </c>
      <c r="Q539" t="str">
        <f>IF(H539="","",MIN(100,100*H539/Parametros!$B$4))</f>
        <v/>
      </c>
      <c r="R539" t="str">
        <f>IF(I539="","",IF(I539=0,100,MIN(100,100*Parametros!$B$5/I539)))</f>
        <v/>
      </c>
      <c r="S539" t="str">
        <f>IF(J539="","",IF(J539=0,100,MIN(100,100*Parametros!$B$6/J539)))</f>
        <v/>
      </c>
      <c r="T539" t="str">
        <f>IF(L539="","",MIN(100,100*L539/Parametros!$B$7))</f>
        <v/>
      </c>
      <c r="U539" t="str">
        <f>IF(K539="","",MIN(100,100*K539/Parametros!$B$8))</f>
        <v/>
      </c>
      <c r="V539" t="str">
        <f ca="1">IFERROR(((AVERAGEIFS(Documentacion!$C$2:$C$1000,Documentacion!$A$2:$A$1000,$A539,Documentacion!$B$2:$B$1000,"&gt;="&amp;DATEVALUE($B539&amp;"-01"),Documentacion!$B$2:$B$1000,"&lt;="&amp;EOMONTH(DATEVALUE($B539&amp;"-01"),0)))-1)/4*100,"")</f>
        <v/>
      </c>
      <c r="W539" t="str">
        <f ca="1">IFERROR(((AVERAGEIFS(Feedback_360!$D$2:$D$1000,Feedback_360!$A$2:$A$1000,$A539,Feedback_360!$B$2:$B$1000,"&gt;="&amp;DATEVALUE($B539&amp;"-01"),Feedback_360!$B$2:$B$1000,"&lt;="&amp;EOMONTH(DATEVALUE($B539&amp;"-01"),0)))-1)/4*100,"")</f>
        <v/>
      </c>
      <c r="X539" t="str">
        <f ca="1">IFERROR(((AVERAGEIFS(Observacion_Directa!$D$2:$D$1000,Observacion_Directa!$A$2:$A$1000,$A539,Observacion_Directa!$B$2:$B$1000,"&gt;="&amp;DATEVALUE($B539&amp;"-01"),Observacion_Directa!$B$2:$B$1000,"&lt;="&amp;EOMONTH(DATEVALUE($B539&amp;"-01"),0)))-1)/4*100,"")</f>
        <v/>
      </c>
      <c r="Y539" t="e">
        <f t="shared" ca="1" si="17"/>
        <v>#DIV/0!</v>
      </c>
    </row>
    <row r="540" spans="12:25" x14ac:dyDescent="0.2">
      <c r="L540" t="str">
        <f t="shared" si="16"/>
        <v/>
      </c>
      <c r="M540" t="str">
        <f>IFERROR(AVERAGEIFS(Prod_5dias!$H$2:$H$1000,Prod_5dias!$A$2:$A$1000,$A540,Prod_5dias!$B$2:$B$1000,$B540),"")</f>
        <v/>
      </c>
      <c r="N540" t="str">
        <f>IF(M540="","",MIN(100,100*M540/Parametros!$B$7))</f>
        <v/>
      </c>
      <c r="O540" t="str">
        <f>IF(F540="","",IF(F540=0,100,MIN(100,100*Parametros!$B$3/F540)))</f>
        <v/>
      </c>
      <c r="P540" t="str">
        <f ca="1">IFERROR(((AVERAGEIFS(Observacion_Directa!$E$2:$E$1000,Observacion_Directa!$A$2:$A$1000,$A540,Observacion_Directa!$B$2:$B$1000,"&gt;="&amp;DATEVALUE($B540&amp;"-01"),Observacion_Directa!$B$2:$B$1000,"&lt;="&amp;EOMONTH(DATEVALUE($B540&amp;"-01"),0)))-1)/4*100,"")</f>
        <v/>
      </c>
      <c r="Q540" t="str">
        <f>IF(H540="","",MIN(100,100*H540/Parametros!$B$4))</f>
        <v/>
      </c>
      <c r="R540" t="str">
        <f>IF(I540="","",IF(I540=0,100,MIN(100,100*Parametros!$B$5/I540)))</f>
        <v/>
      </c>
      <c r="S540" t="str">
        <f>IF(J540="","",IF(J540=0,100,MIN(100,100*Parametros!$B$6/J540)))</f>
        <v/>
      </c>
      <c r="T540" t="str">
        <f>IF(L540="","",MIN(100,100*L540/Parametros!$B$7))</f>
        <v/>
      </c>
      <c r="U540" t="str">
        <f>IF(K540="","",MIN(100,100*K540/Parametros!$B$8))</f>
        <v/>
      </c>
      <c r="V540" t="str">
        <f ca="1">IFERROR(((AVERAGEIFS(Documentacion!$C$2:$C$1000,Documentacion!$A$2:$A$1000,$A540,Documentacion!$B$2:$B$1000,"&gt;="&amp;DATEVALUE($B540&amp;"-01"),Documentacion!$B$2:$B$1000,"&lt;="&amp;EOMONTH(DATEVALUE($B540&amp;"-01"),0)))-1)/4*100,"")</f>
        <v/>
      </c>
      <c r="W540" t="str">
        <f ca="1">IFERROR(((AVERAGEIFS(Feedback_360!$D$2:$D$1000,Feedback_360!$A$2:$A$1000,$A540,Feedback_360!$B$2:$B$1000,"&gt;="&amp;DATEVALUE($B540&amp;"-01"),Feedback_360!$B$2:$B$1000,"&lt;="&amp;EOMONTH(DATEVALUE($B540&amp;"-01"),0)))-1)/4*100,"")</f>
        <v/>
      </c>
      <c r="X540" t="str">
        <f ca="1">IFERROR(((AVERAGEIFS(Observacion_Directa!$D$2:$D$1000,Observacion_Directa!$A$2:$A$1000,$A540,Observacion_Directa!$B$2:$B$1000,"&gt;="&amp;DATEVALUE($B540&amp;"-01"),Observacion_Directa!$B$2:$B$1000,"&lt;="&amp;EOMONTH(DATEVALUE($B540&amp;"-01"),0)))-1)/4*100,"")</f>
        <v/>
      </c>
      <c r="Y540" t="e">
        <f t="shared" ca="1" si="17"/>
        <v>#DIV/0!</v>
      </c>
    </row>
    <row r="541" spans="12:25" x14ac:dyDescent="0.2">
      <c r="L541" t="str">
        <f t="shared" si="16"/>
        <v/>
      </c>
      <c r="M541" t="str">
        <f>IFERROR(AVERAGEIFS(Prod_5dias!$H$2:$H$1000,Prod_5dias!$A$2:$A$1000,$A541,Prod_5dias!$B$2:$B$1000,$B541),"")</f>
        <v/>
      </c>
      <c r="N541" t="str">
        <f>IF(M541="","",MIN(100,100*M541/Parametros!$B$7))</f>
        <v/>
      </c>
      <c r="O541" t="str">
        <f>IF(F541="","",IF(F541=0,100,MIN(100,100*Parametros!$B$3/F541)))</f>
        <v/>
      </c>
      <c r="P541" t="str">
        <f ca="1">IFERROR(((AVERAGEIFS(Observacion_Directa!$E$2:$E$1000,Observacion_Directa!$A$2:$A$1000,$A541,Observacion_Directa!$B$2:$B$1000,"&gt;="&amp;DATEVALUE($B541&amp;"-01"),Observacion_Directa!$B$2:$B$1000,"&lt;="&amp;EOMONTH(DATEVALUE($B541&amp;"-01"),0)))-1)/4*100,"")</f>
        <v/>
      </c>
      <c r="Q541" t="str">
        <f>IF(H541="","",MIN(100,100*H541/Parametros!$B$4))</f>
        <v/>
      </c>
      <c r="R541" t="str">
        <f>IF(I541="","",IF(I541=0,100,MIN(100,100*Parametros!$B$5/I541)))</f>
        <v/>
      </c>
      <c r="S541" t="str">
        <f>IF(J541="","",IF(J541=0,100,MIN(100,100*Parametros!$B$6/J541)))</f>
        <v/>
      </c>
      <c r="T541" t="str">
        <f>IF(L541="","",MIN(100,100*L541/Parametros!$B$7))</f>
        <v/>
      </c>
      <c r="U541" t="str">
        <f>IF(K541="","",MIN(100,100*K541/Parametros!$B$8))</f>
        <v/>
      </c>
      <c r="V541" t="str">
        <f ca="1">IFERROR(((AVERAGEIFS(Documentacion!$C$2:$C$1000,Documentacion!$A$2:$A$1000,$A541,Documentacion!$B$2:$B$1000,"&gt;="&amp;DATEVALUE($B541&amp;"-01"),Documentacion!$B$2:$B$1000,"&lt;="&amp;EOMONTH(DATEVALUE($B541&amp;"-01"),0)))-1)/4*100,"")</f>
        <v/>
      </c>
      <c r="W541" t="str">
        <f ca="1">IFERROR(((AVERAGEIFS(Feedback_360!$D$2:$D$1000,Feedback_360!$A$2:$A$1000,$A541,Feedback_360!$B$2:$B$1000,"&gt;="&amp;DATEVALUE($B541&amp;"-01"),Feedback_360!$B$2:$B$1000,"&lt;="&amp;EOMONTH(DATEVALUE($B541&amp;"-01"),0)))-1)/4*100,"")</f>
        <v/>
      </c>
      <c r="X541" t="str">
        <f ca="1">IFERROR(((AVERAGEIFS(Observacion_Directa!$D$2:$D$1000,Observacion_Directa!$A$2:$A$1000,$A541,Observacion_Directa!$B$2:$B$1000,"&gt;="&amp;DATEVALUE($B541&amp;"-01"),Observacion_Directa!$B$2:$B$1000,"&lt;="&amp;EOMONTH(DATEVALUE($B541&amp;"-01"),0)))-1)/4*100,"")</f>
        <v/>
      </c>
      <c r="Y541" t="e">
        <f t="shared" ca="1" si="17"/>
        <v>#DIV/0!</v>
      </c>
    </row>
    <row r="542" spans="12:25" x14ac:dyDescent="0.2">
      <c r="L542" t="str">
        <f t="shared" si="16"/>
        <v/>
      </c>
      <c r="M542" t="str">
        <f>IFERROR(AVERAGEIFS(Prod_5dias!$H$2:$H$1000,Prod_5dias!$A$2:$A$1000,$A542,Prod_5dias!$B$2:$B$1000,$B542),"")</f>
        <v/>
      </c>
      <c r="N542" t="str">
        <f>IF(M542="","",MIN(100,100*M542/Parametros!$B$7))</f>
        <v/>
      </c>
      <c r="O542" t="str">
        <f>IF(F542="","",IF(F542=0,100,MIN(100,100*Parametros!$B$3/F542)))</f>
        <v/>
      </c>
      <c r="P542" t="str">
        <f ca="1">IFERROR(((AVERAGEIFS(Observacion_Directa!$E$2:$E$1000,Observacion_Directa!$A$2:$A$1000,$A542,Observacion_Directa!$B$2:$B$1000,"&gt;="&amp;DATEVALUE($B542&amp;"-01"),Observacion_Directa!$B$2:$B$1000,"&lt;="&amp;EOMONTH(DATEVALUE($B542&amp;"-01"),0)))-1)/4*100,"")</f>
        <v/>
      </c>
      <c r="Q542" t="str">
        <f>IF(H542="","",MIN(100,100*H542/Parametros!$B$4))</f>
        <v/>
      </c>
      <c r="R542" t="str">
        <f>IF(I542="","",IF(I542=0,100,MIN(100,100*Parametros!$B$5/I542)))</f>
        <v/>
      </c>
      <c r="S542" t="str">
        <f>IF(J542="","",IF(J542=0,100,MIN(100,100*Parametros!$B$6/J542)))</f>
        <v/>
      </c>
      <c r="T542" t="str">
        <f>IF(L542="","",MIN(100,100*L542/Parametros!$B$7))</f>
        <v/>
      </c>
      <c r="U542" t="str">
        <f>IF(K542="","",MIN(100,100*K542/Parametros!$B$8))</f>
        <v/>
      </c>
      <c r="V542" t="str">
        <f ca="1">IFERROR(((AVERAGEIFS(Documentacion!$C$2:$C$1000,Documentacion!$A$2:$A$1000,$A542,Documentacion!$B$2:$B$1000,"&gt;="&amp;DATEVALUE($B542&amp;"-01"),Documentacion!$B$2:$B$1000,"&lt;="&amp;EOMONTH(DATEVALUE($B542&amp;"-01"),0)))-1)/4*100,"")</f>
        <v/>
      </c>
      <c r="W542" t="str">
        <f ca="1">IFERROR(((AVERAGEIFS(Feedback_360!$D$2:$D$1000,Feedback_360!$A$2:$A$1000,$A542,Feedback_360!$B$2:$B$1000,"&gt;="&amp;DATEVALUE($B542&amp;"-01"),Feedback_360!$B$2:$B$1000,"&lt;="&amp;EOMONTH(DATEVALUE($B542&amp;"-01"),0)))-1)/4*100,"")</f>
        <v/>
      </c>
      <c r="X542" t="str">
        <f ca="1">IFERROR(((AVERAGEIFS(Observacion_Directa!$D$2:$D$1000,Observacion_Directa!$A$2:$A$1000,$A542,Observacion_Directa!$B$2:$B$1000,"&gt;="&amp;DATEVALUE($B542&amp;"-01"),Observacion_Directa!$B$2:$B$1000,"&lt;="&amp;EOMONTH(DATEVALUE($B542&amp;"-01"),0)))-1)/4*100,"")</f>
        <v/>
      </c>
      <c r="Y542" t="e">
        <f t="shared" ca="1" si="17"/>
        <v>#DIV/0!</v>
      </c>
    </row>
    <row r="543" spans="12:25" x14ac:dyDescent="0.2">
      <c r="L543" t="str">
        <f t="shared" si="16"/>
        <v/>
      </c>
      <c r="M543" t="str">
        <f>IFERROR(AVERAGEIFS(Prod_5dias!$H$2:$H$1000,Prod_5dias!$A$2:$A$1000,$A543,Prod_5dias!$B$2:$B$1000,$B543),"")</f>
        <v/>
      </c>
      <c r="N543" t="str">
        <f>IF(M543="","",MIN(100,100*M543/Parametros!$B$7))</f>
        <v/>
      </c>
      <c r="O543" t="str">
        <f>IF(F543="","",IF(F543=0,100,MIN(100,100*Parametros!$B$3/F543)))</f>
        <v/>
      </c>
      <c r="P543" t="str">
        <f ca="1">IFERROR(((AVERAGEIFS(Observacion_Directa!$E$2:$E$1000,Observacion_Directa!$A$2:$A$1000,$A543,Observacion_Directa!$B$2:$B$1000,"&gt;="&amp;DATEVALUE($B543&amp;"-01"),Observacion_Directa!$B$2:$B$1000,"&lt;="&amp;EOMONTH(DATEVALUE($B543&amp;"-01"),0)))-1)/4*100,"")</f>
        <v/>
      </c>
      <c r="Q543" t="str">
        <f>IF(H543="","",MIN(100,100*H543/Parametros!$B$4))</f>
        <v/>
      </c>
      <c r="R543" t="str">
        <f>IF(I543="","",IF(I543=0,100,MIN(100,100*Parametros!$B$5/I543)))</f>
        <v/>
      </c>
      <c r="S543" t="str">
        <f>IF(J543="","",IF(J543=0,100,MIN(100,100*Parametros!$B$6/J543)))</f>
        <v/>
      </c>
      <c r="T543" t="str">
        <f>IF(L543="","",MIN(100,100*L543/Parametros!$B$7))</f>
        <v/>
      </c>
      <c r="U543" t="str">
        <f>IF(K543="","",MIN(100,100*K543/Parametros!$B$8))</f>
        <v/>
      </c>
      <c r="V543" t="str">
        <f ca="1">IFERROR(((AVERAGEIFS(Documentacion!$C$2:$C$1000,Documentacion!$A$2:$A$1000,$A543,Documentacion!$B$2:$B$1000,"&gt;="&amp;DATEVALUE($B543&amp;"-01"),Documentacion!$B$2:$B$1000,"&lt;="&amp;EOMONTH(DATEVALUE($B543&amp;"-01"),0)))-1)/4*100,"")</f>
        <v/>
      </c>
      <c r="W543" t="str">
        <f ca="1">IFERROR(((AVERAGEIFS(Feedback_360!$D$2:$D$1000,Feedback_360!$A$2:$A$1000,$A543,Feedback_360!$B$2:$B$1000,"&gt;="&amp;DATEVALUE($B543&amp;"-01"),Feedback_360!$B$2:$B$1000,"&lt;="&amp;EOMONTH(DATEVALUE($B543&amp;"-01"),0)))-1)/4*100,"")</f>
        <v/>
      </c>
      <c r="X543" t="str">
        <f ca="1">IFERROR(((AVERAGEIFS(Observacion_Directa!$D$2:$D$1000,Observacion_Directa!$A$2:$A$1000,$A543,Observacion_Directa!$B$2:$B$1000,"&gt;="&amp;DATEVALUE($B543&amp;"-01"),Observacion_Directa!$B$2:$B$1000,"&lt;="&amp;EOMONTH(DATEVALUE($B543&amp;"-01"),0)))-1)/4*100,"")</f>
        <v/>
      </c>
      <c r="Y543" t="e">
        <f t="shared" ca="1" si="17"/>
        <v>#DIV/0!</v>
      </c>
    </row>
    <row r="544" spans="12:25" x14ac:dyDescent="0.2">
      <c r="L544" t="str">
        <f t="shared" si="16"/>
        <v/>
      </c>
      <c r="M544" t="str">
        <f>IFERROR(AVERAGEIFS(Prod_5dias!$H$2:$H$1000,Prod_5dias!$A$2:$A$1000,$A544,Prod_5dias!$B$2:$B$1000,$B544),"")</f>
        <v/>
      </c>
      <c r="N544" t="str">
        <f>IF(M544="","",MIN(100,100*M544/Parametros!$B$7))</f>
        <v/>
      </c>
      <c r="O544" t="str">
        <f>IF(F544="","",IF(F544=0,100,MIN(100,100*Parametros!$B$3/F544)))</f>
        <v/>
      </c>
      <c r="P544" t="str">
        <f ca="1">IFERROR(((AVERAGEIFS(Observacion_Directa!$E$2:$E$1000,Observacion_Directa!$A$2:$A$1000,$A544,Observacion_Directa!$B$2:$B$1000,"&gt;="&amp;DATEVALUE($B544&amp;"-01"),Observacion_Directa!$B$2:$B$1000,"&lt;="&amp;EOMONTH(DATEVALUE($B544&amp;"-01"),0)))-1)/4*100,"")</f>
        <v/>
      </c>
      <c r="Q544" t="str">
        <f>IF(H544="","",MIN(100,100*H544/Parametros!$B$4))</f>
        <v/>
      </c>
      <c r="R544" t="str">
        <f>IF(I544="","",IF(I544=0,100,MIN(100,100*Parametros!$B$5/I544)))</f>
        <v/>
      </c>
      <c r="S544" t="str">
        <f>IF(J544="","",IF(J544=0,100,MIN(100,100*Parametros!$B$6/J544)))</f>
        <v/>
      </c>
      <c r="T544" t="str">
        <f>IF(L544="","",MIN(100,100*L544/Parametros!$B$7))</f>
        <v/>
      </c>
      <c r="U544" t="str">
        <f>IF(K544="","",MIN(100,100*K544/Parametros!$B$8))</f>
        <v/>
      </c>
      <c r="V544" t="str">
        <f ca="1">IFERROR(((AVERAGEIFS(Documentacion!$C$2:$C$1000,Documentacion!$A$2:$A$1000,$A544,Documentacion!$B$2:$B$1000,"&gt;="&amp;DATEVALUE($B544&amp;"-01"),Documentacion!$B$2:$B$1000,"&lt;="&amp;EOMONTH(DATEVALUE($B544&amp;"-01"),0)))-1)/4*100,"")</f>
        <v/>
      </c>
      <c r="W544" t="str">
        <f ca="1">IFERROR(((AVERAGEIFS(Feedback_360!$D$2:$D$1000,Feedback_360!$A$2:$A$1000,$A544,Feedback_360!$B$2:$B$1000,"&gt;="&amp;DATEVALUE($B544&amp;"-01"),Feedback_360!$B$2:$B$1000,"&lt;="&amp;EOMONTH(DATEVALUE($B544&amp;"-01"),0)))-1)/4*100,"")</f>
        <v/>
      </c>
      <c r="X544" t="str">
        <f ca="1">IFERROR(((AVERAGEIFS(Observacion_Directa!$D$2:$D$1000,Observacion_Directa!$A$2:$A$1000,$A544,Observacion_Directa!$B$2:$B$1000,"&gt;="&amp;DATEVALUE($B544&amp;"-01"),Observacion_Directa!$B$2:$B$1000,"&lt;="&amp;EOMONTH(DATEVALUE($B544&amp;"-01"),0)))-1)/4*100,"")</f>
        <v/>
      </c>
      <c r="Y544" t="e">
        <f t="shared" ca="1" si="17"/>
        <v>#DIV/0!</v>
      </c>
    </row>
    <row r="545" spans="12:25" x14ac:dyDescent="0.2">
      <c r="L545" t="str">
        <f t="shared" si="16"/>
        <v/>
      </c>
      <c r="M545" t="str">
        <f>IFERROR(AVERAGEIFS(Prod_5dias!$H$2:$H$1000,Prod_5dias!$A$2:$A$1000,$A545,Prod_5dias!$B$2:$B$1000,$B545),"")</f>
        <v/>
      </c>
      <c r="N545" t="str">
        <f>IF(M545="","",MIN(100,100*M545/Parametros!$B$7))</f>
        <v/>
      </c>
      <c r="O545" t="str">
        <f>IF(F545="","",IF(F545=0,100,MIN(100,100*Parametros!$B$3/F545)))</f>
        <v/>
      </c>
      <c r="P545" t="str">
        <f ca="1">IFERROR(((AVERAGEIFS(Observacion_Directa!$E$2:$E$1000,Observacion_Directa!$A$2:$A$1000,$A545,Observacion_Directa!$B$2:$B$1000,"&gt;="&amp;DATEVALUE($B545&amp;"-01"),Observacion_Directa!$B$2:$B$1000,"&lt;="&amp;EOMONTH(DATEVALUE($B545&amp;"-01"),0)))-1)/4*100,"")</f>
        <v/>
      </c>
      <c r="Q545" t="str">
        <f>IF(H545="","",MIN(100,100*H545/Parametros!$B$4))</f>
        <v/>
      </c>
      <c r="R545" t="str">
        <f>IF(I545="","",IF(I545=0,100,MIN(100,100*Parametros!$B$5/I545)))</f>
        <v/>
      </c>
      <c r="S545" t="str">
        <f>IF(J545="","",IF(J545=0,100,MIN(100,100*Parametros!$B$6/J545)))</f>
        <v/>
      </c>
      <c r="T545" t="str">
        <f>IF(L545="","",MIN(100,100*L545/Parametros!$B$7))</f>
        <v/>
      </c>
      <c r="U545" t="str">
        <f>IF(K545="","",MIN(100,100*K545/Parametros!$B$8))</f>
        <v/>
      </c>
      <c r="V545" t="str">
        <f ca="1">IFERROR(((AVERAGEIFS(Documentacion!$C$2:$C$1000,Documentacion!$A$2:$A$1000,$A545,Documentacion!$B$2:$B$1000,"&gt;="&amp;DATEVALUE($B545&amp;"-01"),Documentacion!$B$2:$B$1000,"&lt;="&amp;EOMONTH(DATEVALUE($B545&amp;"-01"),0)))-1)/4*100,"")</f>
        <v/>
      </c>
      <c r="W545" t="str">
        <f ca="1">IFERROR(((AVERAGEIFS(Feedback_360!$D$2:$D$1000,Feedback_360!$A$2:$A$1000,$A545,Feedback_360!$B$2:$B$1000,"&gt;="&amp;DATEVALUE($B545&amp;"-01"),Feedback_360!$B$2:$B$1000,"&lt;="&amp;EOMONTH(DATEVALUE($B545&amp;"-01"),0)))-1)/4*100,"")</f>
        <v/>
      </c>
      <c r="X545" t="str">
        <f ca="1">IFERROR(((AVERAGEIFS(Observacion_Directa!$D$2:$D$1000,Observacion_Directa!$A$2:$A$1000,$A545,Observacion_Directa!$B$2:$B$1000,"&gt;="&amp;DATEVALUE($B545&amp;"-01"),Observacion_Directa!$B$2:$B$1000,"&lt;="&amp;EOMONTH(DATEVALUE($B545&amp;"-01"),0)))-1)/4*100,"")</f>
        <v/>
      </c>
      <c r="Y545" t="e">
        <f t="shared" ca="1" si="17"/>
        <v>#DIV/0!</v>
      </c>
    </row>
    <row r="546" spans="12:25" x14ac:dyDescent="0.2">
      <c r="L546" t="str">
        <f t="shared" si="16"/>
        <v/>
      </c>
      <c r="M546" t="str">
        <f>IFERROR(AVERAGEIFS(Prod_5dias!$H$2:$H$1000,Prod_5dias!$A$2:$A$1000,$A546,Prod_5dias!$B$2:$B$1000,$B546),"")</f>
        <v/>
      </c>
      <c r="N546" t="str">
        <f>IF(M546="","",MIN(100,100*M546/Parametros!$B$7))</f>
        <v/>
      </c>
      <c r="O546" t="str">
        <f>IF(F546="","",IF(F546=0,100,MIN(100,100*Parametros!$B$3/F546)))</f>
        <v/>
      </c>
      <c r="P546" t="str">
        <f ca="1">IFERROR(((AVERAGEIFS(Observacion_Directa!$E$2:$E$1000,Observacion_Directa!$A$2:$A$1000,$A546,Observacion_Directa!$B$2:$B$1000,"&gt;="&amp;DATEVALUE($B546&amp;"-01"),Observacion_Directa!$B$2:$B$1000,"&lt;="&amp;EOMONTH(DATEVALUE($B546&amp;"-01"),0)))-1)/4*100,"")</f>
        <v/>
      </c>
      <c r="Q546" t="str">
        <f>IF(H546="","",MIN(100,100*H546/Parametros!$B$4))</f>
        <v/>
      </c>
      <c r="R546" t="str">
        <f>IF(I546="","",IF(I546=0,100,MIN(100,100*Parametros!$B$5/I546)))</f>
        <v/>
      </c>
      <c r="S546" t="str">
        <f>IF(J546="","",IF(J546=0,100,MIN(100,100*Parametros!$B$6/J546)))</f>
        <v/>
      </c>
      <c r="T546" t="str">
        <f>IF(L546="","",MIN(100,100*L546/Parametros!$B$7))</f>
        <v/>
      </c>
      <c r="U546" t="str">
        <f>IF(K546="","",MIN(100,100*K546/Parametros!$B$8))</f>
        <v/>
      </c>
      <c r="V546" t="str">
        <f ca="1">IFERROR(((AVERAGEIFS(Documentacion!$C$2:$C$1000,Documentacion!$A$2:$A$1000,$A546,Documentacion!$B$2:$B$1000,"&gt;="&amp;DATEVALUE($B546&amp;"-01"),Documentacion!$B$2:$B$1000,"&lt;="&amp;EOMONTH(DATEVALUE($B546&amp;"-01"),0)))-1)/4*100,"")</f>
        <v/>
      </c>
      <c r="W546" t="str">
        <f ca="1">IFERROR(((AVERAGEIFS(Feedback_360!$D$2:$D$1000,Feedback_360!$A$2:$A$1000,$A546,Feedback_360!$B$2:$B$1000,"&gt;="&amp;DATEVALUE($B546&amp;"-01"),Feedback_360!$B$2:$B$1000,"&lt;="&amp;EOMONTH(DATEVALUE($B546&amp;"-01"),0)))-1)/4*100,"")</f>
        <v/>
      </c>
      <c r="X546" t="str">
        <f ca="1">IFERROR(((AVERAGEIFS(Observacion_Directa!$D$2:$D$1000,Observacion_Directa!$A$2:$A$1000,$A546,Observacion_Directa!$B$2:$B$1000,"&gt;="&amp;DATEVALUE($B546&amp;"-01"),Observacion_Directa!$B$2:$B$1000,"&lt;="&amp;EOMONTH(DATEVALUE($B546&amp;"-01"),0)))-1)/4*100,"")</f>
        <v/>
      </c>
      <c r="Y546" t="e">
        <f t="shared" ca="1" si="17"/>
        <v>#DIV/0!</v>
      </c>
    </row>
    <row r="547" spans="12:25" x14ac:dyDescent="0.2">
      <c r="L547" t="str">
        <f t="shared" si="16"/>
        <v/>
      </c>
      <c r="M547" t="str">
        <f>IFERROR(AVERAGEIFS(Prod_5dias!$H$2:$H$1000,Prod_5dias!$A$2:$A$1000,$A547,Prod_5dias!$B$2:$B$1000,$B547),"")</f>
        <v/>
      </c>
      <c r="N547" t="str">
        <f>IF(M547="","",MIN(100,100*M547/Parametros!$B$7))</f>
        <v/>
      </c>
      <c r="O547" t="str">
        <f>IF(F547="","",IF(F547=0,100,MIN(100,100*Parametros!$B$3/F547)))</f>
        <v/>
      </c>
      <c r="P547" t="str">
        <f ca="1">IFERROR(((AVERAGEIFS(Observacion_Directa!$E$2:$E$1000,Observacion_Directa!$A$2:$A$1000,$A547,Observacion_Directa!$B$2:$B$1000,"&gt;="&amp;DATEVALUE($B547&amp;"-01"),Observacion_Directa!$B$2:$B$1000,"&lt;="&amp;EOMONTH(DATEVALUE($B547&amp;"-01"),0)))-1)/4*100,"")</f>
        <v/>
      </c>
      <c r="Q547" t="str">
        <f>IF(H547="","",MIN(100,100*H547/Parametros!$B$4))</f>
        <v/>
      </c>
      <c r="R547" t="str">
        <f>IF(I547="","",IF(I547=0,100,MIN(100,100*Parametros!$B$5/I547)))</f>
        <v/>
      </c>
      <c r="S547" t="str">
        <f>IF(J547="","",IF(J547=0,100,MIN(100,100*Parametros!$B$6/J547)))</f>
        <v/>
      </c>
      <c r="T547" t="str">
        <f>IF(L547="","",MIN(100,100*L547/Parametros!$B$7))</f>
        <v/>
      </c>
      <c r="U547" t="str">
        <f>IF(K547="","",MIN(100,100*K547/Parametros!$B$8))</f>
        <v/>
      </c>
      <c r="V547" t="str">
        <f ca="1">IFERROR(((AVERAGEIFS(Documentacion!$C$2:$C$1000,Documentacion!$A$2:$A$1000,$A547,Documentacion!$B$2:$B$1000,"&gt;="&amp;DATEVALUE($B547&amp;"-01"),Documentacion!$B$2:$B$1000,"&lt;="&amp;EOMONTH(DATEVALUE($B547&amp;"-01"),0)))-1)/4*100,"")</f>
        <v/>
      </c>
      <c r="W547" t="str">
        <f ca="1">IFERROR(((AVERAGEIFS(Feedback_360!$D$2:$D$1000,Feedback_360!$A$2:$A$1000,$A547,Feedback_360!$B$2:$B$1000,"&gt;="&amp;DATEVALUE($B547&amp;"-01"),Feedback_360!$B$2:$B$1000,"&lt;="&amp;EOMONTH(DATEVALUE($B547&amp;"-01"),0)))-1)/4*100,"")</f>
        <v/>
      </c>
      <c r="X547" t="str">
        <f ca="1">IFERROR(((AVERAGEIFS(Observacion_Directa!$D$2:$D$1000,Observacion_Directa!$A$2:$A$1000,$A547,Observacion_Directa!$B$2:$B$1000,"&gt;="&amp;DATEVALUE($B547&amp;"-01"),Observacion_Directa!$B$2:$B$1000,"&lt;="&amp;EOMONTH(DATEVALUE($B547&amp;"-01"),0)))-1)/4*100,"")</f>
        <v/>
      </c>
      <c r="Y547" t="e">
        <f t="shared" ca="1" si="17"/>
        <v>#DIV/0!</v>
      </c>
    </row>
    <row r="548" spans="12:25" x14ac:dyDescent="0.2">
      <c r="L548" t="str">
        <f t="shared" si="16"/>
        <v/>
      </c>
      <c r="M548" t="str">
        <f>IFERROR(AVERAGEIFS(Prod_5dias!$H$2:$H$1000,Prod_5dias!$A$2:$A$1000,$A548,Prod_5dias!$B$2:$B$1000,$B548),"")</f>
        <v/>
      </c>
      <c r="N548" t="str">
        <f>IF(M548="","",MIN(100,100*M548/Parametros!$B$7))</f>
        <v/>
      </c>
      <c r="O548" t="str">
        <f>IF(F548="","",IF(F548=0,100,MIN(100,100*Parametros!$B$3/F548)))</f>
        <v/>
      </c>
      <c r="P548" t="str">
        <f ca="1">IFERROR(((AVERAGEIFS(Observacion_Directa!$E$2:$E$1000,Observacion_Directa!$A$2:$A$1000,$A548,Observacion_Directa!$B$2:$B$1000,"&gt;="&amp;DATEVALUE($B548&amp;"-01"),Observacion_Directa!$B$2:$B$1000,"&lt;="&amp;EOMONTH(DATEVALUE($B548&amp;"-01"),0)))-1)/4*100,"")</f>
        <v/>
      </c>
      <c r="Q548" t="str">
        <f>IF(H548="","",MIN(100,100*H548/Parametros!$B$4))</f>
        <v/>
      </c>
      <c r="R548" t="str">
        <f>IF(I548="","",IF(I548=0,100,MIN(100,100*Parametros!$B$5/I548)))</f>
        <v/>
      </c>
      <c r="S548" t="str">
        <f>IF(J548="","",IF(J548=0,100,MIN(100,100*Parametros!$B$6/J548)))</f>
        <v/>
      </c>
      <c r="T548" t="str">
        <f>IF(L548="","",MIN(100,100*L548/Parametros!$B$7))</f>
        <v/>
      </c>
      <c r="U548" t="str">
        <f>IF(K548="","",MIN(100,100*K548/Parametros!$B$8))</f>
        <v/>
      </c>
      <c r="V548" t="str">
        <f ca="1">IFERROR(((AVERAGEIFS(Documentacion!$C$2:$C$1000,Documentacion!$A$2:$A$1000,$A548,Documentacion!$B$2:$B$1000,"&gt;="&amp;DATEVALUE($B548&amp;"-01"),Documentacion!$B$2:$B$1000,"&lt;="&amp;EOMONTH(DATEVALUE($B548&amp;"-01"),0)))-1)/4*100,"")</f>
        <v/>
      </c>
      <c r="W548" t="str">
        <f ca="1">IFERROR(((AVERAGEIFS(Feedback_360!$D$2:$D$1000,Feedback_360!$A$2:$A$1000,$A548,Feedback_360!$B$2:$B$1000,"&gt;="&amp;DATEVALUE($B548&amp;"-01"),Feedback_360!$B$2:$B$1000,"&lt;="&amp;EOMONTH(DATEVALUE($B548&amp;"-01"),0)))-1)/4*100,"")</f>
        <v/>
      </c>
      <c r="X548" t="str">
        <f ca="1">IFERROR(((AVERAGEIFS(Observacion_Directa!$D$2:$D$1000,Observacion_Directa!$A$2:$A$1000,$A548,Observacion_Directa!$B$2:$B$1000,"&gt;="&amp;DATEVALUE($B548&amp;"-01"),Observacion_Directa!$B$2:$B$1000,"&lt;="&amp;EOMONTH(DATEVALUE($B548&amp;"-01"),0)))-1)/4*100,"")</f>
        <v/>
      </c>
      <c r="Y548" t="e">
        <f t="shared" ca="1" si="17"/>
        <v>#DIV/0!</v>
      </c>
    </row>
    <row r="549" spans="12:25" x14ac:dyDescent="0.2">
      <c r="L549" t="str">
        <f t="shared" si="16"/>
        <v/>
      </c>
      <c r="M549" t="str">
        <f>IFERROR(AVERAGEIFS(Prod_5dias!$H$2:$H$1000,Prod_5dias!$A$2:$A$1000,$A549,Prod_5dias!$B$2:$B$1000,$B549),"")</f>
        <v/>
      </c>
      <c r="N549" t="str">
        <f>IF(M549="","",MIN(100,100*M549/Parametros!$B$7))</f>
        <v/>
      </c>
      <c r="O549" t="str">
        <f>IF(F549="","",IF(F549=0,100,MIN(100,100*Parametros!$B$3/F549)))</f>
        <v/>
      </c>
      <c r="P549" t="str">
        <f ca="1">IFERROR(((AVERAGEIFS(Observacion_Directa!$E$2:$E$1000,Observacion_Directa!$A$2:$A$1000,$A549,Observacion_Directa!$B$2:$B$1000,"&gt;="&amp;DATEVALUE($B549&amp;"-01"),Observacion_Directa!$B$2:$B$1000,"&lt;="&amp;EOMONTH(DATEVALUE($B549&amp;"-01"),0)))-1)/4*100,"")</f>
        <v/>
      </c>
      <c r="Q549" t="str">
        <f>IF(H549="","",MIN(100,100*H549/Parametros!$B$4))</f>
        <v/>
      </c>
      <c r="R549" t="str">
        <f>IF(I549="","",IF(I549=0,100,MIN(100,100*Parametros!$B$5/I549)))</f>
        <v/>
      </c>
      <c r="S549" t="str">
        <f>IF(J549="","",IF(J549=0,100,MIN(100,100*Parametros!$B$6/J549)))</f>
        <v/>
      </c>
      <c r="T549" t="str">
        <f>IF(L549="","",MIN(100,100*L549/Parametros!$B$7))</f>
        <v/>
      </c>
      <c r="U549" t="str">
        <f>IF(K549="","",MIN(100,100*K549/Parametros!$B$8))</f>
        <v/>
      </c>
      <c r="V549" t="str">
        <f ca="1">IFERROR(((AVERAGEIFS(Documentacion!$C$2:$C$1000,Documentacion!$A$2:$A$1000,$A549,Documentacion!$B$2:$B$1000,"&gt;="&amp;DATEVALUE($B549&amp;"-01"),Documentacion!$B$2:$B$1000,"&lt;="&amp;EOMONTH(DATEVALUE($B549&amp;"-01"),0)))-1)/4*100,"")</f>
        <v/>
      </c>
      <c r="W549" t="str">
        <f ca="1">IFERROR(((AVERAGEIFS(Feedback_360!$D$2:$D$1000,Feedback_360!$A$2:$A$1000,$A549,Feedback_360!$B$2:$B$1000,"&gt;="&amp;DATEVALUE($B549&amp;"-01"),Feedback_360!$B$2:$B$1000,"&lt;="&amp;EOMONTH(DATEVALUE($B549&amp;"-01"),0)))-1)/4*100,"")</f>
        <v/>
      </c>
      <c r="X549" t="str">
        <f ca="1">IFERROR(((AVERAGEIFS(Observacion_Directa!$D$2:$D$1000,Observacion_Directa!$A$2:$A$1000,$A549,Observacion_Directa!$B$2:$B$1000,"&gt;="&amp;DATEVALUE($B549&amp;"-01"),Observacion_Directa!$B$2:$B$1000,"&lt;="&amp;EOMONTH(DATEVALUE($B549&amp;"-01"),0)))-1)/4*100,"")</f>
        <v/>
      </c>
      <c r="Y549" t="e">
        <f t="shared" ca="1" si="17"/>
        <v>#DIV/0!</v>
      </c>
    </row>
    <row r="550" spans="12:25" x14ac:dyDescent="0.2">
      <c r="L550" t="str">
        <f t="shared" si="16"/>
        <v/>
      </c>
      <c r="M550" t="str">
        <f>IFERROR(AVERAGEIFS(Prod_5dias!$H$2:$H$1000,Prod_5dias!$A$2:$A$1000,$A550,Prod_5dias!$B$2:$B$1000,$B550),"")</f>
        <v/>
      </c>
      <c r="N550" t="str">
        <f>IF(M550="","",MIN(100,100*M550/Parametros!$B$7))</f>
        <v/>
      </c>
      <c r="O550" t="str">
        <f>IF(F550="","",IF(F550=0,100,MIN(100,100*Parametros!$B$3/F550)))</f>
        <v/>
      </c>
      <c r="P550" t="str">
        <f ca="1">IFERROR(((AVERAGEIFS(Observacion_Directa!$E$2:$E$1000,Observacion_Directa!$A$2:$A$1000,$A550,Observacion_Directa!$B$2:$B$1000,"&gt;="&amp;DATEVALUE($B550&amp;"-01"),Observacion_Directa!$B$2:$B$1000,"&lt;="&amp;EOMONTH(DATEVALUE($B550&amp;"-01"),0)))-1)/4*100,"")</f>
        <v/>
      </c>
      <c r="Q550" t="str">
        <f>IF(H550="","",MIN(100,100*H550/Parametros!$B$4))</f>
        <v/>
      </c>
      <c r="R550" t="str">
        <f>IF(I550="","",IF(I550=0,100,MIN(100,100*Parametros!$B$5/I550)))</f>
        <v/>
      </c>
      <c r="S550" t="str">
        <f>IF(J550="","",IF(J550=0,100,MIN(100,100*Parametros!$B$6/J550)))</f>
        <v/>
      </c>
      <c r="T550" t="str">
        <f>IF(L550="","",MIN(100,100*L550/Parametros!$B$7))</f>
        <v/>
      </c>
      <c r="U550" t="str">
        <f>IF(K550="","",MIN(100,100*K550/Parametros!$B$8))</f>
        <v/>
      </c>
      <c r="V550" t="str">
        <f ca="1">IFERROR(((AVERAGEIFS(Documentacion!$C$2:$C$1000,Documentacion!$A$2:$A$1000,$A550,Documentacion!$B$2:$B$1000,"&gt;="&amp;DATEVALUE($B550&amp;"-01"),Documentacion!$B$2:$B$1000,"&lt;="&amp;EOMONTH(DATEVALUE($B550&amp;"-01"),0)))-1)/4*100,"")</f>
        <v/>
      </c>
      <c r="W550" t="str">
        <f ca="1">IFERROR(((AVERAGEIFS(Feedback_360!$D$2:$D$1000,Feedback_360!$A$2:$A$1000,$A550,Feedback_360!$B$2:$B$1000,"&gt;="&amp;DATEVALUE($B550&amp;"-01"),Feedback_360!$B$2:$B$1000,"&lt;="&amp;EOMONTH(DATEVALUE($B550&amp;"-01"),0)))-1)/4*100,"")</f>
        <v/>
      </c>
      <c r="X550" t="str">
        <f ca="1">IFERROR(((AVERAGEIFS(Observacion_Directa!$D$2:$D$1000,Observacion_Directa!$A$2:$A$1000,$A550,Observacion_Directa!$B$2:$B$1000,"&gt;="&amp;DATEVALUE($B550&amp;"-01"),Observacion_Directa!$B$2:$B$1000,"&lt;="&amp;EOMONTH(DATEVALUE($B550&amp;"-01"),0)))-1)/4*100,"")</f>
        <v/>
      </c>
      <c r="Y550" t="e">
        <f t="shared" ca="1" si="17"/>
        <v>#DIV/0!</v>
      </c>
    </row>
    <row r="551" spans="12:25" x14ac:dyDescent="0.2">
      <c r="L551" t="str">
        <f t="shared" si="16"/>
        <v/>
      </c>
      <c r="M551" t="str">
        <f>IFERROR(AVERAGEIFS(Prod_5dias!$H$2:$H$1000,Prod_5dias!$A$2:$A$1000,$A551,Prod_5dias!$B$2:$B$1000,$B551),"")</f>
        <v/>
      </c>
      <c r="N551" t="str">
        <f>IF(M551="","",MIN(100,100*M551/Parametros!$B$7))</f>
        <v/>
      </c>
      <c r="O551" t="str">
        <f>IF(F551="","",IF(F551=0,100,MIN(100,100*Parametros!$B$3/F551)))</f>
        <v/>
      </c>
      <c r="P551" t="str">
        <f ca="1">IFERROR(((AVERAGEIFS(Observacion_Directa!$E$2:$E$1000,Observacion_Directa!$A$2:$A$1000,$A551,Observacion_Directa!$B$2:$B$1000,"&gt;="&amp;DATEVALUE($B551&amp;"-01"),Observacion_Directa!$B$2:$B$1000,"&lt;="&amp;EOMONTH(DATEVALUE($B551&amp;"-01"),0)))-1)/4*100,"")</f>
        <v/>
      </c>
      <c r="Q551" t="str">
        <f>IF(H551="","",MIN(100,100*H551/Parametros!$B$4))</f>
        <v/>
      </c>
      <c r="R551" t="str">
        <f>IF(I551="","",IF(I551=0,100,MIN(100,100*Parametros!$B$5/I551)))</f>
        <v/>
      </c>
      <c r="S551" t="str">
        <f>IF(J551="","",IF(J551=0,100,MIN(100,100*Parametros!$B$6/J551)))</f>
        <v/>
      </c>
      <c r="T551" t="str">
        <f>IF(L551="","",MIN(100,100*L551/Parametros!$B$7))</f>
        <v/>
      </c>
      <c r="U551" t="str">
        <f>IF(K551="","",MIN(100,100*K551/Parametros!$B$8))</f>
        <v/>
      </c>
      <c r="V551" t="str">
        <f ca="1">IFERROR(((AVERAGEIFS(Documentacion!$C$2:$C$1000,Documentacion!$A$2:$A$1000,$A551,Documentacion!$B$2:$B$1000,"&gt;="&amp;DATEVALUE($B551&amp;"-01"),Documentacion!$B$2:$B$1000,"&lt;="&amp;EOMONTH(DATEVALUE($B551&amp;"-01"),0)))-1)/4*100,"")</f>
        <v/>
      </c>
      <c r="W551" t="str">
        <f ca="1">IFERROR(((AVERAGEIFS(Feedback_360!$D$2:$D$1000,Feedback_360!$A$2:$A$1000,$A551,Feedback_360!$B$2:$B$1000,"&gt;="&amp;DATEVALUE($B551&amp;"-01"),Feedback_360!$B$2:$B$1000,"&lt;="&amp;EOMONTH(DATEVALUE($B551&amp;"-01"),0)))-1)/4*100,"")</f>
        <v/>
      </c>
      <c r="X551" t="str">
        <f ca="1">IFERROR(((AVERAGEIFS(Observacion_Directa!$D$2:$D$1000,Observacion_Directa!$A$2:$A$1000,$A551,Observacion_Directa!$B$2:$B$1000,"&gt;="&amp;DATEVALUE($B551&amp;"-01"),Observacion_Directa!$B$2:$B$1000,"&lt;="&amp;EOMONTH(DATEVALUE($B551&amp;"-01"),0)))-1)/4*100,"")</f>
        <v/>
      </c>
      <c r="Y551" t="e">
        <f t="shared" ca="1" si="17"/>
        <v>#DIV/0!</v>
      </c>
    </row>
    <row r="552" spans="12:25" x14ac:dyDescent="0.2">
      <c r="L552" t="str">
        <f t="shared" si="16"/>
        <v/>
      </c>
      <c r="M552" t="str">
        <f>IFERROR(AVERAGEIFS(Prod_5dias!$H$2:$H$1000,Prod_5dias!$A$2:$A$1000,$A552,Prod_5dias!$B$2:$B$1000,$B552),"")</f>
        <v/>
      </c>
      <c r="N552" t="str">
        <f>IF(M552="","",MIN(100,100*M552/Parametros!$B$7))</f>
        <v/>
      </c>
      <c r="O552" t="str">
        <f>IF(F552="","",IF(F552=0,100,MIN(100,100*Parametros!$B$3/F552)))</f>
        <v/>
      </c>
      <c r="P552" t="str">
        <f ca="1">IFERROR(((AVERAGEIFS(Observacion_Directa!$E$2:$E$1000,Observacion_Directa!$A$2:$A$1000,$A552,Observacion_Directa!$B$2:$B$1000,"&gt;="&amp;DATEVALUE($B552&amp;"-01"),Observacion_Directa!$B$2:$B$1000,"&lt;="&amp;EOMONTH(DATEVALUE($B552&amp;"-01"),0)))-1)/4*100,"")</f>
        <v/>
      </c>
      <c r="Q552" t="str">
        <f>IF(H552="","",MIN(100,100*H552/Parametros!$B$4))</f>
        <v/>
      </c>
      <c r="R552" t="str">
        <f>IF(I552="","",IF(I552=0,100,MIN(100,100*Parametros!$B$5/I552)))</f>
        <v/>
      </c>
      <c r="S552" t="str">
        <f>IF(J552="","",IF(J552=0,100,MIN(100,100*Parametros!$B$6/J552)))</f>
        <v/>
      </c>
      <c r="T552" t="str">
        <f>IF(L552="","",MIN(100,100*L552/Parametros!$B$7))</f>
        <v/>
      </c>
      <c r="U552" t="str">
        <f>IF(K552="","",MIN(100,100*K552/Parametros!$B$8))</f>
        <v/>
      </c>
      <c r="V552" t="str">
        <f ca="1">IFERROR(((AVERAGEIFS(Documentacion!$C$2:$C$1000,Documentacion!$A$2:$A$1000,$A552,Documentacion!$B$2:$B$1000,"&gt;="&amp;DATEVALUE($B552&amp;"-01"),Documentacion!$B$2:$B$1000,"&lt;="&amp;EOMONTH(DATEVALUE($B552&amp;"-01"),0)))-1)/4*100,"")</f>
        <v/>
      </c>
      <c r="W552" t="str">
        <f ca="1">IFERROR(((AVERAGEIFS(Feedback_360!$D$2:$D$1000,Feedback_360!$A$2:$A$1000,$A552,Feedback_360!$B$2:$B$1000,"&gt;="&amp;DATEVALUE($B552&amp;"-01"),Feedback_360!$B$2:$B$1000,"&lt;="&amp;EOMONTH(DATEVALUE($B552&amp;"-01"),0)))-1)/4*100,"")</f>
        <v/>
      </c>
      <c r="X552" t="str">
        <f ca="1">IFERROR(((AVERAGEIFS(Observacion_Directa!$D$2:$D$1000,Observacion_Directa!$A$2:$A$1000,$A552,Observacion_Directa!$B$2:$B$1000,"&gt;="&amp;DATEVALUE($B552&amp;"-01"),Observacion_Directa!$B$2:$B$1000,"&lt;="&amp;EOMONTH(DATEVALUE($B552&amp;"-01"),0)))-1)/4*100,"")</f>
        <v/>
      </c>
      <c r="Y552" t="e">
        <f t="shared" ca="1" si="17"/>
        <v>#DIV/0!</v>
      </c>
    </row>
    <row r="553" spans="12:25" x14ac:dyDescent="0.2">
      <c r="L553" t="str">
        <f t="shared" si="16"/>
        <v/>
      </c>
      <c r="M553" t="str">
        <f>IFERROR(AVERAGEIFS(Prod_5dias!$H$2:$H$1000,Prod_5dias!$A$2:$A$1000,$A553,Prod_5dias!$B$2:$B$1000,$B553),"")</f>
        <v/>
      </c>
      <c r="N553" t="str">
        <f>IF(M553="","",MIN(100,100*M553/Parametros!$B$7))</f>
        <v/>
      </c>
      <c r="O553" t="str">
        <f>IF(F553="","",IF(F553=0,100,MIN(100,100*Parametros!$B$3/F553)))</f>
        <v/>
      </c>
      <c r="P553" t="str">
        <f ca="1">IFERROR(((AVERAGEIFS(Observacion_Directa!$E$2:$E$1000,Observacion_Directa!$A$2:$A$1000,$A553,Observacion_Directa!$B$2:$B$1000,"&gt;="&amp;DATEVALUE($B553&amp;"-01"),Observacion_Directa!$B$2:$B$1000,"&lt;="&amp;EOMONTH(DATEVALUE($B553&amp;"-01"),0)))-1)/4*100,"")</f>
        <v/>
      </c>
      <c r="Q553" t="str">
        <f>IF(H553="","",MIN(100,100*H553/Parametros!$B$4))</f>
        <v/>
      </c>
      <c r="R553" t="str">
        <f>IF(I553="","",IF(I553=0,100,MIN(100,100*Parametros!$B$5/I553)))</f>
        <v/>
      </c>
      <c r="S553" t="str">
        <f>IF(J553="","",IF(J553=0,100,MIN(100,100*Parametros!$B$6/J553)))</f>
        <v/>
      </c>
      <c r="T553" t="str">
        <f>IF(L553="","",MIN(100,100*L553/Parametros!$B$7))</f>
        <v/>
      </c>
      <c r="U553" t="str">
        <f>IF(K553="","",MIN(100,100*K553/Parametros!$B$8))</f>
        <v/>
      </c>
      <c r="V553" t="str">
        <f ca="1">IFERROR(((AVERAGEIFS(Documentacion!$C$2:$C$1000,Documentacion!$A$2:$A$1000,$A553,Documentacion!$B$2:$B$1000,"&gt;="&amp;DATEVALUE($B553&amp;"-01"),Documentacion!$B$2:$B$1000,"&lt;="&amp;EOMONTH(DATEVALUE($B553&amp;"-01"),0)))-1)/4*100,"")</f>
        <v/>
      </c>
      <c r="W553" t="str">
        <f ca="1">IFERROR(((AVERAGEIFS(Feedback_360!$D$2:$D$1000,Feedback_360!$A$2:$A$1000,$A553,Feedback_360!$B$2:$B$1000,"&gt;="&amp;DATEVALUE($B553&amp;"-01"),Feedback_360!$B$2:$B$1000,"&lt;="&amp;EOMONTH(DATEVALUE($B553&amp;"-01"),0)))-1)/4*100,"")</f>
        <v/>
      </c>
      <c r="X553" t="str">
        <f ca="1">IFERROR(((AVERAGEIFS(Observacion_Directa!$D$2:$D$1000,Observacion_Directa!$A$2:$A$1000,$A553,Observacion_Directa!$B$2:$B$1000,"&gt;="&amp;DATEVALUE($B553&amp;"-01"),Observacion_Directa!$B$2:$B$1000,"&lt;="&amp;EOMONTH(DATEVALUE($B553&amp;"-01"),0)))-1)/4*100,"")</f>
        <v/>
      </c>
      <c r="Y553" t="e">
        <f t="shared" ca="1" si="17"/>
        <v>#DIV/0!</v>
      </c>
    </row>
    <row r="554" spans="12:25" x14ac:dyDescent="0.2">
      <c r="L554" t="str">
        <f t="shared" si="16"/>
        <v/>
      </c>
      <c r="M554" t="str">
        <f>IFERROR(AVERAGEIFS(Prod_5dias!$H$2:$H$1000,Prod_5dias!$A$2:$A$1000,$A554,Prod_5dias!$B$2:$B$1000,$B554),"")</f>
        <v/>
      </c>
      <c r="N554" t="str">
        <f>IF(M554="","",MIN(100,100*M554/Parametros!$B$7))</f>
        <v/>
      </c>
      <c r="O554" t="str">
        <f>IF(F554="","",IF(F554=0,100,MIN(100,100*Parametros!$B$3/F554)))</f>
        <v/>
      </c>
      <c r="P554" t="str">
        <f ca="1">IFERROR(((AVERAGEIFS(Observacion_Directa!$E$2:$E$1000,Observacion_Directa!$A$2:$A$1000,$A554,Observacion_Directa!$B$2:$B$1000,"&gt;="&amp;DATEVALUE($B554&amp;"-01"),Observacion_Directa!$B$2:$B$1000,"&lt;="&amp;EOMONTH(DATEVALUE($B554&amp;"-01"),0)))-1)/4*100,"")</f>
        <v/>
      </c>
      <c r="Q554" t="str">
        <f>IF(H554="","",MIN(100,100*H554/Parametros!$B$4))</f>
        <v/>
      </c>
      <c r="R554" t="str">
        <f>IF(I554="","",IF(I554=0,100,MIN(100,100*Parametros!$B$5/I554)))</f>
        <v/>
      </c>
      <c r="S554" t="str">
        <f>IF(J554="","",IF(J554=0,100,MIN(100,100*Parametros!$B$6/J554)))</f>
        <v/>
      </c>
      <c r="T554" t="str">
        <f>IF(L554="","",MIN(100,100*L554/Parametros!$B$7))</f>
        <v/>
      </c>
      <c r="U554" t="str">
        <f>IF(K554="","",MIN(100,100*K554/Parametros!$B$8))</f>
        <v/>
      </c>
      <c r="V554" t="str">
        <f ca="1">IFERROR(((AVERAGEIFS(Documentacion!$C$2:$C$1000,Documentacion!$A$2:$A$1000,$A554,Documentacion!$B$2:$B$1000,"&gt;="&amp;DATEVALUE($B554&amp;"-01"),Documentacion!$B$2:$B$1000,"&lt;="&amp;EOMONTH(DATEVALUE($B554&amp;"-01"),0)))-1)/4*100,"")</f>
        <v/>
      </c>
      <c r="W554" t="str">
        <f ca="1">IFERROR(((AVERAGEIFS(Feedback_360!$D$2:$D$1000,Feedback_360!$A$2:$A$1000,$A554,Feedback_360!$B$2:$B$1000,"&gt;="&amp;DATEVALUE($B554&amp;"-01"),Feedback_360!$B$2:$B$1000,"&lt;="&amp;EOMONTH(DATEVALUE($B554&amp;"-01"),0)))-1)/4*100,"")</f>
        <v/>
      </c>
      <c r="X554" t="str">
        <f ca="1">IFERROR(((AVERAGEIFS(Observacion_Directa!$D$2:$D$1000,Observacion_Directa!$A$2:$A$1000,$A554,Observacion_Directa!$B$2:$B$1000,"&gt;="&amp;DATEVALUE($B554&amp;"-01"),Observacion_Directa!$B$2:$B$1000,"&lt;="&amp;EOMONTH(DATEVALUE($B554&amp;"-01"),0)))-1)/4*100,"")</f>
        <v/>
      </c>
      <c r="Y554" t="e">
        <f t="shared" ca="1" si="17"/>
        <v>#DIV/0!</v>
      </c>
    </row>
    <row r="555" spans="12:25" x14ac:dyDescent="0.2">
      <c r="L555" t="str">
        <f t="shared" si="16"/>
        <v/>
      </c>
      <c r="M555" t="str">
        <f>IFERROR(AVERAGEIFS(Prod_5dias!$H$2:$H$1000,Prod_5dias!$A$2:$A$1000,$A555,Prod_5dias!$B$2:$B$1000,$B555),"")</f>
        <v/>
      </c>
      <c r="N555" t="str">
        <f>IF(M555="","",MIN(100,100*M555/Parametros!$B$7))</f>
        <v/>
      </c>
      <c r="O555" t="str">
        <f>IF(F555="","",IF(F555=0,100,MIN(100,100*Parametros!$B$3/F555)))</f>
        <v/>
      </c>
      <c r="P555" t="str">
        <f ca="1">IFERROR(((AVERAGEIFS(Observacion_Directa!$E$2:$E$1000,Observacion_Directa!$A$2:$A$1000,$A555,Observacion_Directa!$B$2:$B$1000,"&gt;="&amp;DATEVALUE($B555&amp;"-01"),Observacion_Directa!$B$2:$B$1000,"&lt;="&amp;EOMONTH(DATEVALUE($B555&amp;"-01"),0)))-1)/4*100,"")</f>
        <v/>
      </c>
      <c r="Q555" t="str">
        <f>IF(H555="","",MIN(100,100*H555/Parametros!$B$4))</f>
        <v/>
      </c>
      <c r="R555" t="str">
        <f>IF(I555="","",IF(I555=0,100,MIN(100,100*Parametros!$B$5/I555)))</f>
        <v/>
      </c>
      <c r="S555" t="str">
        <f>IF(J555="","",IF(J555=0,100,MIN(100,100*Parametros!$B$6/J555)))</f>
        <v/>
      </c>
      <c r="T555" t="str">
        <f>IF(L555="","",MIN(100,100*L555/Parametros!$B$7))</f>
        <v/>
      </c>
      <c r="U555" t="str">
        <f>IF(K555="","",MIN(100,100*K555/Parametros!$B$8))</f>
        <v/>
      </c>
      <c r="V555" t="str">
        <f ca="1">IFERROR(((AVERAGEIFS(Documentacion!$C$2:$C$1000,Documentacion!$A$2:$A$1000,$A555,Documentacion!$B$2:$B$1000,"&gt;="&amp;DATEVALUE($B555&amp;"-01"),Documentacion!$B$2:$B$1000,"&lt;="&amp;EOMONTH(DATEVALUE($B555&amp;"-01"),0)))-1)/4*100,"")</f>
        <v/>
      </c>
      <c r="W555" t="str">
        <f ca="1">IFERROR(((AVERAGEIFS(Feedback_360!$D$2:$D$1000,Feedback_360!$A$2:$A$1000,$A555,Feedback_360!$B$2:$B$1000,"&gt;="&amp;DATEVALUE($B555&amp;"-01"),Feedback_360!$B$2:$B$1000,"&lt;="&amp;EOMONTH(DATEVALUE($B555&amp;"-01"),0)))-1)/4*100,"")</f>
        <v/>
      </c>
      <c r="X555" t="str">
        <f ca="1">IFERROR(((AVERAGEIFS(Observacion_Directa!$D$2:$D$1000,Observacion_Directa!$A$2:$A$1000,$A555,Observacion_Directa!$B$2:$B$1000,"&gt;="&amp;DATEVALUE($B555&amp;"-01"),Observacion_Directa!$B$2:$B$1000,"&lt;="&amp;EOMONTH(DATEVALUE($B555&amp;"-01"),0)))-1)/4*100,"")</f>
        <v/>
      </c>
      <c r="Y555" t="e">
        <f t="shared" ca="1" si="17"/>
        <v>#DIV/0!</v>
      </c>
    </row>
    <row r="556" spans="12:25" x14ac:dyDescent="0.2">
      <c r="L556" t="str">
        <f t="shared" si="16"/>
        <v/>
      </c>
      <c r="M556" t="str">
        <f>IFERROR(AVERAGEIFS(Prod_5dias!$H$2:$H$1000,Prod_5dias!$A$2:$A$1000,$A556,Prod_5dias!$B$2:$B$1000,$B556),"")</f>
        <v/>
      </c>
      <c r="N556" t="str">
        <f>IF(M556="","",MIN(100,100*M556/Parametros!$B$7))</f>
        <v/>
      </c>
      <c r="O556" t="str">
        <f>IF(F556="","",IF(F556=0,100,MIN(100,100*Parametros!$B$3/F556)))</f>
        <v/>
      </c>
      <c r="P556" t="str">
        <f ca="1">IFERROR(((AVERAGEIFS(Observacion_Directa!$E$2:$E$1000,Observacion_Directa!$A$2:$A$1000,$A556,Observacion_Directa!$B$2:$B$1000,"&gt;="&amp;DATEVALUE($B556&amp;"-01"),Observacion_Directa!$B$2:$B$1000,"&lt;="&amp;EOMONTH(DATEVALUE($B556&amp;"-01"),0)))-1)/4*100,"")</f>
        <v/>
      </c>
      <c r="Q556" t="str">
        <f>IF(H556="","",MIN(100,100*H556/Parametros!$B$4))</f>
        <v/>
      </c>
      <c r="R556" t="str">
        <f>IF(I556="","",IF(I556=0,100,MIN(100,100*Parametros!$B$5/I556)))</f>
        <v/>
      </c>
      <c r="S556" t="str">
        <f>IF(J556="","",IF(J556=0,100,MIN(100,100*Parametros!$B$6/J556)))</f>
        <v/>
      </c>
      <c r="T556" t="str">
        <f>IF(L556="","",MIN(100,100*L556/Parametros!$B$7))</f>
        <v/>
      </c>
      <c r="U556" t="str">
        <f>IF(K556="","",MIN(100,100*K556/Parametros!$B$8))</f>
        <v/>
      </c>
      <c r="V556" t="str">
        <f ca="1">IFERROR(((AVERAGEIFS(Documentacion!$C$2:$C$1000,Documentacion!$A$2:$A$1000,$A556,Documentacion!$B$2:$B$1000,"&gt;="&amp;DATEVALUE($B556&amp;"-01"),Documentacion!$B$2:$B$1000,"&lt;="&amp;EOMONTH(DATEVALUE($B556&amp;"-01"),0)))-1)/4*100,"")</f>
        <v/>
      </c>
      <c r="W556" t="str">
        <f ca="1">IFERROR(((AVERAGEIFS(Feedback_360!$D$2:$D$1000,Feedback_360!$A$2:$A$1000,$A556,Feedback_360!$B$2:$B$1000,"&gt;="&amp;DATEVALUE($B556&amp;"-01"),Feedback_360!$B$2:$B$1000,"&lt;="&amp;EOMONTH(DATEVALUE($B556&amp;"-01"),0)))-1)/4*100,"")</f>
        <v/>
      </c>
      <c r="X556" t="str">
        <f ca="1">IFERROR(((AVERAGEIFS(Observacion_Directa!$D$2:$D$1000,Observacion_Directa!$A$2:$A$1000,$A556,Observacion_Directa!$B$2:$B$1000,"&gt;="&amp;DATEVALUE($B556&amp;"-01"),Observacion_Directa!$B$2:$B$1000,"&lt;="&amp;EOMONTH(DATEVALUE($B556&amp;"-01"),0)))-1)/4*100,"")</f>
        <v/>
      </c>
      <c r="Y556" t="e">
        <f t="shared" ca="1" si="17"/>
        <v>#DIV/0!</v>
      </c>
    </row>
    <row r="557" spans="12:25" x14ac:dyDescent="0.2">
      <c r="L557" t="str">
        <f t="shared" si="16"/>
        <v/>
      </c>
      <c r="M557" t="str">
        <f>IFERROR(AVERAGEIFS(Prod_5dias!$H$2:$H$1000,Prod_5dias!$A$2:$A$1000,$A557,Prod_5dias!$B$2:$B$1000,$B557),"")</f>
        <v/>
      </c>
      <c r="N557" t="str">
        <f>IF(M557="","",MIN(100,100*M557/Parametros!$B$7))</f>
        <v/>
      </c>
      <c r="O557" t="str">
        <f>IF(F557="","",IF(F557=0,100,MIN(100,100*Parametros!$B$3/F557)))</f>
        <v/>
      </c>
      <c r="P557" t="str">
        <f ca="1">IFERROR(((AVERAGEIFS(Observacion_Directa!$E$2:$E$1000,Observacion_Directa!$A$2:$A$1000,$A557,Observacion_Directa!$B$2:$B$1000,"&gt;="&amp;DATEVALUE($B557&amp;"-01"),Observacion_Directa!$B$2:$B$1000,"&lt;="&amp;EOMONTH(DATEVALUE($B557&amp;"-01"),0)))-1)/4*100,"")</f>
        <v/>
      </c>
      <c r="Q557" t="str">
        <f>IF(H557="","",MIN(100,100*H557/Parametros!$B$4))</f>
        <v/>
      </c>
      <c r="R557" t="str">
        <f>IF(I557="","",IF(I557=0,100,MIN(100,100*Parametros!$B$5/I557)))</f>
        <v/>
      </c>
      <c r="S557" t="str">
        <f>IF(J557="","",IF(J557=0,100,MIN(100,100*Parametros!$B$6/J557)))</f>
        <v/>
      </c>
      <c r="T557" t="str">
        <f>IF(L557="","",MIN(100,100*L557/Parametros!$B$7))</f>
        <v/>
      </c>
      <c r="U557" t="str">
        <f>IF(K557="","",MIN(100,100*K557/Parametros!$B$8))</f>
        <v/>
      </c>
      <c r="V557" t="str">
        <f ca="1">IFERROR(((AVERAGEIFS(Documentacion!$C$2:$C$1000,Documentacion!$A$2:$A$1000,$A557,Documentacion!$B$2:$B$1000,"&gt;="&amp;DATEVALUE($B557&amp;"-01"),Documentacion!$B$2:$B$1000,"&lt;="&amp;EOMONTH(DATEVALUE($B557&amp;"-01"),0)))-1)/4*100,"")</f>
        <v/>
      </c>
      <c r="W557" t="str">
        <f ca="1">IFERROR(((AVERAGEIFS(Feedback_360!$D$2:$D$1000,Feedback_360!$A$2:$A$1000,$A557,Feedback_360!$B$2:$B$1000,"&gt;="&amp;DATEVALUE($B557&amp;"-01"),Feedback_360!$B$2:$B$1000,"&lt;="&amp;EOMONTH(DATEVALUE($B557&amp;"-01"),0)))-1)/4*100,"")</f>
        <v/>
      </c>
      <c r="X557" t="str">
        <f ca="1">IFERROR(((AVERAGEIFS(Observacion_Directa!$D$2:$D$1000,Observacion_Directa!$A$2:$A$1000,$A557,Observacion_Directa!$B$2:$B$1000,"&gt;="&amp;DATEVALUE($B557&amp;"-01"),Observacion_Directa!$B$2:$B$1000,"&lt;="&amp;EOMONTH(DATEVALUE($B557&amp;"-01"),0)))-1)/4*100,"")</f>
        <v/>
      </c>
      <c r="Y557" t="e">
        <f t="shared" ca="1" si="17"/>
        <v>#DIV/0!</v>
      </c>
    </row>
    <row r="558" spans="12:25" x14ac:dyDescent="0.2">
      <c r="L558" t="str">
        <f t="shared" si="16"/>
        <v/>
      </c>
      <c r="M558" t="str">
        <f>IFERROR(AVERAGEIFS(Prod_5dias!$H$2:$H$1000,Prod_5dias!$A$2:$A$1000,$A558,Prod_5dias!$B$2:$B$1000,$B558),"")</f>
        <v/>
      </c>
      <c r="N558" t="str">
        <f>IF(M558="","",MIN(100,100*M558/Parametros!$B$7))</f>
        <v/>
      </c>
      <c r="O558" t="str">
        <f>IF(F558="","",IF(F558=0,100,MIN(100,100*Parametros!$B$3/F558)))</f>
        <v/>
      </c>
      <c r="P558" t="str">
        <f ca="1">IFERROR(((AVERAGEIFS(Observacion_Directa!$E$2:$E$1000,Observacion_Directa!$A$2:$A$1000,$A558,Observacion_Directa!$B$2:$B$1000,"&gt;="&amp;DATEVALUE($B558&amp;"-01"),Observacion_Directa!$B$2:$B$1000,"&lt;="&amp;EOMONTH(DATEVALUE($B558&amp;"-01"),0)))-1)/4*100,"")</f>
        <v/>
      </c>
      <c r="Q558" t="str">
        <f>IF(H558="","",MIN(100,100*H558/Parametros!$B$4))</f>
        <v/>
      </c>
      <c r="R558" t="str">
        <f>IF(I558="","",IF(I558=0,100,MIN(100,100*Parametros!$B$5/I558)))</f>
        <v/>
      </c>
      <c r="S558" t="str">
        <f>IF(J558="","",IF(J558=0,100,MIN(100,100*Parametros!$B$6/J558)))</f>
        <v/>
      </c>
      <c r="T558" t="str">
        <f>IF(L558="","",MIN(100,100*L558/Parametros!$B$7))</f>
        <v/>
      </c>
      <c r="U558" t="str">
        <f>IF(K558="","",MIN(100,100*K558/Parametros!$B$8))</f>
        <v/>
      </c>
      <c r="V558" t="str">
        <f ca="1">IFERROR(((AVERAGEIFS(Documentacion!$C$2:$C$1000,Documentacion!$A$2:$A$1000,$A558,Documentacion!$B$2:$B$1000,"&gt;="&amp;DATEVALUE($B558&amp;"-01"),Documentacion!$B$2:$B$1000,"&lt;="&amp;EOMONTH(DATEVALUE($B558&amp;"-01"),0)))-1)/4*100,"")</f>
        <v/>
      </c>
      <c r="W558" t="str">
        <f ca="1">IFERROR(((AVERAGEIFS(Feedback_360!$D$2:$D$1000,Feedback_360!$A$2:$A$1000,$A558,Feedback_360!$B$2:$B$1000,"&gt;="&amp;DATEVALUE($B558&amp;"-01"),Feedback_360!$B$2:$B$1000,"&lt;="&amp;EOMONTH(DATEVALUE($B558&amp;"-01"),0)))-1)/4*100,"")</f>
        <v/>
      </c>
      <c r="X558" t="str">
        <f ca="1">IFERROR(((AVERAGEIFS(Observacion_Directa!$D$2:$D$1000,Observacion_Directa!$A$2:$A$1000,$A558,Observacion_Directa!$B$2:$B$1000,"&gt;="&amp;DATEVALUE($B558&amp;"-01"),Observacion_Directa!$B$2:$B$1000,"&lt;="&amp;EOMONTH(DATEVALUE($B558&amp;"-01"),0)))-1)/4*100,"")</f>
        <v/>
      </c>
      <c r="Y558" t="e">
        <f t="shared" ca="1" si="17"/>
        <v>#DIV/0!</v>
      </c>
    </row>
    <row r="559" spans="12:25" x14ac:dyDescent="0.2">
      <c r="L559" t="str">
        <f t="shared" si="16"/>
        <v/>
      </c>
      <c r="M559" t="str">
        <f>IFERROR(AVERAGEIFS(Prod_5dias!$H$2:$H$1000,Prod_5dias!$A$2:$A$1000,$A559,Prod_5dias!$B$2:$B$1000,$B559),"")</f>
        <v/>
      </c>
      <c r="N559" t="str">
        <f>IF(M559="","",MIN(100,100*M559/Parametros!$B$7))</f>
        <v/>
      </c>
      <c r="O559" t="str">
        <f>IF(F559="","",IF(F559=0,100,MIN(100,100*Parametros!$B$3/F559)))</f>
        <v/>
      </c>
      <c r="P559" t="str">
        <f ca="1">IFERROR(((AVERAGEIFS(Observacion_Directa!$E$2:$E$1000,Observacion_Directa!$A$2:$A$1000,$A559,Observacion_Directa!$B$2:$B$1000,"&gt;="&amp;DATEVALUE($B559&amp;"-01"),Observacion_Directa!$B$2:$B$1000,"&lt;="&amp;EOMONTH(DATEVALUE($B559&amp;"-01"),0)))-1)/4*100,"")</f>
        <v/>
      </c>
      <c r="Q559" t="str">
        <f>IF(H559="","",MIN(100,100*H559/Parametros!$B$4))</f>
        <v/>
      </c>
      <c r="R559" t="str">
        <f>IF(I559="","",IF(I559=0,100,MIN(100,100*Parametros!$B$5/I559)))</f>
        <v/>
      </c>
      <c r="S559" t="str">
        <f>IF(J559="","",IF(J559=0,100,MIN(100,100*Parametros!$B$6/J559)))</f>
        <v/>
      </c>
      <c r="T559" t="str">
        <f>IF(L559="","",MIN(100,100*L559/Parametros!$B$7))</f>
        <v/>
      </c>
      <c r="U559" t="str">
        <f>IF(K559="","",MIN(100,100*K559/Parametros!$B$8))</f>
        <v/>
      </c>
      <c r="V559" t="str">
        <f ca="1">IFERROR(((AVERAGEIFS(Documentacion!$C$2:$C$1000,Documentacion!$A$2:$A$1000,$A559,Documentacion!$B$2:$B$1000,"&gt;="&amp;DATEVALUE($B559&amp;"-01"),Documentacion!$B$2:$B$1000,"&lt;="&amp;EOMONTH(DATEVALUE($B559&amp;"-01"),0)))-1)/4*100,"")</f>
        <v/>
      </c>
      <c r="W559" t="str">
        <f ca="1">IFERROR(((AVERAGEIFS(Feedback_360!$D$2:$D$1000,Feedback_360!$A$2:$A$1000,$A559,Feedback_360!$B$2:$B$1000,"&gt;="&amp;DATEVALUE($B559&amp;"-01"),Feedback_360!$B$2:$B$1000,"&lt;="&amp;EOMONTH(DATEVALUE($B559&amp;"-01"),0)))-1)/4*100,"")</f>
        <v/>
      </c>
      <c r="X559" t="str">
        <f ca="1">IFERROR(((AVERAGEIFS(Observacion_Directa!$D$2:$D$1000,Observacion_Directa!$A$2:$A$1000,$A559,Observacion_Directa!$B$2:$B$1000,"&gt;="&amp;DATEVALUE($B559&amp;"-01"),Observacion_Directa!$B$2:$B$1000,"&lt;="&amp;EOMONTH(DATEVALUE($B559&amp;"-01"),0)))-1)/4*100,"")</f>
        <v/>
      </c>
      <c r="Y559" t="e">
        <f t="shared" ca="1" si="17"/>
        <v>#DIV/0!</v>
      </c>
    </row>
    <row r="560" spans="12:25" x14ac:dyDescent="0.2">
      <c r="L560" t="str">
        <f t="shared" si="16"/>
        <v/>
      </c>
      <c r="M560" t="str">
        <f>IFERROR(AVERAGEIFS(Prod_5dias!$H$2:$H$1000,Prod_5dias!$A$2:$A$1000,$A560,Prod_5dias!$B$2:$B$1000,$B560),"")</f>
        <v/>
      </c>
      <c r="N560" t="str">
        <f>IF(M560="","",MIN(100,100*M560/Parametros!$B$7))</f>
        <v/>
      </c>
      <c r="O560" t="str">
        <f>IF(F560="","",IF(F560=0,100,MIN(100,100*Parametros!$B$3/F560)))</f>
        <v/>
      </c>
      <c r="P560" t="str">
        <f ca="1">IFERROR(((AVERAGEIFS(Observacion_Directa!$E$2:$E$1000,Observacion_Directa!$A$2:$A$1000,$A560,Observacion_Directa!$B$2:$B$1000,"&gt;="&amp;DATEVALUE($B560&amp;"-01"),Observacion_Directa!$B$2:$B$1000,"&lt;="&amp;EOMONTH(DATEVALUE($B560&amp;"-01"),0)))-1)/4*100,"")</f>
        <v/>
      </c>
      <c r="Q560" t="str">
        <f>IF(H560="","",MIN(100,100*H560/Parametros!$B$4))</f>
        <v/>
      </c>
      <c r="R560" t="str">
        <f>IF(I560="","",IF(I560=0,100,MIN(100,100*Parametros!$B$5/I560)))</f>
        <v/>
      </c>
      <c r="S560" t="str">
        <f>IF(J560="","",IF(J560=0,100,MIN(100,100*Parametros!$B$6/J560)))</f>
        <v/>
      </c>
      <c r="T560" t="str">
        <f>IF(L560="","",MIN(100,100*L560/Parametros!$B$7))</f>
        <v/>
      </c>
      <c r="U560" t="str">
        <f>IF(K560="","",MIN(100,100*K560/Parametros!$B$8))</f>
        <v/>
      </c>
      <c r="V560" t="str">
        <f ca="1">IFERROR(((AVERAGEIFS(Documentacion!$C$2:$C$1000,Documentacion!$A$2:$A$1000,$A560,Documentacion!$B$2:$B$1000,"&gt;="&amp;DATEVALUE($B560&amp;"-01"),Documentacion!$B$2:$B$1000,"&lt;="&amp;EOMONTH(DATEVALUE($B560&amp;"-01"),0)))-1)/4*100,"")</f>
        <v/>
      </c>
      <c r="W560" t="str">
        <f ca="1">IFERROR(((AVERAGEIFS(Feedback_360!$D$2:$D$1000,Feedback_360!$A$2:$A$1000,$A560,Feedback_360!$B$2:$B$1000,"&gt;="&amp;DATEVALUE($B560&amp;"-01"),Feedback_360!$B$2:$B$1000,"&lt;="&amp;EOMONTH(DATEVALUE($B560&amp;"-01"),0)))-1)/4*100,"")</f>
        <v/>
      </c>
      <c r="X560" t="str">
        <f ca="1">IFERROR(((AVERAGEIFS(Observacion_Directa!$D$2:$D$1000,Observacion_Directa!$A$2:$A$1000,$A560,Observacion_Directa!$B$2:$B$1000,"&gt;="&amp;DATEVALUE($B560&amp;"-01"),Observacion_Directa!$B$2:$B$1000,"&lt;="&amp;EOMONTH(DATEVALUE($B560&amp;"-01"),0)))-1)/4*100,"")</f>
        <v/>
      </c>
      <c r="Y560" t="e">
        <f t="shared" ca="1" si="17"/>
        <v>#DIV/0!</v>
      </c>
    </row>
    <row r="561" spans="12:25" x14ac:dyDescent="0.2">
      <c r="L561" t="str">
        <f t="shared" si="16"/>
        <v/>
      </c>
      <c r="M561" t="str">
        <f>IFERROR(AVERAGEIFS(Prod_5dias!$H$2:$H$1000,Prod_5dias!$A$2:$A$1000,$A561,Prod_5dias!$B$2:$B$1000,$B561),"")</f>
        <v/>
      </c>
      <c r="N561" t="str">
        <f>IF(M561="","",MIN(100,100*M561/Parametros!$B$7))</f>
        <v/>
      </c>
      <c r="O561" t="str">
        <f>IF(F561="","",IF(F561=0,100,MIN(100,100*Parametros!$B$3/F561)))</f>
        <v/>
      </c>
      <c r="P561" t="str">
        <f ca="1">IFERROR(((AVERAGEIFS(Observacion_Directa!$E$2:$E$1000,Observacion_Directa!$A$2:$A$1000,$A561,Observacion_Directa!$B$2:$B$1000,"&gt;="&amp;DATEVALUE($B561&amp;"-01"),Observacion_Directa!$B$2:$B$1000,"&lt;="&amp;EOMONTH(DATEVALUE($B561&amp;"-01"),0)))-1)/4*100,"")</f>
        <v/>
      </c>
      <c r="Q561" t="str">
        <f>IF(H561="","",MIN(100,100*H561/Parametros!$B$4))</f>
        <v/>
      </c>
      <c r="R561" t="str">
        <f>IF(I561="","",IF(I561=0,100,MIN(100,100*Parametros!$B$5/I561)))</f>
        <v/>
      </c>
      <c r="S561" t="str">
        <f>IF(J561="","",IF(J561=0,100,MIN(100,100*Parametros!$B$6/J561)))</f>
        <v/>
      </c>
      <c r="T561" t="str">
        <f>IF(L561="","",MIN(100,100*L561/Parametros!$B$7))</f>
        <v/>
      </c>
      <c r="U561" t="str">
        <f>IF(K561="","",MIN(100,100*K561/Parametros!$B$8))</f>
        <v/>
      </c>
      <c r="V561" t="str">
        <f ca="1">IFERROR(((AVERAGEIFS(Documentacion!$C$2:$C$1000,Documentacion!$A$2:$A$1000,$A561,Documentacion!$B$2:$B$1000,"&gt;="&amp;DATEVALUE($B561&amp;"-01"),Documentacion!$B$2:$B$1000,"&lt;="&amp;EOMONTH(DATEVALUE($B561&amp;"-01"),0)))-1)/4*100,"")</f>
        <v/>
      </c>
      <c r="W561" t="str">
        <f ca="1">IFERROR(((AVERAGEIFS(Feedback_360!$D$2:$D$1000,Feedback_360!$A$2:$A$1000,$A561,Feedback_360!$B$2:$B$1000,"&gt;="&amp;DATEVALUE($B561&amp;"-01"),Feedback_360!$B$2:$B$1000,"&lt;="&amp;EOMONTH(DATEVALUE($B561&amp;"-01"),0)))-1)/4*100,"")</f>
        <v/>
      </c>
      <c r="X561" t="str">
        <f ca="1">IFERROR(((AVERAGEIFS(Observacion_Directa!$D$2:$D$1000,Observacion_Directa!$A$2:$A$1000,$A561,Observacion_Directa!$B$2:$B$1000,"&gt;="&amp;DATEVALUE($B561&amp;"-01"),Observacion_Directa!$B$2:$B$1000,"&lt;="&amp;EOMONTH(DATEVALUE($B561&amp;"-01"),0)))-1)/4*100,"")</f>
        <v/>
      </c>
      <c r="Y561" t="e">
        <f t="shared" ca="1" si="17"/>
        <v>#DIV/0!</v>
      </c>
    </row>
    <row r="562" spans="12:25" x14ac:dyDescent="0.2">
      <c r="L562" t="str">
        <f t="shared" si="16"/>
        <v/>
      </c>
      <c r="M562" t="str">
        <f>IFERROR(AVERAGEIFS(Prod_5dias!$H$2:$H$1000,Prod_5dias!$A$2:$A$1000,$A562,Prod_5dias!$B$2:$B$1000,$B562),"")</f>
        <v/>
      </c>
      <c r="N562" t="str">
        <f>IF(M562="","",MIN(100,100*M562/Parametros!$B$7))</f>
        <v/>
      </c>
      <c r="O562" t="str">
        <f>IF(F562="","",IF(F562=0,100,MIN(100,100*Parametros!$B$3/F562)))</f>
        <v/>
      </c>
      <c r="P562" t="str">
        <f ca="1">IFERROR(((AVERAGEIFS(Observacion_Directa!$E$2:$E$1000,Observacion_Directa!$A$2:$A$1000,$A562,Observacion_Directa!$B$2:$B$1000,"&gt;="&amp;DATEVALUE($B562&amp;"-01"),Observacion_Directa!$B$2:$B$1000,"&lt;="&amp;EOMONTH(DATEVALUE($B562&amp;"-01"),0)))-1)/4*100,"")</f>
        <v/>
      </c>
      <c r="Q562" t="str">
        <f>IF(H562="","",MIN(100,100*H562/Parametros!$B$4))</f>
        <v/>
      </c>
      <c r="R562" t="str">
        <f>IF(I562="","",IF(I562=0,100,MIN(100,100*Parametros!$B$5/I562)))</f>
        <v/>
      </c>
      <c r="S562" t="str">
        <f>IF(J562="","",IF(J562=0,100,MIN(100,100*Parametros!$B$6/J562)))</f>
        <v/>
      </c>
      <c r="T562" t="str">
        <f>IF(L562="","",MIN(100,100*L562/Parametros!$B$7))</f>
        <v/>
      </c>
      <c r="U562" t="str">
        <f>IF(K562="","",MIN(100,100*K562/Parametros!$B$8))</f>
        <v/>
      </c>
      <c r="V562" t="str">
        <f ca="1">IFERROR(((AVERAGEIFS(Documentacion!$C$2:$C$1000,Documentacion!$A$2:$A$1000,$A562,Documentacion!$B$2:$B$1000,"&gt;="&amp;DATEVALUE($B562&amp;"-01"),Documentacion!$B$2:$B$1000,"&lt;="&amp;EOMONTH(DATEVALUE($B562&amp;"-01"),0)))-1)/4*100,"")</f>
        <v/>
      </c>
      <c r="W562" t="str">
        <f ca="1">IFERROR(((AVERAGEIFS(Feedback_360!$D$2:$D$1000,Feedback_360!$A$2:$A$1000,$A562,Feedback_360!$B$2:$B$1000,"&gt;="&amp;DATEVALUE($B562&amp;"-01"),Feedback_360!$B$2:$B$1000,"&lt;="&amp;EOMONTH(DATEVALUE($B562&amp;"-01"),0)))-1)/4*100,"")</f>
        <v/>
      </c>
      <c r="X562" t="str">
        <f ca="1">IFERROR(((AVERAGEIFS(Observacion_Directa!$D$2:$D$1000,Observacion_Directa!$A$2:$A$1000,$A562,Observacion_Directa!$B$2:$B$1000,"&gt;="&amp;DATEVALUE($B562&amp;"-01"),Observacion_Directa!$B$2:$B$1000,"&lt;="&amp;EOMONTH(DATEVALUE($B562&amp;"-01"),0)))-1)/4*100,"")</f>
        <v/>
      </c>
      <c r="Y562" t="e">
        <f t="shared" ca="1" si="17"/>
        <v>#DIV/0!</v>
      </c>
    </row>
    <row r="563" spans="12:25" x14ac:dyDescent="0.2">
      <c r="L563" t="str">
        <f t="shared" si="16"/>
        <v/>
      </c>
      <c r="M563" t="str">
        <f>IFERROR(AVERAGEIFS(Prod_5dias!$H$2:$H$1000,Prod_5dias!$A$2:$A$1000,$A563,Prod_5dias!$B$2:$B$1000,$B563),"")</f>
        <v/>
      </c>
      <c r="N563" t="str">
        <f>IF(M563="","",MIN(100,100*M563/Parametros!$B$7))</f>
        <v/>
      </c>
      <c r="O563" t="str">
        <f>IF(F563="","",IF(F563=0,100,MIN(100,100*Parametros!$B$3/F563)))</f>
        <v/>
      </c>
      <c r="P563" t="str">
        <f ca="1">IFERROR(((AVERAGEIFS(Observacion_Directa!$E$2:$E$1000,Observacion_Directa!$A$2:$A$1000,$A563,Observacion_Directa!$B$2:$B$1000,"&gt;="&amp;DATEVALUE($B563&amp;"-01"),Observacion_Directa!$B$2:$B$1000,"&lt;="&amp;EOMONTH(DATEVALUE($B563&amp;"-01"),0)))-1)/4*100,"")</f>
        <v/>
      </c>
      <c r="Q563" t="str">
        <f>IF(H563="","",MIN(100,100*H563/Parametros!$B$4))</f>
        <v/>
      </c>
      <c r="R563" t="str">
        <f>IF(I563="","",IF(I563=0,100,MIN(100,100*Parametros!$B$5/I563)))</f>
        <v/>
      </c>
      <c r="S563" t="str">
        <f>IF(J563="","",IF(J563=0,100,MIN(100,100*Parametros!$B$6/J563)))</f>
        <v/>
      </c>
      <c r="T563" t="str">
        <f>IF(L563="","",MIN(100,100*L563/Parametros!$B$7))</f>
        <v/>
      </c>
      <c r="U563" t="str">
        <f>IF(K563="","",MIN(100,100*K563/Parametros!$B$8))</f>
        <v/>
      </c>
      <c r="V563" t="str">
        <f ca="1">IFERROR(((AVERAGEIFS(Documentacion!$C$2:$C$1000,Documentacion!$A$2:$A$1000,$A563,Documentacion!$B$2:$B$1000,"&gt;="&amp;DATEVALUE($B563&amp;"-01"),Documentacion!$B$2:$B$1000,"&lt;="&amp;EOMONTH(DATEVALUE($B563&amp;"-01"),0)))-1)/4*100,"")</f>
        <v/>
      </c>
      <c r="W563" t="str">
        <f ca="1">IFERROR(((AVERAGEIFS(Feedback_360!$D$2:$D$1000,Feedback_360!$A$2:$A$1000,$A563,Feedback_360!$B$2:$B$1000,"&gt;="&amp;DATEVALUE($B563&amp;"-01"),Feedback_360!$B$2:$B$1000,"&lt;="&amp;EOMONTH(DATEVALUE($B563&amp;"-01"),0)))-1)/4*100,"")</f>
        <v/>
      </c>
      <c r="X563" t="str">
        <f ca="1">IFERROR(((AVERAGEIFS(Observacion_Directa!$D$2:$D$1000,Observacion_Directa!$A$2:$A$1000,$A563,Observacion_Directa!$B$2:$B$1000,"&gt;="&amp;DATEVALUE($B563&amp;"-01"),Observacion_Directa!$B$2:$B$1000,"&lt;="&amp;EOMONTH(DATEVALUE($B563&amp;"-01"),0)))-1)/4*100,"")</f>
        <v/>
      </c>
      <c r="Y563" t="e">
        <f t="shared" ca="1" si="17"/>
        <v>#DIV/0!</v>
      </c>
    </row>
    <row r="564" spans="12:25" x14ac:dyDescent="0.2">
      <c r="L564" t="str">
        <f t="shared" si="16"/>
        <v/>
      </c>
      <c r="M564" t="str">
        <f>IFERROR(AVERAGEIFS(Prod_5dias!$H$2:$H$1000,Prod_5dias!$A$2:$A$1000,$A564,Prod_5dias!$B$2:$B$1000,$B564),"")</f>
        <v/>
      </c>
      <c r="N564" t="str">
        <f>IF(M564="","",MIN(100,100*M564/Parametros!$B$7))</f>
        <v/>
      </c>
      <c r="O564" t="str">
        <f>IF(F564="","",IF(F564=0,100,MIN(100,100*Parametros!$B$3/F564)))</f>
        <v/>
      </c>
      <c r="P564" t="str">
        <f ca="1">IFERROR(((AVERAGEIFS(Observacion_Directa!$E$2:$E$1000,Observacion_Directa!$A$2:$A$1000,$A564,Observacion_Directa!$B$2:$B$1000,"&gt;="&amp;DATEVALUE($B564&amp;"-01"),Observacion_Directa!$B$2:$B$1000,"&lt;="&amp;EOMONTH(DATEVALUE($B564&amp;"-01"),0)))-1)/4*100,"")</f>
        <v/>
      </c>
      <c r="Q564" t="str">
        <f>IF(H564="","",MIN(100,100*H564/Parametros!$B$4))</f>
        <v/>
      </c>
      <c r="R564" t="str">
        <f>IF(I564="","",IF(I564=0,100,MIN(100,100*Parametros!$B$5/I564)))</f>
        <v/>
      </c>
      <c r="S564" t="str">
        <f>IF(J564="","",IF(J564=0,100,MIN(100,100*Parametros!$B$6/J564)))</f>
        <v/>
      </c>
      <c r="T564" t="str">
        <f>IF(L564="","",MIN(100,100*L564/Parametros!$B$7))</f>
        <v/>
      </c>
      <c r="U564" t="str">
        <f>IF(K564="","",MIN(100,100*K564/Parametros!$B$8))</f>
        <v/>
      </c>
      <c r="V564" t="str">
        <f ca="1">IFERROR(((AVERAGEIFS(Documentacion!$C$2:$C$1000,Documentacion!$A$2:$A$1000,$A564,Documentacion!$B$2:$B$1000,"&gt;="&amp;DATEVALUE($B564&amp;"-01"),Documentacion!$B$2:$B$1000,"&lt;="&amp;EOMONTH(DATEVALUE($B564&amp;"-01"),0)))-1)/4*100,"")</f>
        <v/>
      </c>
      <c r="W564" t="str">
        <f ca="1">IFERROR(((AVERAGEIFS(Feedback_360!$D$2:$D$1000,Feedback_360!$A$2:$A$1000,$A564,Feedback_360!$B$2:$B$1000,"&gt;="&amp;DATEVALUE($B564&amp;"-01"),Feedback_360!$B$2:$B$1000,"&lt;="&amp;EOMONTH(DATEVALUE($B564&amp;"-01"),0)))-1)/4*100,"")</f>
        <v/>
      </c>
      <c r="X564" t="str">
        <f ca="1">IFERROR(((AVERAGEIFS(Observacion_Directa!$D$2:$D$1000,Observacion_Directa!$A$2:$A$1000,$A564,Observacion_Directa!$B$2:$B$1000,"&gt;="&amp;DATEVALUE($B564&amp;"-01"),Observacion_Directa!$B$2:$B$1000,"&lt;="&amp;EOMONTH(DATEVALUE($B564&amp;"-01"),0)))-1)/4*100,"")</f>
        <v/>
      </c>
      <c r="Y564" t="e">
        <f t="shared" ca="1" si="17"/>
        <v>#DIV/0!</v>
      </c>
    </row>
    <row r="565" spans="12:25" x14ac:dyDescent="0.2">
      <c r="L565" t="str">
        <f t="shared" si="16"/>
        <v/>
      </c>
      <c r="M565" t="str">
        <f>IFERROR(AVERAGEIFS(Prod_5dias!$H$2:$H$1000,Prod_5dias!$A$2:$A$1000,$A565,Prod_5dias!$B$2:$B$1000,$B565),"")</f>
        <v/>
      </c>
      <c r="N565" t="str">
        <f>IF(M565="","",MIN(100,100*M565/Parametros!$B$7))</f>
        <v/>
      </c>
      <c r="O565" t="str">
        <f>IF(F565="","",IF(F565=0,100,MIN(100,100*Parametros!$B$3/F565)))</f>
        <v/>
      </c>
      <c r="P565" t="str">
        <f ca="1">IFERROR(((AVERAGEIFS(Observacion_Directa!$E$2:$E$1000,Observacion_Directa!$A$2:$A$1000,$A565,Observacion_Directa!$B$2:$B$1000,"&gt;="&amp;DATEVALUE($B565&amp;"-01"),Observacion_Directa!$B$2:$B$1000,"&lt;="&amp;EOMONTH(DATEVALUE($B565&amp;"-01"),0)))-1)/4*100,"")</f>
        <v/>
      </c>
      <c r="Q565" t="str">
        <f>IF(H565="","",MIN(100,100*H565/Parametros!$B$4))</f>
        <v/>
      </c>
      <c r="R565" t="str">
        <f>IF(I565="","",IF(I565=0,100,MIN(100,100*Parametros!$B$5/I565)))</f>
        <v/>
      </c>
      <c r="S565" t="str">
        <f>IF(J565="","",IF(J565=0,100,MIN(100,100*Parametros!$B$6/J565)))</f>
        <v/>
      </c>
      <c r="T565" t="str">
        <f>IF(L565="","",MIN(100,100*L565/Parametros!$B$7))</f>
        <v/>
      </c>
      <c r="U565" t="str">
        <f>IF(K565="","",MIN(100,100*K565/Parametros!$B$8))</f>
        <v/>
      </c>
      <c r="V565" t="str">
        <f ca="1">IFERROR(((AVERAGEIFS(Documentacion!$C$2:$C$1000,Documentacion!$A$2:$A$1000,$A565,Documentacion!$B$2:$B$1000,"&gt;="&amp;DATEVALUE($B565&amp;"-01"),Documentacion!$B$2:$B$1000,"&lt;="&amp;EOMONTH(DATEVALUE($B565&amp;"-01"),0)))-1)/4*100,"")</f>
        <v/>
      </c>
      <c r="W565" t="str">
        <f ca="1">IFERROR(((AVERAGEIFS(Feedback_360!$D$2:$D$1000,Feedback_360!$A$2:$A$1000,$A565,Feedback_360!$B$2:$B$1000,"&gt;="&amp;DATEVALUE($B565&amp;"-01"),Feedback_360!$B$2:$B$1000,"&lt;="&amp;EOMONTH(DATEVALUE($B565&amp;"-01"),0)))-1)/4*100,"")</f>
        <v/>
      </c>
      <c r="X565" t="str">
        <f ca="1">IFERROR(((AVERAGEIFS(Observacion_Directa!$D$2:$D$1000,Observacion_Directa!$A$2:$A$1000,$A565,Observacion_Directa!$B$2:$B$1000,"&gt;="&amp;DATEVALUE($B565&amp;"-01"),Observacion_Directa!$B$2:$B$1000,"&lt;="&amp;EOMONTH(DATEVALUE($B565&amp;"-01"),0)))-1)/4*100,"")</f>
        <v/>
      </c>
      <c r="Y565" t="e">
        <f t="shared" ca="1" si="17"/>
        <v>#DIV/0!</v>
      </c>
    </row>
    <row r="566" spans="12:25" x14ac:dyDescent="0.2">
      <c r="L566" t="str">
        <f t="shared" si="16"/>
        <v/>
      </c>
      <c r="M566" t="str">
        <f>IFERROR(AVERAGEIFS(Prod_5dias!$H$2:$H$1000,Prod_5dias!$A$2:$A$1000,$A566,Prod_5dias!$B$2:$B$1000,$B566),"")</f>
        <v/>
      </c>
      <c r="N566" t="str">
        <f>IF(M566="","",MIN(100,100*M566/Parametros!$B$7))</f>
        <v/>
      </c>
      <c r="O566" t="str">
        <f>IF(F566="","",IF(F566=0,100,MIN(100,100*Parametros!$B$3/F566)))</f>
        <v/>
      </c>
      <c r="P566" t="str">
        <f ca="1">IFERROR(((AVERAGEIFS(Observacion_Directa!$E$2:$E$1000,Observacion_Directa!$A$2:$A$1000,$A566,Observacion_Directa!$B$2:$B$1000,"&gt;="&amp;DATEVALUE($B566&amp;"-01"),Observacion_Directa!$B$2:$B$1000,"&lt;="&amp;EOMONTH(DATEVALUE($B566&amp;"-01"),0)))-1)/4*100,"")</f>
        <v/>
      </c>
      <c r="Q566" t="str">
        <f>IF(H566="","",MIN(100,100*H566/Parametros!$B$4))</f>
        <v/>
      </c>
      <c r="R566" t="str">
        <f>IF(I566="","",IF(I566=0,100,MIN(100,100*Parametros!$B$5/I566)))</f>
        <v/>
      </c>
      <c r="S566" t="str">
        <f>IF(J566="","",IF(J566=0,100,MIN(100,100*Parametros!$B$6/J566)))</f>
        <v/>
      </c>
      <c r="T566" t="str">
        <f>IF(L566="","",MIN(100,100*L566/Parametros!$B$7))</f>
        <v/>
      </c>
      <c r="U566" t="str">
        <f>IF(K566="","",MIN(100,100*K566/Parametros!$B$8))</f>
        <v/>
      </c>
      <c r="V566" t="str">
        <f ca="1">IFERROR(((AVERAGEIFS(Documentacion!$C$2:$C$1000,Documentacion!$A$2:$A$1000,$A566,Documentacion!$B$2:$B$1000,"&gt;="&amp;DATEVALUE($B566&amp;"-01"),Documentacion!$B$2:$B$1000,"&lt;="&amp;EOMONTH(DATEVALUE($B566&amp;"-01"),0)))-1)/4*100,"")</f>
        <v/>
      </c>
      <c r="W566" t="str">
        <f ca="1">IFERROR(((AVERAGEIFS(Feedback_360!$D$2:$D$1000,Feedback_360!$A$2:$A$1000,$A566,Feedback_360!$B$2:$B$1000,"&gt;="&amp;DATEVALUE($B566&amp;"-01"),Feedback_360!$B$2:$B$1000,"&lt;="&amp;EOMONTH(DATEVALUE($B566&amp;"-01"),0)))-1)/4*100,"")</f>
        <v/>
      </c>
      <c r="X566" t="str">
        <f ca="1">IFERROR(((AVERAGEIFS(Observacion_Directa!$D$2:$D$1000,Observacion_Directa!$A$2:$A$1000,$A566,Observacion_Directa!$B$2:$B$1000,"&gt;="&amp;DATEVALUE($B566&amp;"-01"),Observacion_Directa!$B$2:$B$1000,"&lt;="&amp;EOMONTH(DATEVALUE($B566&amp;"-01"),0)))-1)/4*100,"")</f>
        <v/>
      </c>
      <c r="Y566" t="e">
        <f t="shared" ca="1" si="17"/>
        <v>#DIV/0!</v>
      </c>
    </row>
    <row r="567" spans="12:25" x14ac:dyDescent="0.2">
      <c r="L567" t="str">
        <f t="shared" si="16"/>
        <v/>
      </c>
      <c r="M567" t="str">
        <f>IFERROR(AVERAGEIFS(Prod_5dias!$H$2:$H$1000,Prod_5dias!$A$2:$A$1000,$A567,Prod_5dias!$B$2:$B$1000,$B567),"")</f>
        <v/>
      </c>
      <c r="N567" t="str">
        <f>IF(M567="","",MIN(100,100*M567/Parametros!$B$7))</f>
        <v/>
      </c>
      <c r="O567" t="str">
        <f>IF(F567="","",IF(F567=0,100,MIN(100,100*Parametros!$B$3/F567)))</f>
        <v/>
      </c>
      <c r="P567" t="str">
        <f ca="1">IFERROR(((AVERAGEIFS(Observacion_Directa!$E$2:$E$1000,Observacion_Directa!$A$2:$A$1000,$A567,Observacion_Directa!$B$2:$B$1000,"&gt;="&amp;DATEVALUE($B567&amp;"-01"),Observacion_Directa!$B$2:$B$1000,"&lt;="&amp;EOMONTH(DATEVALUE($B567&amp;"-01"),0)))-1)/4*100,"")</f>
        <v/>
      </c>
      <c r="Q567" t="str">
        <f>IF(H567="","",MIN(100,100*H567/Parametros!$B$4))</f>
        <v/>
      </c>
      <c r="R567" t="str">
        <f>IF(I567="","",IF(I567=0,100,MIN(100,100*Parametros!$B$5/I567)))</f>
        <v/>
      </c>
      <c r="S567" t="str">
        <f>IF(J567="","",IF(J567=0,100,MIN(100,100*Parametros!$B$6/J567)))</f>
        <v/>
      </c>
      <c r="T567" t="str">
        <f>IF(L567="","",MIN(100,100*L567/Parametros!$B$7))</f>
        <v/>
      </c>
      <c r="U567" t="str">
        <f>IF(K567="","",MIN(100,100*K567/Parametros!$B$8))</f>
        <v/>
      </c>
      <c r="V567" t="str">
        <f ca="1">IFERROR(((AVERAGEIFS(Documentacion!$C$2:$C$1000,Documentacion!$A$2:$A$1000,$A567,Documentacion!$B$2:$B$1000,"&gt;="&amp;DATEVALUE($B567&amp;"-01"),Documentacion!$B$2:$B$1000,"&lt;="&amp;EOMONTH(DATEVALUE($B567&amp;"-01"),0)))-1)/4*100,"")</f>
        <v/>
      </c>
      <c r="W567" t="str">
        <f ca="1">IFERROR(((AVERAGEIFS(Feedback_360!$D$2:$D$1000,Feedback_360!$A$2:$A$1000,$A567,Feedback_360!$B$2:$B$1000,"&gt;="&amp;DATEVALUE($B567&amp;"-01"),Feedback_360!$B$2:$B$1000,"&lt;="&amp;EOMONTH(DATEVALUE($B567&amp;"-01"),0)))-1)/4*100,"")</f>
        <v/>
      </c>
      <c r="X567" t="str">
        <f ca="1">IFERROR(((AVERAGEIFS(Observacion_Directa!$D$2:$D$1000,Observacion_Directa!$A$2:$A$1000,$A567,Observacion_Directa!$B$2:$B$1000,"&gt;="&amp;DATEVALUE($B567&amp;"-01"),Observacion_Directa!$B$2:$B$1000,"&lt;="&amp;EOMONTH(DATEVALUE($B567&amp;"-01"),0)))-1)/4*100,"")</f>
        <v/>
      </c>
      <c r="Y567" t="e">
        <f t="shared" ca="1" si="17"/>
        <v>#DIV/0!</v>
      </c>
    </row>
    <row r="568" spans="12:25" x14ac:dyDescent="0.2">
      <c r="L568" t="str">
        <f t="shared" si="16"/>
        <v/>
      </c>
      <c r="M568" t="str">
        <f>IFERROR(AVERAGEIFS(Prod_5dias!$H$2:$H$1000,Prod_5dias!$A$2:$A$1000,$A568,Prod_5dias!$B$2:$B$1000,$B568),"")</f>
        <v/>
      </c>
      <c r="N568" t="str">
        <f>IF(M568="","",MIN(100,100*M568/Parametros!$B$7))</f>
        <v/>
      </c>
      <c r="O568" t="str">
        <f>IF(F568="","",IF(F568=0,100,MIN(100,100*Parametros!$B$3/F568)))</f>
        <v/>
      </c>
      <c r="P568" t="str">
        <f ca="1">IFERROR(((AVERAGEIFS(Observacion_Directa!$E$2:$E$1000,Observacion_Directa!$A$2:$A$1000,$A568,Observacion_Directa!$B$2:$B$1000,"&gt;="&amp;DATEVALUE($B568&amp;"-01"),Observacion_Directa!$B$2:$B$1000,"&lt;="&amp;EOMONTH(DATEVALUE($B568&amp;"-01"),0)))-1)/4*100,"")</f>
        <v/>
      </c>
      <c r="Q568" t="str">
        <f>IF(H568="","",MIN(100,100*H568/Parametros!$B$4))</f>
        <v/>
      </c>
      <c r="R568" t="str">
        <f>IF(I568="","",IF(I568=0,100,MIN(100,100*Parametros!$B$5/I568)))</f>
        <v/>
      </c>
      <c r="S568" t="str">
        <f>IF(J568="","",IF(J568=0,100,MIN(100,100*Parametros!$B$6/J568)))</f>
        <v/>
      </c>
      <c r="T568" t="str">
        <f>IF(L568="","",MIN(100,100*L568/Parametros!$B$7))</f>
        <v/>
      </c>
      <c r="U568" t="str">
        <f>IF(K568="","",MIN(100,100*K568/Parametros!$B$8))</f>
        <v/>
      </c>
      <c r="V568" t="str">
        <f ca="1">IFERROR(((AVERAGEIFS(Documentacion!$C$2:$C$1000,Documentacion!$A$2:$A$1000,$A568,Documentacion!$B$2:$B$1000,"&gt;="&amp;DATEVALUE($B568&amp;"-01"),Documentacion!$B$2:$B$1000,"&lt;="&amp;EOMONTH(DATEVALUE($B568&amp;"-01"),0)))-1)/4*100,"")</f>
        <v/>
      </c>
      <c r="W568" t="str">
        <f ca="1">IFERROR(((AVERAGEIFS(Feedback_360!$D$2:$D$1000,Feedback_360!$A$2:$A$1000,$A568,Feedback_360!$B$2:$B$1000,"&gt;="&amp;DATEVALUE($B568&amp;"-01"),Feedback_360!$B$2:$B$1000,"&lt;="&amp;EOMONTH(DATEVALUE($B568&amp;"-01"),0)))-1)/4*100,"")</f>
        <v/>
      </c>
      <c r="X568" t="str">
        <f ca="1">IFERROR(((AVERAGEIFS(Observacion_Directa!$D$2:$D$1000,Observacion_Directa!$A$2:$A$1000,$A568,Observacion_Directa!$B$2:$B$1000,"&gt;="&amp;DATEVALUE($B568&amp;"-01"),Observacion_Directa!$B$2:$B$1000,"&lt;="&amp;EOMONTH(DATEVALUE($B568&amp;"-01"),0)))-1)/4*100,"")</f>
        <v/>
      </c>
      <c r="Y568" t="e">
        <f t="shared" ca="1" si="17"/>
        <v>#DIV/0!</v>
      </c>
    </row>
    <row r="569" spans="12:25" x14ac:dyDescent="0.2">
      <c r="L569" t="str">
        <f t="shared" si="16"/>
        <v/>
      </c>
      <c r="M569" t="str">
        <f>IFERROR(AVERAGEIFS(Prod_5dias!$H$2:$H$1000,Prod_5dias!$A$2:$A$1000,$A569,Prod_5dias!$B$2:$B$1000,$B569),"")</f>
        <v/>
      </c>
      <c r="N569" t="str">
        <f>IF(M569="","",MIN(100,100*M569/Parametros!$B$7))</f>
        <v/>
      </c>
      <c r="O569" t="str">
        <f>IF(F569="","",IF(F569=0,100,MIN(100,100*Parametros!$B$3/F569)))</f>
        <v/>
      </c>
      <c r="P569" t="str">
        <f ca="1">IFERROR(((AVERAGEIFS(Observacion_Directa!$E$2:$E$1000,Observacion_Directa!$A$2:$A$1000,$A569,Observacion_Directa!$B$2:$B$1000,"&gt;="&amp;DATEVALUE($B569&amp;"-01"),Observacion_Directa!$B$2:$B$1000,"&lt;="&amp;EOMONTH(DATEVALUE($B569&amp;"-01"),0)))-1)/4*100,"")</f>
        <v/>
      </c>
      <c r="Q569" t="str">
        <f>IF(H569="","",MIN(100,100*H569/Parametros!$B$4))</f>
        <v/>
      </c>
      <c r="R569" t="str">
        <f>IF(I569="","",IF(I569=0,100,MIN(100,100*Parametros!$B$5/I569)))</f>
        <v/>
      </c>
      <c r="S569" t="str">
        <f>IF(J569="","",IF(J569=0,100,MIN(100,100*Parametros!$B$6/J569)))</f>
        <v/>
      </c>
      <c r="T569" t="str">
        <f>IF(L569="","",MIN(100,100*L569/Parametros!$B$7))</f>
        <v/>
      </c>
      <c r="U569" t="str">
        <f>IF(K569="","",MIN(100,100*K569/Parametros!$B$8))</f>
        <v/>
      </c>
      <c r="V569" t="str">
        <f ca="1">IFERROR(((AVERAGEIFS(Documentacion!$C$2:$C$1000,Documentacion!$A$2:$A$1000,$A569,Documentacion!$B$2:$B$1000,"&gt;="&amp;DATEVALUE($B569&amp;"-01"),Documentacion!$B$2:$B$1000,"&lt;="&amp;EOMONTH(DATEVALUE($B569&amp;"-01"),0)))-1)/4*100,"")</f>
        <v/>
      </c>
      <c r="W569" t="str">
        <f ca="1">IFERROR(((AVERAGEIFS(Feedback_360!$D$2:$D$1000,Feedback_360!$A$2:$A$1000,$A569,Feedback_360!$B$2:$B$1000,"&gt;="&amp;DATEVALUE($B569&amp;"-01"),Feedback_360!$B$2:$B$1000,"&lt;="&amp;EOMONTH(DATEVALUE($B569&amp;"-01"),0)))-1)/4*100,"")</f>
        <v/>
      </c>
      <c r="X569" t="str">
        <f ca="1">IFERROR(((AVERAGEIFS(Observacion_Directa!$D$2:$D$1000,Observacion_Directa!$A$2:$A$1000,$A569,Observacion_Directa!$B$2:$B$1000,"&gt;="&amp;DATEVALUE($B569&amp;"-01"),Observacion_Directa!$B$2:$B$1000,"&lt;="&amp;EOMONTH(DATEVALUE($B569&amp;"-01"),0)))-1)/4*100,"")</f>
        <v/>
      </c>
      <c r="Y569" t="e">
        <f t="shared" ca="1" si="17"/>
        <v>#DIV/0!</v>
      </c>
    </row>
    <row r="570" spans="12:25" x14ac:dyDescent="0.2">
      <c r="L570" t="str">
        <f t="shared" si="16"/>
        <v/>
      </c>
      <c r="M570" t="str">
        <f>IFERROR(AVERAGEIFS(Prod_5dias!$H$2:$H$1000,Prod_5dias!$A$2:$A$1000,$A570,Prod_5dias!$B$2:$B$1000,$B570),"")</f>
        <v/>
      </c>
      <c r="N570" t="str">
        <f>IF(M570="","",MIN(100,100*M570/Parametros!$B$7))</f>
        <v/>
      </c>
      <c r="O570" t="str">
        <f>IF(F570="","",IF(F570=0,100,MIN(100,100*Parametros!$B$3/F570)))</f>
        <v/>
      </c>
      <c r="P570" t="str">
        <f ca="1">IFERROR(((AVERAGEIFS(Observacion_Directa!$E$2:$E$1000,Observacion_Directa!$A$2:$A$1000,$A570,Observacion_Directa!$B$2:$B$1000,"&gt;="&amp;DATEVALUE($B570&amp;"-01"),Observacion_Directa!$B$2:$B$1000,"&lt;="&amp;EOMONTH(DATEVALUE($B570&amp;"-01"),0)))-1)/4*100,"")</f>
        <v/>
      </c>
      <c r="Q570" t="str">
        <f>IF(H570="","",MIN(100,100*H570/Parametros!$B$4))</f>
        <v/>
      </c>
      <c r="R570" t="str">
        <f>IF(I570="","",IF(I570=0,100,MIN(100,100*Parametros!$B$5/I570)))</f>
        <v/>
      </c>
      <c r="S570" t="str">
        <f>IF(J570="","",IF(J570=0,100,MIN(100,100*Parametros!$B$6/J570)))</f>
        <v/>
      </c>
      <c r="T570" t="str">
        <f>IF(L570="","",MIN(100,100*L570/Parametros!$B$7))</f>
        <v/>
      </c>
      <c r="U570" t="str">
        <f>IF(K570="","",MIN(100,100*K570/Parametros!$B$8))</f>
        <v/>
      </c>
      <c r="V570" t="str">
        <f ca="1">IFERROR(((AVERAGEIFS(Documentacion!$C$2:$C$1000,Documentacion!$A$2:$A$1000,$A570,Documentacion!$B$2:$B$1000,"&gt;="&amp;DATEVALUE($B570&amp;"-01"),Documentacion!$B$2:$B$1000,"&lt;="&amp;EOMONTH(DATEVALUE($B570&amp;"-01"),0)))-1)/4*100,"")</f>
        <v/>
      </c>
      <c r="W570" t="str">
        <f ca="1">IFERROR(((AVERAGEIFS(Feedback_360!$D$2:$D$1000,Feedback_360!$A$2:$A$1000,$A570,Feedback_360!$B$2:$B$1000,"&gt;="&amp;DATEVALUE($B570&amp;"-01"),Feedback_360!$B$2:$B$1000,"&lt;="&amp;EOMONTH(DATEVALUE($B570&amp;"-01"),0)))-1)/4*100,"")</f>
        <v/>
      </c>
      <c r="X570" t="str">
        <f ca="1">IFERROR(((AVERAGEIFS(Observacion_Directa!$D$2:$D$1000,Observacion_Directa!$A$2:$A$1000,$A570,Observacion_Directa!$B$2:$B$1000,"&gt;="&amp;DATEVALUE($B570&amp;"-01"),Observacion_Directa!$B$2:$B$1000,"&lt;="&amp;EOMONTH(DATEVALUE($B570&amp;"-01"),0)))-1)/4*100,"")</f>
        <v/>
      </c>
      <c r="Y570" t="e">
        <f t="shared" ca="1" si="17"/>
        <v>#DIV/0!</v>
      </c>
    </row>
    <row r="571" spans="12:25" x14ac:dyDescent="0.2">
      <c r="L571" t="str">
        <f t="shared" si="16"/>
        <v/>
      </c>
      <c r="M571" t="str">
        <f>IFERROR(AVERAGEIFS(Prod_5dias!$H$2:$H$1000,Prod_5dias!$A$2:$A$1000,$A571,Prod_5dias!$B$2:$B$1000,$B571),"")</f>
        <v/>
      </c>
      <c r="N571" t="str">
        <f>IF(M571="","",MIN(100,100*M571/Parametros!$B$7))</f>
        <v/>
      </c>
      <c r="O571" t="str">
        <f>IF(F571="","",IF(F571=0,100,MIN(100,100*Parametros!$B$3/F571)))</f>
        <v/>
      </c>
      <c r="P571" t="str">
        <f ca="1">IFERROR(((AVERAGEIFS(Observacion_Directa!$E$2:$E$1000,Observacion_Directa!$A$2:$A$1000,$A571,Observacion_Directa!$B$2:$B$1000,"&gt;="&amp;DATEVALUE($B571&amp;"-01"),Observacion_Directa!$B$2:$B$1000,"&lt;="&amp;EOMONTH(DATEVALUE($B571&amp;"-01"),0)))-1)/4*100,"")</f>
        <v/>
      </c>
      <c r="Q571" t="str">
        <f>IF(H571="","",MIN(100,100*H571/Parametros!$B$4))</f>
        <v/>
      </c>
      <c r="R571" t="str">
        <f>IF(I571="","",IF(I571=0,100,MIN(100,100*Parametros!$B$5/I571)))</f>
        <v/>
      </c>
      <c r="S571" t="str">
        <f>IF(J571="","",IF(J571=0,100,MIN(100,100*Parametros!$B$6/J571)))</f>
        <v/>
      </c>
      <c r="T571" t="str">
        <f>IF(L571="","",MIN(100,100*L571/Parametros!$B$7))</f>
        <v/>
      </c>
      <c r="U571" t="str">
        <f>IF(K571="","",MIN(100,100*K571/Parametros!$B$8))</f>
        <v/>
      </c>
      <c r="V571" t="str">
        <f ca="1">IFERROR(((AVERAGEIFS(Documentacion!$C$2:$C$1000,Documentacion!$A$2:$A$1000,$A571,Documentacion!$B$2:$B$1000,"&gt;="&amp;DATEVALUE($B571&amp;"-01"),Documentacion!$B$2:$B$1000,"&lt;="&amp;EOMONTH(DATEVALUE($B571&amp;"-01"),0)))-1)/4*100,"")</f>
        <v/>
      </c>
      <c r="W571" t="str">
        <f ca="1">IFERROR(((AVERAGEIFS(Feedback_360!$D$2:$D$1000,Feedback_360!$A$2:$A$1000,$A571,Feedback_360!$B$2:$B$1000,"&gt;="&amp;DATEVALUE($B571&amp;"-01"),Feedback_360!$B$2:$B$1000,"&lt;="&amp;EOMONTH(DATEVALUE($B571&amp;"-01"),0)))-1)/4*100,"")</f>
        <v/>
      </c>
      <c r="X571" t="str">
        <f ca="1">IFERROR(((AVERAGEIFS(Observacion_Directa!$D$2:$D$1000,Observacion_Directa!$A$2:$A$1000,$A571,Observacion_Directa!$B$2:$B$1000,"&gt;="&amp;DATEVALUE($B571&amp;"-01"),Observacion_Directa!$B$2:$B$1000,"&lt;="&amp;EOMONTH(DATEVALUE($B571&amp;"-01"),0)))-1)/4*100,"")</f>
        <v/>
      </c>
      <c r="Y571" t="e">
        <f t="shared" ca="1" si="17"/>
        <v>#DIV/0!</v>
      </c>
    </row>
    <row r="572" spans="12:25" x14ac:dyDescent="0.2">
      <c r="L572" t="str">
        <f t="shared" si="16"/>
        <v/>
      </c>
      <c r="M572" t="str">
        <f>IFERROR(AVERAGEIFS(Prod_5dias!$H$2:$H$1000,Prod_5dias!$A$2:$A$1000,$A572,Prod_5dias!$B$2:$B$1000,$B572),"")</f>
        <v/>
      </c>
      <c r="N572" t="str">
        <f>IF(M572="","",MIN(100,100*M572/Parametros!$B$7))</f>
        <v/>
      </c>
      <c r="O572" t="str">
        <f>IF(F572="","",IF(F572=0,100,MIN(100,100*Parametros!$B$3/F572)))</f>
        <v/>
      </c>
      <c r="P572" t="str">
        <f ca="1">IFERROR(((AVERAGEIFS(Observacion_Directa!$E$2:$E$1000,Observacion_Directa!$A$2:$A$1000,$A572,Observacion_Directa!$B$2:$B$1000,"&gt;="&amp;DATEVALUE($B572&amp;"-01"),Observacion_Directa!$B$2:$B$1000,"&lt;="&amp;EOMONTH(DATEVALUE($B572&amp;"-01"),0)))-1)/4*100,"")</f>
        <v/>
      </c>
      <c r="Q572" t="str">
        <f>IF(H572="","",MIN(100,100*H572/Parametros!$B$4))</f>
        <v/>
      </c>
      <c r="R572" t="str">
        <f>IF(I572="","",IF(I572=0,100,MIN(100,100*Parametros!$B$5/I572)))</f>
        <v/>
      </c>
      <c r="S572" t="str">
        <f>IF(J572="","",IF(J572=0,100,MIN(100,100*Parametros!$B$6/J572)))</f>
        <v/>
      </c>
      <c r="T572" t="str">
        <f>IF(L572="","",MIN(100,100*L572/Parametros!$B$7))</f>
        <v/>
      </c>
      <c r="U572" t="str">
        <f>IF(K572="","",MIN(100,100*K572/Parametros!$B$8))</f>
        <v/>
      </c>
      <c r="V572" t="str">
        <f ca="1">IFERROR(((AVERAGEIFS(Documentacion!$C$2:$C$1000,Documentacion!$A$2:$A$1000,$A572,Documentacion!$B$2:$B$1000,"&gt;="&amp;DATEVALUE($B572&amp;"-01"),Documentacion!$B$2:$B$1000,"&lt;="&amp;EOMONTH(DATEVALUE($B572&amp;"-01"),0)))-1)/4*100,"")</f>
        <v/>
      </c>
      <c r="W572" t="str">
        <f ca="1">IFERROR(((AVERAGEIFS(Feedback_360!$D$2:$D$1000,Feedback_360!$A$2:$A$1000,$A572,Feedback_360!$B$2:$B$1000,"&gt;="&amp;DATEVALUE($B572&amp;"-01"),Feedback_360!$B$2:$B$1000,"&lt;="&amp;EOMONTH(DATEVALUE($B572&amp;"-01"),0)))-1)/4*100,"")</f>
        <v/>
      </c>
      <c r="X572" t="str">
        <f ca="1">IFERROR(((AVERAGEIFS(Observacion_Directa!$D$2:$D$1000,Observacion_Directa!$A$2:$A$1000,$A572,Observacion_Directa!$B$2:$B$1000,"&gt;="&amp;DATEVALUE($B572&amp;"-01"),Observacion_Directa!$B$2:$B$1000,"&lt;="&amp;EOMONTH(DATEVALUE($B572&amp;"-01"),0)))-1)/4*100,"")</f>
        <v/>
      </c>
      <c r="Y572" t="e">
        <f t="shared" ca="1" si="17"/>
        <v>#DIV/0!</v>
      </c>
    </row>
    <row r="573" spans="12:25" x14ac:dyDescent="0.2">
      <c r="L573" t="str">
        <f t="shared" si="16"/>
        <v/>
      </c>
      <c r="M573" t="str">
        <f>IFERROR(AVERAGEIFS(Prod_5dias!$H$2:$H$1000,Prod_5dias!$A$2:$A$1000,$A573,Prod_5dias!$B$2:$B$1000,$B573),"")</f>
        <v/>
      </c>
      <c r="N573" t="str">
        <f>IF(M573="","",MIN(100,100*M573/Parametros!$B$7))</f>
        <v/>
      </c>
      <c r="O573" t="str">
        <f>IF(F573="","",IF(F573=0,100,MIN(100,100*Parametros!$B$3/F573)))</f>
        <v/>
      </c>
      <c r="P573" t="str">
        <f ca="1">IFERROR(((AVERAGEIFS(Observacion_Directa!$E$2:$E$1000,Observacion_Directa!$A$2:$A$1000,$A573,Observacion_Directa!$B$2:$B$1000,"&gt;="&amp;DATEVALUE($B573&amp;"-01"),Observacion_Directa!$B$2:$B$1000,"&lt;="&amp;EOMONTH(DATEVALUE($B573&amp;"-01"),0)))-1)/4*100,"")</f>
        <v/>
      </c>
      <c r="Q573" t="str">
        <f>IF(H573="","",MIN(100,100*H573/Parametros!$B$4))</f>
        <v/>
      </c>
      <c r="R573" t="str">
        <f>IF(I573="","",IF(I573=0,100,MIN(100,100*Parametros!$B$5/I573)))</f>
        <v/>
      </c>
      <c r="S573" t="str">
        <f>IF(J573="","",IF(J573=0,100,MIN(100,100*Parametros!$B$6/J573)))</f>
        <v/>
      </c>
      <c r="T573" t="str">
        <f>IF(L573="","",MIN(100,100*L573/Parametros!$B$7))</f>
        <v/>
      </c>
      <c r="U573" t="str">
        <f>IF(K573="","",MIN(100,100*K573/Parametros!$B$8))</f>
        <v/>
      </c>
      <c r="V573" t="str">
        <f ca="1">IFERROR(((AVERAGEIFS(Documentacion!$C$2:$C$1000,Documentacion!$A$2:$A$1000,$A573,Documentacion!$B$2:$B$1000,"&gt;="&amp;DATEVALUE($B573&amp;"-01"),Documentacion!$B$2:$B$1000,"&lt;="&amp;EOMONTH(DATEVALUE($B573&amp;"-01"),0)))-1)/4*100,"")</f>
        <v/>
      </c>
      <c r="W573" t="str">
        <f ca="1">IFERROR(((AVERAGEIFS(Feedback_360!$D$2:$D$1000,Feedback_360!$A$2:$A$1000,$A573,Feedback_360!$B$2:$B$1000,"&gt;="&amp;DATEVALUE($B573&amp;"-01"),Feedback_360!$B$2:$B$1000,"&lt;="&amp;EOMONTH(DATEVALUE($B573&amp;"-01"),0)))-1)/4*100,"")</f>
        <v/>
      </c>
      <c r="X573" t="str">
        <f ca="1">IFERROR(((AVERAGEIFS(Observacion_Directa!$D$2:$D$1000,Observacion_Directa!$A$2:$A$1000,$A573,Observacion_Directa!$B$2:$B$1000,"&gt;="&amp;DATEVALUE($B573&amp;"-01"),Observacion_Directa!$B$2:$B$1000,"&lt;="&amp;EOMONTH(DATEVALUE($B573&amp;"-01"),0)))-1)/4*100,"")</f>
        <v/>
      </c>
      <c r="Y573" t="e">
        <f t="shared" ca="1" si="17"/>
        <v>#DIV/0!</v>
      </c>
    </row>
    <row r="574" spans="12:25" x14ac:dyDescent="0.2">
      <c r="L574" t="str">
        <f t="shared" si="16"/>
        <v/>
      </c>
      <c r="M574" t="str">
        <f>IFERROR(AVERAGEIFS(Prod_5dias!$H$2:$H$1000,Prod_5dias!$A$2:$A$1000,$A574,Prod_5dias!$B$2:$B$1000,$B574),"")</f>
        <v/>
      </c>
      <c r="N574" t="str">
        <f>IF(M574="","",MIN(100,100*M574/Parametros!$B$7))</f>
        <v/>
      </c>
      <c r="O574" t="str">
        <f>IF(F574="","",IF(F574=0,100,MIN(100,100*Parametros!$B$3/F574)))</f>
        <v/>
      </c>
      <c r="P574" t="str">
        <f ca="1">IFERROR(((AVERAGEIFS(Observacion_Directa!$E$2:$E$1000,Observacion_Directa!$A$2:$A$1000,$A574,Observacion_Directa!$B$2:$B$1000,"&gt;="&amp;DATEVALUE($B574&amp;"-01"),Observacion_Directa!$B$2:$B$1000,"&lt;="&amp;EOMONTH(DATEVALUE($B574&amp;"-01"),0)))-1)/4*100,"")</f>
        <v/>
      </c>
      <c r="Q574" t="str">
        <f>IF(H574="","",MIN(100,100*H574/Parametros!$B$4))</f>
        <v/>
      </c>
      <c r="R574" t="str">
        <f>IF(I574="","",IF(I574=0,100,MIN(100,100*Parametros!$B$5/I574)))</f>
        <v/>
      </c>
      <c r="S574" t="str">
        <f>IF(J574="","",IF(J574=0,100,MIN(100,100*Parametros!$B$6/J574)))</f>
        <v/>
      </c>
      <c r="T574" t="str">
        <f>IF(L574="","",MIN(100,100*L574/Parametros!$B$7))</f>
        <v/>
      </c>
      <c r="U574" t="str">
        <f>IF(K574="","",MIN(100,100*K574/Parametros!$B$8))</f>
        <v/>
      </c>
      <c r="V574" t="str">
        <f ca="1">IFERROR(((AVERAGEIFS(Documentacion!$C$2:$C$1000,Documentacion!$A$2:$A$1000,$A574,Documentacion!$B$2:$B$1000,"&gt;="&amp;DATEVALUE($B574&amp;"-01"),Documentacion!$B$2:$B$1000,"&lt;="&amp;EOMONTH(DATEVALUE($B574&amp;"-01"),0)))-1)/4*100,"")</f>
        <v/>
      </c>
      <c r="W574" t="str">
        <f ca="1">IFERROR(((AVERAGEIFS(Feedback_360!$D$2:$D$1000,Feedback_360!$A$2:$A$1000,$A574,Feedback_360!$B$2:$B$1000,"&gt;="&amp;DATEVALUE($B574&amp;"-01"),Feedback_360!$B$2:$B$1000,"&lt;="&amp;EOMONTH(DATEVALUE($B574&amp;"-01"),0)))-1)/4*100,"")</f>
        <v/>
      </c>
      <c r="X574" t="str">
        <f ca="1">IFERROR(((AVERAGEIFS(Observacion_Directa!$D$2:$D$1000,Observacion_Directa!$A$2:$A$1000,$A574,Observacion_Directa!$B$2:$B$1000,"&gt;="&amp;DATEVALUE($B574&amp;"-01"),Observacion_Directa!$B$2:$B$1000,"&lt;="&amp;EOMONTH(DATEVALUE($B574&amp;"-01"),0)))-1)/4*100,"")</f>
        <v/>
      </c>
      <c r="Y574" t="e">
        <f t="shared" ca="1" si="17"/>
        <v>#DIV/0!</v>
      </c>
    </row>
    <row r="575" spans="12:25" x14ac:dyDescent="0.2">
      <c r="L575" t="str">
        <f t="shared" si="16"/>
        <v/>
      </c>
      <c r="M575" t="str">
        <f>IFERROR(AVERAGEIFS(Prod_5dias!$H$2:$H$1000,Prod_5dias!$A$2:$A$1000,$A575,Prod_5dias!$B$2:$B$1000,$B575),"")</f>
        <v/>
      </c>
      <c r="N575" t="str">
        <f>IF(M575="","",MIN(100,100*M575/Parametros!$B$7))</f>
        <v/>
      </c>
      <c r="O575" t="str">
        <f>IF(F575="","",IF(F575=0,100,MIN(100,100*Parametros!$B$3/F575)))</f>
        <v/>
      </c>
      <c r="P575" t="str">
        <f ca="1">IFERROR(((AVERAGEIFS(Observacion_Directa!$E$2:$E$1000,Observacion_Directa!$A$2:$A$1000,$A575,Observacion_Directa!$B$2:$B$1000,"&gt;="&amp;DATEVALUE($B575&amp;"-01"),Observacion_Directa!$B$2:$B$1000,"&lt;="&amp;EOMONTH(DATEVALUE($B575&amp;"-01"),0)))-1)/4*100,"")</f>
        <v/>
      </c>
      <c r="Q575" t="str">
        <f>IF(H575="","",MIN(100,100*H575/Parametros!$B$4))</f>
        <v/>
      </c>
      <c r="R575" t="str">
        <f>IF(I575="","",IF(I575=0,100,MIN(100,100*Parametros!$B$5/I575)))</f>
        <v/>
      </c>
      <c r="S575" t="str">
        <f>IF(J575="","",IF(J575=0,100,MIN(100,100*Parametros!$B$6/J575)))</f>
        <v/>
      </c>
      <c r="T575" t="str">
        <f>IF(L575="","",MIN(100,100*L575/Parametros!$B$7))</f>
        <v/>
      </c>
      <c r="U575" t="str">
        <f>IF(K575="","",MIN(100,100*K575/Parametros!$B$8))</f>
        <v/>
      </c>
      <c r="V575" t="str">
        <f ca="1">IFERROR(((AVERAGEIFS(Documentacion!$C$2:$C$1000,Documentacion!$A$2:$A$1000,$A575,Documentacion!$B$2:$B$1000,"&gt;="&amp;DATEVALUE($B575&amp;"-01"),Documentacion!$B$2:$B$1000,"&lt;="&amp;EOMONTH(DATEVALUE($B575&amp;"-01"),0)))-1)/4*100,"")</f>
        <v/>
      </c>
      <c r="W575" t="str">
        <f ca="1">IFERROR(((AVERAGEIFS(Feedback_360!$D$2:$D$1000,Feedback_360!$A$2:$A$1000,$A575,Feedback_360!$B$2:$B$1000,"&gt;="&amp;DATEVALUE($B575&amp;"-01"),Feedback_360!$B$2:$B$1000,"&lt;="&amp;EOMONTH(DATEVALUE($B575&amp;"-01"),0)))-1)/4*100,"")</f>
        <v/>
      </c>
      <c r="X575" t="str">
        <f ca="1">IFERROR(((AVERAGEIFS(Observacion_Directa!$D$2:$D$1000,Observacion_Directa!$A$2:$A$1000,$A575,Observacion_Directa!$B$2:$B$1000,"&gt;="&amp;DATEVALUE($B575&amp;"-01"),Observacion_Directa!$B$2:$B$1000,"&lt;="&amp;EOMONTH(DATEVALUE($B575&amp;"-01"),0)))-1)/4*100,"")</f>
        <v/>
      </c>
      <c r="Y575" t="e">
        <f t="shared" ca="1" si="17"/>
        <v>#DIV/0!</v>
      </c>
    </row>
    <row r="576" spans="12:25" x14ac:dyDescent="0.2">
      <c r="L576" t="str">
        <f t="shared" si="16"/>
        <v/>
      </c>
      <c r="M576" t="str">
        <f>IFERROR(AVERAGEIFS(Prod_5dias!$H$2:$H$1000,Prod_5dias!$A$2:$A$1000,$A576,Prod_5dias!$B$2:$B$1000,$B576),"")</f>
        <v/>
      </c>
      <c r="N576" t="str">
        <f>IF(M576="","",MIN(100,100*M576/Parametros!$B$7))</f>
        <v/>
      </c>
      <c r="O576" t="str">
        <f>IF(F576="","",IF(F576=0,100,MIN(100,100*Parametros!$B$3/F576)))</f>
        <v/>
      </c>
      <c r="P576" t="str">
        <f ca="1">IFERROR(((AVERAGEIFS(Observacion_Directa!$E$2:$E$1000,Observacion_Directa!$A$2:$A$1000,$A576,Observacion_Directa!$B$2:$B$1000,"&gt;="&amp;DATEVALUE($B576&amp;"-01"),Observacion_Directa!$B$2:$B$1000,"&lt;="&amp;EOMONTH(DATEVALUE($B576&amp;"-01"),0)))-1)/4*100,"")</f>
        <v/>
      </c>
      <c r="Q576" t="str">
        <f>IF(H576="","",MIN(100,100*H576/Parametros!$B$4))</f>
        <v/>
      </c>
      <c r="R576" t="str">
        <f>IF(I576="","",IF(I576=0,100,MIN(100,100*Parametros!$B$5/I576)))</f>
        <v/>
      </c>
      <c r="S576" t="str">
        <f>IF(J576="","",IF(J576=0,100,MIN(100,100*Parametros!$B$6/J576)))</f>
        <v/>
      </c>
      <c r="T576" t="str">
        <f>IF(L576="","",MIN(100,100*L576/Parametros!$B$7))</f>
        <v/>
      </c>
      <c r="U576" t="str">
        <f>IF(K576="","",MIN(100,100*K576/Parametros!$B$8))</f>
        <v/>
      </c>
      <c r="V576" t="str">
        <f ca="1">IFERROR(((AVERAGEIFS(Documentacion!$C$2:$C$1000,Documentacion!$A$2:$A$1000,$A576,Documentacion!$B$2:$B$1000,"&gt;="&amp;DATEVALUE($B576&amp;"-01"),Documentacion!$B$2:$B$1000,"&lt;="&amp;EOMONTH(DATEVALUE($B576&amp;"-01"),0)))-1)/4*100,"")</f>
        <v/>
      </c>
      <c r="W576" t="str">
        <f ca="1">IFERROR(((AVERAGEIFS(Feedback_360!$D$2:$D$1000,Feedback_360!$A$2:$A$1000,$A576,Feedback_360!$B$2:$B$1000,"&gt;="&amp;DATEVALUE($B576&amp;"-01"),Feedback_360!$B$2:$B$1000,"&lt;="&amp;EOMONTH(DATEVALUE($B576&amp;"-01"),0)))-1)/4*100,"")</f>
        <v/>
      </c>
      <c r="X576" t="str">
        <f ca="1">IFERROR(((AVERAGEIFS(Observacion_Directa!$D$2:$D$1000,Observacion_Directa!$A$2:$A$1000,$A576,Observacion_Directa!$B$2:$B$1000,"&gt;="&amp;DATEVALUE($B576&amp;"-01"),Observacion_Directa!$B$2:$B$1000,"&lt;="&amp;EOMONTH(DATEVALUE($B576&amp;"-01"),0)))-1)/4*100,"")</f>
        <v/>
      </c>
      <c r="Y576" t="e">
        <f t="shared" ca="1" si="17"/>
        <v>#DIV/0!</v>
      </c>
    </row>
    <row r="577" spans="12:25" x14ac:dyDescent="0.2">
      <c r="L577" t="str">
        <f t="shared" si="16"/>
        <v/>
      </c>
      <c r="M577" t="str">
        <f>IFERROR(AVERAGEIFS(Prod_5dias!$H$2:$H$1000,Prod_5dias!$A$2:$A$1000,$A577,Prod_5dias!$B$2:$B$1000,$B577),"")</f>
        <v/>
      </c>
      <c r="N577" t="str">
        <f>IF(M577="","",MIN(100,100*M577/Parametros!$B$7))</f>
        <v/>
      </c>
      <c r="O577" t="str">
        <f>IF(F577="","",IF(F577=0,100,MIN(100,100*Parametros!$B$3/F577)))</f>
        <v/>
      </c>
      <c r="P577" t="str">
        <f ca="1">IFERROR(((AVERAGEIFS(Observacion_Directa!$E$2:$E$1000,Observacion_Directa!$A$2:$A$1000,$A577,Observacion_Directa!$B$2:$B$1000,"&gt;="&amp;DATEVALUE($B577&amp;"-01"),Observacion_Directa!$B$2:$B$1000,"&lt;="&amp;EOMONTH(DATEVALUE($B577&amp;"-01"),0)))-1)/4*100,"")</f>
        <v/>
      </c>
      <c r="Q577" t="str">
        <f>IF(H577="","",MIN(100,100*H577/Parametros!$B$4))</f>
        <v/>
      </c>
      <c r="R577" t="str">
        <f>IF(I577="","",IF(I577=0,100,MIN(100,100*Parametros!$B$5/I577)))</f>
        <v/>
      </c>
      <c r="S577" t="str">
        <f>IF(J577="","",IF(J577=0,100,MIN(100,100*Parametros!$B$6/J577)))</f>
        <v/>
      </c>
      <c r="T577" t="str">
        <f>IF(L577="","",MIN(100,100*L577/Parametros!$B$7))</f>
        <v/>
      </c>
      <c r="U577" t="str">
        <f>IF(K577="","",MIN(100,100*K577/Parametros!$B$8))</f>
        <v/>
      </c>
      <c r="V577" t="str">
        <f ca="1">IFERROR(((AVERAGEIFS(Documentacion!$C$2:$C$1000,Documentacion!$A$2:$A$1000,$A577,Documentacion!$B$2:$B$1000,"&gt;="&amp;DATEVALUE($B577&amp;"-01"),Documentacion!$B$2:$B$1000,"&lt;="&amp;EOMONTH(DATEVALUE($B577&amp;"-01"),0)))-1)/4*100,"")</f>
        <v/>
      </c>
      <c r="W577" t="str">
        <f ca="1">IFERROR(((AVERAGEIFS(Feedback_360!$D$2:$D$1000,Feedback_360!$A$2:$A$1000,$A577,Feedback_360!$B$2:$B$1000,"&gt;="&amp;DATEVALUE($B577&amp;"-01"),Feedback_360!$B$2:$B$1000,"&lt;="&amp;EOMONTH(DATEVALUE($B577&amp;"-01"),0)))-1)/4*100,"")</f>
        <v/>
      </c>
      <c r="X577" t="str">
        <f ca="1">IFERROR(((AVERAGEIFS(Observacion_Directa!$D$2:$D$1000,Observacion_Directa!$A$2:$A$1000,$A577,Observacion_Directa!$B$2:$B$1000,"&gt;="&amp;DATEVALUE($B577&amp;"-01"),Observacion_Directa!$B$2:$B$1000,"&lt;="&amp;EOMONTH(DATEVALUE($B577&amp;"-01"),0)))-1)/4*100,"")</f>
        <v/>
      </c>
      <c r="Y577" t="e">
        <f t="shared" ca="1" si="17"/>
        <v>#DIV/0!</v>
      </c>
    </row>
    <row r="578" spans="12:25" x14ac:dyDescent="0.2">
      <c r="L578" t="str">
        <f t="shared" ref="L578:L641" si="18">IF(OR(C578="",D578=""),"",C578/D578)</f>
        <v/>
      </c>
      <c r="M578" t="str">
        <f>IFERROR(AVERAGEIFS(Prod_5dias!$H$2:$H$1000,Prod_5dias!$A$2:$A$1000,$A578,Prod_5dias!$B$2:$B$1000,$B578),"")</f>
        <v/>
      </c>
      <c r="N578" t="str">
        <f>IF(M578="","",MIN(100,100*M578/Parametros!$B$7))</f>
        <v/>
      </c>
      <c r="O578" t="str">
        <f>IF(F578="","",IF(F578=0,100,MIN(100,100*Parametros!$B$3/F578)))</f>
        <v/>
      </c>
      <c r="P578" t="str">
        <f ca="1">IFERROR(((AVERAGEIFS(Observacion_Directa!$E$2:$E$1000,Observacion_Directa!$A$2:$A$1000,$A578,Observacion_Directa!$B$2:$B$1000,"&gt;="&amp;DATEVALUE($B578&amp;"-01"),Observacion_Directa!$B$2:$B$1000,"&lt;="&amp;EOMONTH(DATEVALUE($B578&amp;"-01"),0)))-1)/4*100,"")</f>
        <v/>
      </c>
      <c r="Q578" t="str">
        <f>IF(H578="","",MIN(100,100*H578/Parametros!$B$4))</f>
        <v/>
      </c>
      <c r="R578" t="str">
        <f>IF(I578="","",IF(I578=0,100,MIN(100,100*Parametros!$B$5/I578)))</f>
        <v/>
      </c>
      <c r="S578" t="str">
        <f>IF(J578="","",IF(J578=0,100,MIN(100,100*Parametros!$B$6/J578)))</f>
        <v/>
      </c>
      <c r="T578" t="str">
        <f>IF(L578="","",MIN(100,100*L578/Parametros!$B$7))</f>
        <v/>
      </c>
      <c r="U578" t="str">
        <f>IF(K578="","",MIN(100,100*K578/Parametros!$B$8))</f>
        <v/>
      </c>
      <c r="V578" t="str">
        <f ca="1">IFERROR(((AVERAGEIFS(Documentacion!$C$2:$C$1000,Documentacion!$A$2:$A$1000,$A578,Documentacion!$B$2:$B$1000,"&gt;="&amp;DATEVALUE($B578&amp;"-01"),Documentacion!$B$2:$B$1000,"&lt;="&amp;EOMONTH(DATEVALUE($B578&amp;"-01"),0)))-1)/4*100,"")</f>
        <v/>
      </c>
      <c r="W578" t="str">
        <f ca="1">IFERROR(((AVERAGEIFS(Feedback_360!$D$2:$D$1000,Feedback_360!$A$2:$A$1000,$A578,Feedback_360!$B$2:$B$1000,"&gt;="&amp;DATEVALUE($B578&amp;"-01"),Feedback_360!$B$2:$B$1000,"&lt;="&amp;EOMONTH(DATEVALUE($B578&amp;"-01"),0)))-1)/4*100,"")</f>
        <v/>
      </c>
      <c r="X578" t="str">
        <f ca="1">IFERROR(((AVERAGEIFS(Observacion_Directa!$D$2:$D$1000,Observacion_Directa!$A$2:$A$1000,$A578,Observacion_Directa!$B$2:$B$1000,"&gt;="&amp;DATEVALUE($B578&amp;"-01"),Observacion_Directa!$B$2:$B$1000,"&lt;="&amp;EOMONTH(DATEVALUE($B578&amp;"-01"),0)))-1)/4*100,"")</f>
        <v/>
      </c>
      <c r="Y578" t="e">
        <f t="shared" ref="Y578:Y641" ca="1" si="19">IF(COUNTA(N578:X578)=0,"",AVERAGE(N578:X578))</f>
        <v>#DIV/0!</v>
      </c>
    </row>
    <row r="579" spans="12:25" x14ac:dyDescent="0.2">
      <c r="L579" t="str">
        <f t="shared" si="18"/>
        <v/>
      </c>
      <c r="M579" t="str">
        <f>IFERROR(AVERAGEIFS(Prod_5dias!$H$2:$H$1000,Prod_5dias!$A$2:$A$1000,$A579,Prod_5dias!$B$2:$B$1000,$B579),"")</f>
        <v/>
      </c>
      <c r="N579" t="str">
        <f>IF(M579="","",MIN(100,100*M579/Parametros!$B$7))</f>
        <v/>
      </c>
      <c r="O579" t="str">
        <f>IF(F579="","",IF(F579=0,100,MIN(100,100*Parametros!$B$3/F579)))</f>
        <v/>
      </c>
      <c r="P579" t="str">
        <f ca="1">IFERROR(((AVERAGEIFS(Observacion_Directa!$E$2:$E$1000,Observacion_Directa!$A$2:$A$1000,$A579,Observacion_Directa!$B$2:$B$1000,"&gt;="&amp;DATEVALUE($B579&amp;"-01"),Observacion_Directa!$B$2:$B$1000,"&lt;="&amp;EOMONTH(DATEVALUE($B579&amp;"-01"),0)))-1)/4*100,"")</f>
        <v/>
      </c>
      <c r="Q579" t="str">
        <f>IF(H579="","",MIN(100,100*H579/Parametros!$B$4))</f>
        <v/>
      </c>
      <c r="R579" t="str">
        <f>IF(I579="","",IF(I579=0,100,MIN(100,100*Parametros!$B$5/I579)))</f>
        <v/>
      </c>
      <c r="S579" t="str">
        <f>IF(J579="","",IF(J579=0,100,MIN(100,100*Parametros!$B$6/J579)))</f>
        <v/>
      </c>
      <c r="T579" t="str">
        <f>IF(L579="","",MIN(100,100*L579/Parametros!$B$7))</f>
        <v/>
      </c>
      <c r="U579" t="str">
        <f>IF(K579="","",MIN(100,100*K579/Parametros!$B$8))</f>
        <v/>
      </c>
      <c r="V579" t="str">
        <f ca="1">IFERROR(((AVERAGEIFS(Documentacion!$C$2:$C$1000,Documentacion!$A$2:$A$1000,$A579,Documentacion!$B$2:$B$1000,"&gt;="&amp;DATEVALUE($B579&amp;"-01"),Documentacion!$B$2:$B$1000,"&lt;="&amp;EOMONTH(DATEVALUE($B579&amp;"-01"),0)))-1)/4*100,"")</f>
        <v/>
      </c>
      <c r="W579" t="str">
        <f ca="1">IFERROR(((AVERAGEIFS(Feedback_360!$D$2:$D$1000,Feedback_360!$A$2:$A$1000,$A579,Feedback_360!$B$2:$B$1000,"&gt;="&amp;DATEVALUE($B579&amp;"-01"),Feedback_360!$B$2:$B$1000,"&lt;="&amp;EOMONTH(DATEVALUE($B579&amp;"-01"),0)))-1)/4*100,"")</f>
        <v/>
      </c>
      <c r="X579" t="str">
        <f ca="1">IFERROR(((AVERAGEIFS(Observacion_Directa!$D$2:$D$1000,Observacion_Directa!$A$2:$A$1000,$A579,Observacion_Directa!$B$2:$B$1000,"&gt;="&amp;DATEVALUE($B579&amp;"-01"),Observacion_Directa!$B$2:$B$1000,"&lt;="&amp;EOMONTH(DATEVALUE($B579&amp;"-01"),0)))-1)/4*100,"")</f>
        <v/>
      </c>
      <c r="Y579" t="e">
        <f t="shared" ca="1" si="19"/>
        <v>#DIV/0!</v>
      </c>
    </row>
    <row r="580" spans="12:25" x14ac:dyDescent="0.2">
      <c r="L580" t="str">
        <f t="shared" si="18"/>
        <v/>
      </c>
      <c r="M580" t="str">
        <f>IFERROR(AVERAGEIFS(Prod_5dias!$H$2:$H$1000,Prod_5dias!$A$2:$A$1000,$A580,Prod_5dias!$B$2:$B$1000,$B580),"")</f>
        <v/>
      </c>
      <c r="N580" t="str">
        <f>IF(M580="","",MIN(100,100*M580/Parametros!$B$7))</f>
        <v/>
      </c>
      <c r="O580" t="str">
        <f>IF(F580="","",IF(F580=0,100,MIN(100,100*Parametros!$B$3/F580)))</f>
        <v/>
      </c>
      <c r="P580" t="str">
        <f ca="1">IFERROR(((AVERAGEIFS(Observacion_Directa!$E$2:$E$1000,Observacion_Directa!$A$2:$A$1000,$A580,Observacion_Directa!$B$2:$B$1000,"&gt;="&amp;DATEVALUE($B580&amp;"-01"),Observacion_Directa!$B$2:$B$1000,"&lt;="&amp;EOMONTH(DATEVALUE($B580&amp;"-01"),0)))-1)/4*100,"")</f>
        <v/>
      </c>
      <c r="Q580" t="str">
        <f>IF(H580="","",MIN(100,100*H580/Parametros!$B$4))</f>
        <v/>
      </c>
      <c r="R580" t="str">
        <f>IF(I580="","",IF(I580=0,100,MIN(100,100*Parametros!$B$5/I580)))</f>
        <v/>
      </c>
      <c r="S580" t="str">
        <f>IF(J580="","",IF(J580=0,100,MIN(100,100*Parametros!$B$6/J580)))</f>
        <v/>
      </c>
      <c r="T580" t="str">
        <f>IF(L580="","",MIN(100,100*L580/Parametros!$B$7))</f>
        <v/>
      </c>
      <c r="U580" t="str">
        <f>IF(K580="","",MIN(100,100*K580/Parametros!$B$8))</f>
        <v/>
      </c>
      <c r="V580" t="str">
        <f ca="1">IFERROR(((AVERAGEIFS(Documentacion!$C$2:$C$1000,Documentacion!$A$2:$A$1000,$A580,Documentacion!$B$2:$B$1000,"&gt;="&amp;DATEVALUE($B580&amp;"-01"),Documentacion!$B$2:$B$1000,"&lt;="&amp;EOMONTH(DATEVALUE($B580&amp;"-01"),0)))-1)/4*100,"")</f>
        <v/>
      </c>
      <c r="W580" t="str">
        <f ca="1">IFERROR(((AVERAGEIFS(Feedback_360!$D$2:$D$1000,Feedback_360!$A$2:$A$1000,$A580,Feedback_360!$B$2:$B$1000,"&gt;="&amp;DATEVALUE($B580&amp;"-01"),Feedback_360!$B$2:$B$1000,"&lt;="&amp;EOMONTH(DATEVALUE($B580&amp;"-01"),0)))-1)/4*100,"")</f>
        <v/>
      </c>
      <c r="X580" t="str">
        <f ca="1">IFERROR(((AVERAGEIFS(Observacion_Directa!$D$2:$D$1000,Observacion_Directa!$A$2:$A$1000,$A580,Observacion_Directa!$B$2:$B$1000,"&gt;="&amp;DATEVALUE($B580&amp;"-01"),Observacion_Directa!$B$2:$B$1000,"&lt;="&amp;EOMONTH(DATEVALUE($B580&amp;"-01"),0)))-1)/4*100,"")</f>
        <v/>
      </c>
      <c r="Y580" t="e">
        <f t="shared" ca="1" si="19"/>
        <v>#DIV/0!</v>
      </c>
    </row>
    <row r="581" spans="12:25" x14ac:dyDescent="0.2">
      <c r="L581" t="str">
        <f t="shared" si="18"/>
        <v/>
      </c>
      <c r="M581" t="str">
        <f>IFERROR(AVERAGEIFS(Prod_5dias!$H$2:$H$1000,Prod_5dias!$A$2:$A$1000,$A581,Prod_5dias!$B$2:$B$1000,$B581),"")</f>
        <v/>
      </c>
      <c r="N581" t="str">
        <f>IF(M581="","",MIN(100,100*M581/Parametros!$B$7))</f>
        <v/>
      </c>
      <c r="O581" t="str">
        <f>IF(F581="","",IF(F581=0,100,MIN(100,100*Parametros!$B$3/F581)))</f>
        <v/>
      </c>
      <c r="P581" t="str">
        <f ca="1">IFERROR(((AVERAGEIFS(Observacion_Directa!$E$2:$E$1000,Observacion_Directa!$A$2:$A$1000,$A581,Observacion_Directa!$B$2:$B$1000,"&gt;="&amp;DATEVALUE($B581&amp;"-01"),Observacion_Directa!$B$2:$B$1000,"&lt;="&amp;EOMONTH(DATEVALUE($B581&amp;"-01"),0)))-1)/4*100,"")</f>
        <v/>
      </c>
      <c r="Q581" t="str">
        <f>IF(H581="","",MIN(100,100*H581/Parametros!$B$4))</f>
        <v/>
      </c>
      <c r="R581" t="str">
        <f>IF(I581="","",IF(I581=0,100,MIN(100,100*Parametros!$B$5/I581)))</f>
        <v/>
      </c>
      <c r="S581" t="str">
        <f>IF(J581="","",IF(J581=0,100,MIN(100,100*Parametros!$B$6/J581)))</f>
        <v/>
      </c>
      <c r="T581" t="str">
        <f>IF(L581="","",MIN(100,100*L581/Parametros!$B$7))</f>
        <v/>
      </c>
      <c r="U581" t="str">
        <f>IF(K581="","",MIN(100,100*K581/Parametros!$B$8))</f>
        <v/>
      </c>
      <c r="V581" t="str">
        <f ca="1">IFERROR(((AVERAGEIFS(Documentacion!$C$2:$C$1000,Documentacion!$A$2:$A$1000,$A581,Documentacion!$B$2:$B$1000,"&gt;="&amp;DATEVALUE($B581&amp;"-01"),Documentacion!$B$2:$B$1000,"&lt;="&amp;EOMONTH(DATEVALUE($B581&amp;"-01"),0)))-1)/4*100,"")</f>
        <v/>
      </c>
      <c r="W581" t="str">
        <f ca="1">IFERROR(((AVERAGEIFS(Feedback_360!$D$2:$D$1000,Feedback_360!$A$2:$A$1000,$A581,Feedback_360!$B$2:$B$1000,"&gt;="&amp;DATEVALUE($B581&amp;"-01"),Feedback_360!$B$2:$B$1000,"&lt;="&amp;EOMONTH(DATEVALUE($B581&amp;"-01"),0)))-1)/4*100,"")</f>
        <v/>
      </c>
      <c r="X581" t="str">
        <f ca="1">IFERROR(((AVERAGEIFS(Observacion_Directa!$D$2:$D$1000,Observacion_Directa!$A$2:$A$1000,$A581,Observacion_Directa!$B$2:$B$1000,"&gt;="&amp;DATEVALUE($B581&amp;"-01"),Observacion_Directa!$B$2:$B$1000,"&lt;="&amp;EOMONTH(DATEVALUE($B581&amp;"-01"),0)))-1)/4*100,"")</f>
        <v/>
      </c>
      <c r="Y581" t="e">
        <f t="shared" ca="1" si="19"/>
        <v>#DIV/0!</v>
      </c>
    </row>
    <row r="582" spans="12:25" x14ac:dyDescent="0.2">
      <c r="L582" t="str">
        <f t="shared" si="18"/>
        <v/>
      </c>
      <c r="M582" t="str">
        <f>IFERROR(AVERAGEIFS(Prod_5dias!$H$2:$H$1000,Prod_5dias!$A$2:$A$1000,$A582,Prod_5dias!$B$2:$B$1000,$B582),"")</f>
        <v/>
      </c>
      <c r="N582" t="str">
        <f>IF(M582="","",MIN(100,100*M582/Parametros!$B$7))</f>
        <v/>
      </c>
      <c r="O582" t="str">
        <f>IF(F582="","",IF(F582=0,100,MIN(100,100*Parametros!$B$3/F582)))</f>
        <v/>
      </c>
      <c r="P582" t="str">
        <f ca="1">IFERROR(((AVERAGEIFS(Observacion_Directa!$E$2:$E$1000,Observacion_Directa!$A$2:$A$1000,$A582,Observacion_Directa!$B$2:$B$1000,"&gt;="&amp;DATEVALUE($B582&amp;"-01"),Observacion_Directa!$B$2:$B$1000,"&lt;="&amp;EOMONTH(DATEVALUE($B582&amp;"-01"),0)))-1)/4*100,"")</f>
        <v/>
      </c>
      <c r="Q582" t="str">
        <f>IF(H582="","",MIN(100,100*H582/Parametros!$B$4))</f>
        <v/>
      </c>
      <c r="R582" t="str">
        <f>IF(I582="","",IF(I582=0,100,MIN(100,100*Parametros!$B$5/I582)))</f>
        <v/>
      </c>
      <c r="S582" t="str">
        <f>IF(J582="","",IF(J582=0,100,MIN(100,100*Parametros!$B$6/J582)))</f>
        <v/>
      </c>
      <c r="T582" t="str">
        <f>IF(L582="","",MIN(100,100*L582/Parametros!$B$7))</f>
        <v/>
      </c>
      <c r="U582" t="str">
        <f>IF(K582="","",MIN(100,100*K582/Parametros!$B$8))</f>
        <v/>
      </c>
      <c r="V582" t="str">
        <f ca="1">IFERROR(((AVERAGEIFS(Documentacion!$C$2:$C$1000,Documentacion!$A$2:$A$1000,$A582,Documentacion!$B$2:$B$1000,"&gt;="&amp;DATEVALUE($B582&amp;"-01"),Documentacion!$B$2:$B$1000,"&lt;="&amp;EOMONTH(DATEVALUE($B582&amp;"-01"),0)))-1)/4*100,"")</f>
        <v/>
      </c>
      <c r="W582" t="str">
        <f ca="1">IFERROR(((AVERAGEIFS(Feedback_360!$D$2:$D$1000,Feedback_360!$A$2:$A$1000,$A582,Feedback_360!$B$2:$B$1000,"&gt;="&amp;DATEVALUE($B582&amp;"-01"),Feedback_360!$B$2:$B$1000,"&lt;="&amp;EOMONTH(DATEVALUE($B582&amp;"-01"),0)))-1)/4*100,"")</f>
        <v/>
      </c>
      <c r="X582" t="str">
        <f ca="1">IFERROR(((AVERAGEIFS(Observacion_Directa!$D$2:$D$1000,Observacion_Directa!$A$2:$A$1000,$A582,Observacion_Directa!$B$2:$B$1000,"&gt;="&amp;DATEVALUE($B582&amp;"-01"),Observacion_Directa!$B$2:$B$1000,"&lt;="&amp;EOMONTH(DATEVALUE($B582&amp;"-01"),0)))-1)/4*100,"")</f>
        <v/>
      </c>
      <c r="Y582" t="e">
        <f t="shared" ca="1" si="19"/>
        <v>#DIV/0!</v>
      </c>
    </row>
    <row r="583" spans="12:25" x14ac:dyDescent="0.2">
      <c r="L583" t="str">
        <f t="shared" si="18"/>
        <v/>
      </c>
      <c r="M583" t="str">
        <f>IFERROR(AVERAGEIFS(Prod_5dias!$H$2:$H$1000,Prod_5dias!$A$2:$A$1000,$A583,Prod_5dias!$B$2:$B$1000,$B583),"")</f>
        <v/>
      </c>
      <c r="N583" t="str">
        <f>IF(M583="","",MIN(100,100*M583/Parametros!$B$7))</f>
        <v/>
      </c>
      <c r="O583" t="str">
        <f>IF(F583="","",IF(F583=0,100,MIN(100,100*Parametros!$B$3/F583)))</f>
        <v/>
      </c>
      <c r="P583" t="str">
        <f ca="1">IFERROR(((AVERAGEIFS(Observacion_Directa!$E$2:$E$1000,Observacion_Directa!$A$2:$A$1000,$A583,Observacion_Directa!$B$2:$B$1000,"&gt;="&amp;DATEVALUE($B583&amp;"-01"),Observacion_Directa!$B$2:$B$1000,"&lt;="&amp;EOMONTH(DATEVALUE($B583&amp;"-01"),0)))-1)/4*100,"")</f>
        <v/>
      </c>
      <c r="Q583" t="str">
        <f>IF(H583="","",MIN(100,100*H583/Parametros!$B$4))</f>
        <v/>
      </c>
      <c r="R583" t="str">
        <f>IF(I583="","",IF(I583=0,100,MIN(100,100*Parametros!$B$5/I583)))</f>
        <v/>
      </c>
      <c r="S583" t="str">
        <f>IF(J583="","",IF(J583=0,100,MIN(100,100*Parametros!$B$6/J583)))</f>
        <v/>
      </c>
      <c r="T583" t="str">
        <f>IF(L583="","",MIN(100,100*L583/Parametros!$B$7))</f>
        <v/>
      </c>
      <c r="U583" t="str">
        <f>IF(K583="","",MIN(100,100*K583/Parametros!$B$8))</f>
        <v/>
      </c>
      <c r="V583" t="str">
        <f ca="1">IFERROR(((AVERAGEIFS(Documentacion!$C$2:$C$1000,Documentacion!$A$2:$A$1000,$A583,Documentacion!$B$2:$B$1000,"&gt;="&amp;DATEVALUE($B583&amp;"-01"),Documentacion!$B$2:$B$1000,"&lt;="&amp;EOMONTH(DATEVALUE($B583&amp;"-01"),0)))-1)/4*100,"")</f>
        <v/>
      </c>
      <c r="W583" t="str">
        <f ca="1">IFERROR(((AVERAGEIFS(Feedback_360!$D$2:$D$1000,Feedback_360!$A$2:$A$1000,$A583,Feedback_360!$B$2:$B$1000,"&gt;="&amp;DATEVALUE($B583&amp;"-01"),Feedback_360!$B$2:$B$1000,"&lt;="&amp;EOMONTH(DATEVALUE($B583&amp;"-01"),0)))-1)/4*100,"")</f>
        <v/>
      </c>
      <c r="X583" t="str">
        <f ca="1">IFERROR(((AVERAGEIFS(Observacion_Directa!$D$2:$D$1000,Observacion_Directa!$A$2:$A$1000,$A583,Observacion_Directa!$B$2:$B$1000,"&gt;="&amp;DATEVALUE($B583&amp;"-01"),Observacion_Directa!$B$2:$B$1000,"&lt;="&amp;EOMONTH(DATEVALUE($B583&amp;"-01"),0)))-1)/4*100,"")</f>
        <v/>
      </c>
      <c r="Y583" t="e">
        <f t="shared" ca="1" si="19"/>
        <v>#DIV/0!</v>
      </c>
    </row>
    <row r="584" spans="12:25" x14ac:dyDescent="0.2">
      <c r="L584" t="str">
        <f t="shared" si="18"/>
        <v/>
      </c>
      <c r="M584" t="str">
        <f>IFERROR(AVERAGEIFS(Prod_5dias!$H$2:$H$1000,Prod_5dias!$A$2:$A$1000,$A584,Prod_5dias!$B$2:$B$1000,$B584),"")</f>
        <v/>
      </c>
      <c r="N584" t="str">
        <f>IF(M584="","",MIN(100,100*M584/Parametros!$B$7))</f>
        <v/>
      </c>
      <c r="O584" t="str">
        <f>IF(F584="","",IF(F584=0,100,MIN(100,100*Parametros!$B$3/F584)))</f>
        <v/>
      </c>
      <c r="P584" t="str">
        <f ca="1">IFERROR(((AVERAGEIFS(Observacion_Directa!$E$2:$E$1000,Observacion_Directa!$A$2:$A$1000,$A584,Observacion_Directa!$B$2:$B$1000,"&gt;="&amp;DATEVALUE($B584&amp;"-01"),Observacion_Directa!$B$2:$B$1000,"&lt;="&amp;EOMONTH(DATEVALUE($B584&amp;"-01"),0)))-1)/4*100,"")</f>
        <v/>
      </c>
      <c r="Q584" t="str">
        <f>IF(H584="","",MIN(100,100*H584/Parametros!$B$4))</f>
        <v/>
      </c>
      <c r="R584" t="str">
        <f>IF(I584="","",IF(I584=0,100,MIN(100,100*Parametros!$B$5/I584)))</f>
        <v/>
      </c>
      <c r="S584" t="str">
        <f>IF(J584="","",IF(J584=0,100,MIN(100,100*Parametros!$B$6/J584)))</f>
        <v/>
      </c>
      <c r="T584" t="str">
        <f>IF(L584="","",MIN(100,100*L584/Parametros!$B$7))</f>
        <v/>
      </c>
      <c r="U584" t="str">
        <f>IF(K584="","",MIN(100,100*K584/Parametros!$B$8))</f>
        <v/>
      </c>
      <c r="V584" t="str">
        <f ca="1">IFERROR(((AVERAGEIFS(Documentacion!$C$2:$C$1000,Documentacion!$A$2:$A$1000,$A584,Documentacion!$B$2:$B$1000,"&gt;="&amp;DATEVALUE($B584&amp;"-01"),Documentacion!$B$2:$B$1000,"&lt;="&amp;EOMONTH(DATEVALUE($B584&amp;"-01"),0)))-1)/4*100,"")</f>
        <v/>
      </c>
      <c r="W584" t="str">
        <f ca="1">IFERROR(((AVERAGEIFS(Feedback_360!$D$2:$D$1000,Feedback_360!$A$2:$A$1000,$A584,Feedback_360!$B$2:$B$1000,"&gt;="&amp;DATEVALUE($B584&amp;"-01"),Feedback_360!$B$2:$B$1000,"&lt;="&amp;EOMONTH(DATEVALUE($B584&amp;"-01"),0)))-1)/4*100,"")</f>
        <v/>
      </c>
      <c r="X584" t="str">
        <f ca="1">IFERROR(((AVERAGEIFS(Observacion_Directa!$D$2:$D$1000,Observacion_Directa!$A$2:$A$1000,$A584,Observacion_Directa!$B$2:$B$1000,"&gt;="&amp;DATEVALUE($B584&amp;"-01"),Observacion_Directa!$B$2:$B$1000,"&lt;="&amp;EOMONTH(DATEVALUE($B584&amp;"-01"),0)))-1)/4*100,"")</f>
        <v/>
      </c>
      <c r="Y584" t="e">
        <f t="shared" ca="1" si="19"/>
        <v>#DIV/0!</v>
      </c>
    </row>
    <row r="585" spans="12:25" x14ac:dyDescent="0.2">
      <c r="L585" t="str">
        <f t="shared" si="18"/>
        <v/>
      </c>
      <c r="M585" t="str">
        <f>IFERROR(AVERAGEIFS(Prod_5dias!$H$2:$H$1000,Prod_5dias!$A$2:$A$1000,$A585,Prod_5dias!$B$2:$B$1000,$B585),"")</f>
        <v/>
      </c>
      <c r="N585" t="str">
        <f>IF(M585="","",MIN(100,100*M585/Parametros!$B$7))</f>
        <v/>
      </c>
      <c r="O585" t="str">
        <f>IF(F585="","",IF(F585=0,100,MIN(100,100*Parametros!$B$3/F585)))</f>
        <v/>
      </c>
      <c r="P585" t="str">
        <f ca="1">IFERROR(((AVERAGEIFS(Observacion_Directa!$E$2:$E$1000,Observacion_Directa!$A$2:$A$1000,$A585,Observacion_Directa!$B$2:$B$1000,"&gt;="&amp;DATEVALUE($B585&amp;"-01"),Observacion_Directa!$B$2:$B$1000,"&lt;="&amp;EOMONTH(DATEVALUE($B585&amp;"-01"),0)))-1)/4*100,"")</f>
        <v/>
      </c>
      <c r="Q585" t="str">
        <f>IF(H585="","",MIN(100,100*H585/Parametros!$B$4))</f>
        <v/>
      </c>
      <c r="R585" t="str">
        <f>IF(I585="","",IF(I585=0,100,MIN(100,100*Parametros!$B$5/I585)))</f>
        <v/>
      </c>
      <c r="S585" t="str">
        <f>IF(J585="","",IF(J585=0,100,MIN(100,100*Parametros!$B$6/J585)))</f>
        <v/>
      </c>
      <c r="T585" t="str">
        <f>IF(L585="","",MIN(100,100*L585/Parametros!$B$7))</f>
        <v/>
      </c>
      <c r="U585" t="str">
        <f>IF(K585="","",MIN(100,100*K585/Parametros!$B$8))</f>
        <v/>
      </c>
      <c r="V585" t="str">
        <f ca="1">IFERROR(((AVERAGEIFS(Documentacion!$C$2:$C$1000,Documentacion!$A$2:$A$1000,$A585,Documentacion!$B$2:$B$1000,"&gt;="&amp;DATEVALUE($B585&amp;"-01"),Documentacion!$B$2:$B$1000,"&lt;="&amp;EOMONTH(DATEVALUE($B585&amp;"-01"),0)))-1)/4*100,"")</f>
        <v/>
      </c>
      <c r="W585" t="str">
        <f ca="1">IFERROR(((AVERAGEIFS(Feedback_360!$D$2:$D$1000,Feedback_360!$A$2:$A$1000,$A585,Feedback_360!$B$2:$B$1000,"&gt;="&amp;DATEVALUE($B585&amp;"-01"),Feedback_360!$B$2:$B$1000,"&lt;="&amp;EOMONTH(DATEVALUE($B585&amp;"-01"),0)))-1)/4*100,"")</f>
        <v/>
      </c>
      <c r="X585" t="str">
        <f ca="1">IFERROR(((AVERAGEIFS(Observacion_Directa!$D$2:$D$1000,Observacion_Directa!$A$2:$A$1000,$A585,Observacion_Directa!$B$2:$B$1000,"&gt;="&amp;DATEVALUE($B585&amp;"-01"),Observacion_Directa!$B$2:$B$1000,"&lt;="&amp;EOMONTH(DATEVALUE($B585&amp;"-01"),0)))-1)/4*100,"")</f>
        <v/>
      </c>
      <c r="Y585" t="e">
        <f t="shared" ca="1" si="19"/>
        <v>#DIV/0!</v>
      </c>
    </row>
    <row r="586" spans="12:25" x14ac:dyDescent="0.2">
      <c r="L586" t="str">
        <f t="shared" si="18"/>
        <v/>
      </c>
      <c r="M586" t="str">
        <f>IFERROR(AVERAGEIFS(Prod_5dias!$H$2:$H$1000,Prod_5dias!$A$2:$A$1000,$A586,Prod_5dias!$B$2:$B$1000,$B586),"")</f>
        <v/>
      </c>
      <c r="N586" t="str">
        <f>IF(M586="","",MIN(100,100*M586/Parametros!$B$7))</f>
        <v/>
      </c>
      <c r="O586" t="str">
        <f>IF(F586="","",IF(F586=0,100,MIN(100,100*Parametros!$B$3/F586)))</f>
        <v/>
      </c>
      <c r="P586" t="str">
        <f ca="1">IFERROR(((AVERAGEIFS(Observacion_Directa!$E$2:$E$1000,Observacion_Directa!$A$2:$A$1000,$A586,Observacion_Directa!$B$2:$B$1000,"&gt;="&amp;DATEVALUE($B586&amp;"-01"),Observacion_Directa!$B$2:$B$1000,"&lt;="&amp;EOMONTH(DATEVALUE($B586&amp;"-01"),0)))-1)/4*100,"")</f>
        <v/>
      </c>
      <c r="Q586" t="str">
        <f>IF(H586="","",MIN(100,100*H586/Parametros!$B$4))</f>
        <v/>
      </c>
      <c r="R586" t="str">
        <f>IF(I586="","",IF(I586=0,100,MIN(100,100*Parametros!$B$5/I586)))</f>
        <v/>
      </c>
      <c r="S586" t="str">
        <f>IF(J586="","",IF(J586=0,100,MIN(100,100*Parametros!$B$6/J586)))</f>
        <v/>
      </c>
      <c r="T586" t="str">
        <f>IF(L586="","",MIN(100,100*L586/Parametros!$B$7))</f>
        <v/>
      </c>
      <c r="U586" t="str">
        <f>IF(K586="","",MIN(100,100*K586/Parametros!$B$8))</f>
        <v/>
      </c>
      <c r="V586" t="str">
        <f ca="1">IFERROR(((AVERAGEIFS(Documentacion!$C$2:$C$1000,Documentacion!$A$2:$A$1000,$A586,Documentacion!$B$2:$B$1000,"&gt;="&amp;DATEVALUE($B586&amp;"-01"),Documentacion!$B$2:$B$1000,"&lt;="&amp;EOMONTH(DATEVALUE($B586&amp;"-01"),0)))-1)/4*100,"")</f>
        <v/>
      </c>
      <c r="W586" t="str">
        <f ca="1">IFERROR(((AVERAGEIFS(Feedback_360!$D$2:$D$1000,Feedback_360!$A$2:$A$1000,$A586,Feedback_360!$B$2:$B$1000,"&gt;="&amp;DATEVALUE($B586&amp;"-01"),Feedback_360!$B$2:$B$1000,"&lt;="&amp;EOMONTH(DATEVALUE($B586&amp;"-01"),0)))-1)/4*100,"")</f>
        <v/>
      </c>
      <c r="X586" t="str">
        <f ca="1">IFERROR(((AVERAGEIFS(Observacion_Directa!$D$2:$D$1000,Observacion_Directa!$A$2:$A$1000,$A586,Observacion_Directa!$B$2:$B$1000,"&gt;="&amp;DATEVALUE($B586&amp;"-01"),Observacion_Directa!$B$2:$B$1000,"&lt;="&amp;EOMONTH(DATEVALUE($B586&amp;"-01"),0)))-1)/4*100,"")</f>
        <v/>
      </c>
      <c r="Y586" t="e">
        <f t="shared" ca="1" si="19"/>
        <v>#DIV/0!</v>
      </c>
    </row>
    <row r="587" spans="12:25" x14ac:dyDescent="0.2">
      <c r="L587" t="str">
        <f t="shared" si="18"/>
        <v/>
      </c>
      <c r="M587" t="str">
        <f>IFERROR(AVERAGEIFS(Prod_5dias!$H$2:$H$1000,Prod_5dias!$A$2:$A$1000,$A587,Prod_5dias!$B$2:$B$1000,$B587),"")</f>
        <v/>
      </c>
      <c r="N587" t="str">
        <f>IF(M587="","",MIN(100,100*M587/Parametros!$B$7))</f>
        <v/>
      </c>
      <c r="O587" t="str">
        <f>IF(F587="","",IF(F587=0,100,MIN(100,100*Parametros!$B$3/F587)))</f>
        <v/>
      </c>
      <c r="P587" t="str">
        <f ca="1">IFERROR(((AVERAGEIFS(Observacion_Directa!$E$2:$E$1000,Observacion_Directa!$A$2:$A$1000,$A587,Observacion_Directa!$B$2:$B$1000,"&gt;="&amp;DATEVALUE($B587&amp;"-01"),Observacion_Directa!$B$2:$B$1000,"&lt;="&amp;EOMONTH(DATEVALUE($B587&amp;"-01"),0)))-1)/4*100,"")</f>
        <v/>
      </c>
      <c r="Q587" t="str">
        <f>IF(H587="","",MIN(100,100*H587/Parametros!$B$4))</f>
        <v/>
      </c>
      <c r="R587" t="str">
        <f>IF(I587="","",IF(I587=0,100,MIN(100,100*Parametros!$B$5/I587)))</f>
        <v/>
      </c>
      <c r="S587" t="str">
        <f>IF(J587="","",IF(J587=0,100,MIN(100,100*Parametros!$B$6/J587)))</f>
        <v/>
      </c>
      <c r="T587" t="str">
        <f>IF(L587="","",MIN(100,100*L587/Parametros!$B$7))</f>
        <v/>
      </c>
      <c r="U587" t="str">
        <f>IF(K587="","",MIN(100,100*K587/Parametros!$B$8))</f>
        <v/>
      </c>
      <c r="V587" t="str">
        <f ca="1">IFERROR(((AVERAGEIFS(Documentacion!$C$2:$C$1000,Documentacion!$A$2:$A$1000,$A587,Documentacion!$B$2:$B$1000,"&gt;="&amp;DATEVALUE($B587&amp;"-01"),Documentacion!$B$2:$B$1000,"&lt;="&amp;EOMONTH(DATEVALUE($B587&amp;"-01"),0)))-1)/4*100,"")</f>
        <v/>
      </c>
      <c r="W587" t="str">
        <f ca="1">IFERROR(((AVERAGEIFS(Feedback_360!$D$2:$D$1000,Feedback_360!$A$2:$A$1000,$A587,Feedback_360!$B$2:$B$1000,"&gt;="&amp;DATEVALUE($B587&amp;"-01"),Feedback_360!$B$2:$B$1000,"&lt;="&amp;EOMONTH(DATEVALUE($B587&amp;"-01"),0)))-1)/4*100,"")</f>
        <v/>
      </c>
      <c r="X587" t="str">
        <f ca="1">IFERROR(((AVERAGEIFS(Observacion_Directa!$D$2:$D$1000,Observacion_Directa!$A$2:$A$1000,$A587,Observacion_Directa!$B$2:$B$1000,"&gt;="&amp;DATEVALUE($B587&amp;"-01"),Observacion_Directa!$B$2:$B$1000,"&lt;="&amp;EOMONTH(DATEVALUE($B587&amp;"-01"),0)))-1)/4*100,"")</f>
        <v/>
      </c>
      <c r="Y587" t="e">
        <f t="shared" ca="1" si="19"/>
        <v>#DIV/0!</v>
      </c>
    </row>
    <row r="588" spans="12:25" x14ac:dyDescent="0.2">
      <c r="L588" t="str">
        <f t="shared" si="18"/>
        <v/>
      </c>
      <c r="M588" t="str">
        <f>IFERROR(AVERAGEIFS(Prod_5dias!$H$2:$H$1000,Prod_5dias!$A$2:$A$1000,$A588,Prod_5dias!$B$2:$B$1000,$B588),"")</f>
        <v/>
      </c>
      <c r="N588" t="str">
        <f>IF(M588="","",MIN(100,100*M588/Parametros!$B$7))</f>
        <v/>
      </c>
      <c r="O588" t="str">
        <f>IF(F588="","",IF(F588=0,100,MIN(100,100*Parametros!$B$3/F588)))</f>
        <v/>
      </c>
      <c r="P588" t="str">
        <f ca="1">IFERROR(((AVERAGEIFS(Observacion_Directa!$E$2:$E$1000,Observacion_Directa!$A$2:$A$1000,$A588,Observacion_Directa!$B$2:$B$1000,"&gt;="&amp;DATEVALUE($B588&amp;"-01"),Observacion_Directa!$B$2:$B$1000,"&lt;="&amp;EOMONTH(DATEVALUE($B588&amp;"-01"),0)))-1)/4*100,"")</f>
        <v/>
      </c>
      <c r="Q588" t="str">
        <f>IF(H588="","",MIN(100,100*H588/Parametros!$B$4))</f>
        <v/>
      </c>
      <c r="R588" t="str">
        <f>IF(I588="","",IF(I588=0,100,MIN(100,100*Parametros!$B$5/I588)))</f>
        <v/>
      </c>
      <c r="S588" t="str">
        <f>IF(J588="","",IF(J588=0,100,MIN(100,100*Parametros!$B$6/J588)))</f>
        <v/>
      </c>
      <c r="T588" t="str">
        <f>IF(L588="","",MIN(100,100*L588/Parametros!$B$7))</f>
        <v/>
      </c>
      <c r="U588" t="str">
        <f>IF(K588="","",MIN(100,100*K588/Parametros!$B$8))</f>
        <v/>
      </c>
      <c r="V588" t="str">
        <f ca="1">IFERROR(((AVERAGEIFS(Documentacion!$C$2:$C$1000,Documentacion!$A$2:$A$1000,$A588,Documentacion!$B$2:$B$1000,"&gt;="&amp;DATEVALUE($B588&amp;"-01"),Documentacion!$B$2:$B$1000,"&lt;="&amp;EOMONTH(DATEVALUE($B588&amp;"-01"),0)))-1)/4*100,"")</f>
        <v/>
      </c>
      <c r="W588" t="str">
        <f ca="1">IFERROR(((AVERAGEIFS(Feedback_360!$D$2:$D$1000,Feedback_360!$A$2:$A$1000,$A588,Feedback_360!$B$2:$B$1000,"&gt;="&amp;DATEVALUE($B588&amp;"-01"),Feedback_360!$B$2:$B$1000,"&lt;="&amp;EOMONTH(DATEVALUE($B588&amp;"-01"),0)))-1)/4*100,"")</f>
        <v/>
      </c>
      <c r="X588" t="str">
        <f ca="1">IFERROR(((AVERAGEIFS(Observacion_Directa!$D$2:$D$1000,Observacion_Directa!$A$2:$A$1000,$A588,Observacion_Directa!$B$2:$B$1000,"&gt;="&amp;DATEVALUE($B588&amp;"-01"),Observacion_Directa!$B$2:$B$1000,"&lt;="&amp;EOMONTH(DATEVALUE($B588&amp;"-01"),0)))-1)/4*100,"")</f>
        <v/>
      </c>
      <c r="Y588" t="e">
        <f t="shared" ca="1" si="19"/>
        <v>#DIV/0!</v>
      </c>
    </row>
    <row r="589" spans="12:25" x14ac:dyDescent="0.2">
      <c r="L589" t="str">
        <f t="shared" si="18"/>
        <v/>
      </c>
      <c r="M589" t="str">
        <f>IFERROR(AVERAGEIFS(Prod_5dias!$H$2:$H$1000,Prod_5dias!$A$2:$A$1000,$A589,Prod_5dias!$B$2:$B$1000,$B589),"")</f>
        <v/>
      </c>
      <c r="N589" t="str">
        <f>IF(M589="","",MIN(100,100*M589/Parametros!$B$7))</f>
        <v/>
      </c>
      <c r="O589" t="str">
        <f>IF(F589="","",IF(F589=0,100,MIN(100,100*Parametros!$B$3/F589)))</f>
        <v/>
      </c>
      <c r="P589" t="str">
        <f ca="1">IFERROR(((AVERAGEIFS(Observacion_Directa!$E$2:$E$1000,Observacion_Directa!$A$2:$A$1000,$A589,Observacion_Directa!$B$2:$B$1000,"&gt;="&amp;DATEVALUE($B589&amp;"-01"),Observacion_Directa!$B$2:$B$1000,"&lt;="&amp;EOMONTH(DATEVALUE($B589&amp;"-01"),0)))-1)/4*100,"")</f>
        <v/>
      </c>
      <c r="Q589" t="str">
        <f>IF(H589="","",MIN(100,100*H589/Parametros!$B$4))</f>
        <v/>
      </c>
      <c r="R589" t="str">
        <f>IF(I589="","",IF(I589=0,100,MIN(100,100*Parametros!$B$5/I589)))</f>
        <v/>
      </c>
      <c r="S589" t="str">
        <f>IF(J589="","",IF(J589=0,100,MIN(100,100*Parametros!$B$6/J589)))</f>
        <v/>
      </c>
      <c r="T589" t="str">
        <f>IF(L589="","",MIN(100,100*L589/Parametros!$B$7))</f>
        <v/>
      </c>
      <c r="U589" t="str">
        <f>IF(K589="","",MIN(100,100*K589/Parametros!$B$8))</f>
        <v/>
      </c>
      <c r="V589" t="str">
        <f ca="1">IFERROR(((AVERAGEIFS(Documentacion!$C$2:$C$1000,Documentacion!$A$2:$A$1000,$A589,Documentacion!$B$2:$B$1000,"&gt;="&amp;DATEVALUE($B589&amp;"-01"),Documentacion!$B$2:$B$1000,"&lt;="&amp;EOMONTH(DATEVALUE($B589&amp;"-01"),0)))-1)/4*100,"")</f>
        <v/>
      </c>
      <c r="W589" t="str">
        <f ca="1">IFERROR(((AVERAGEIFS(Feedback_360!$D$2:$D$1000,Feedback_360!$A$2:$A$1000,$A589,Feedback_360!$B$2:$B$1000,"&gt;="&amp;DATEVALUE($B589&amp;"-01"),Feedback_360!$B$2:$B$1000,"&lt;="&amp;EOMONTH(DATEVALUE($B589&amp;"-01"),0)))-1)/4*100,"")</f>
        <v/>
      </c>
      <c r="X589" t="str">
        <f ca="1">IFERROR(((AVERAGEIFS(Observacion_Directa!$D$2:$D$1000,Observacion_Directa!$A$2:$A$1000,$A589,Observacion_Directa!$B$2:$B$1000,"&gt;="&amp;DATEVALUE($B589&amp;"-01"),Observacion_Directa!$B$2:$B$1000,"&lt;="&amp;EOMONTH(DATEVALUE($B589&amp;"-01"),0)))-1)/4*100,"")</f>
        <v/>
      </c>
      <c r="Y589" t="e">
        <f t="shared" ca="1" si="19"/>
        <v>#DIV/0!</v>
      </c>
    </row>
    <row r="590" spans="12:25" x14ac:dyDescent="0.2">
      <c r="L590" t="str">
        <f t="shared" si="18"/>
        <v/>
      </c>
      <c r="M590" t="str">
        <f>IFERROR(AVERAGEIFS(Prod_5dias!$H$2:$H$1000,Prod_5dias!$A$2:$A$1000,$A590,Prod_5dias!$B$2:$B$1000,$B590),"")</f>
        <v/>
      </c>
      <c r="N590" t="str">
        <f>IF(M590="","",MIN(100,100*M590/Parametros!$B$7))</f>
        <v/>
      </c>
      <c r="O590" t="str">
        <f>IF(F590="","",IF(F590=0,100,MIN(100,100*Parametros!$B$3/F590)))</f>
        <v/>
      </c>
      <c r="P590" t="str">
        <f ca="1">IFERROR(((AVERAGEIFS(Observacion_Directa!$E$2:$E$1000,Observacion_Directa!$A$2:$A$1000,$A590,Observacion_Directa!$B$2:$B$1000,"&gt;="&amp;DATEVALUE($B590&amp;"-01"),Observacion_Directa!$B$2:$B$1000,"&lt;="&amp;EOMONTH(DATEVALUE($B590&amp;"-01"),0)))-1)/4*100,"")</f>
        <v/>
      </c>
      <c r="Q590" t="str">
        <f>IF(H590="","",MIN(100,100*H590/Parametros!$B$4))</f>
        <v/>
      </c>
      <c r="R590" t="str">
        <f>IF(I590="","",IF(I590=0,100,MIN(100,100*Parametros!$B$5/I590)))</f>
        <v/>
      </c>
      <c r="S590" t="str">
        <f>IF(J590="","",IF(J590=0,100,MIN(100,100*Parametros!$B$6/J590)))</f>
        <v/>
      </c>
      <c r="T590" t="str">
        <f>IF(L590="","",MIN(100,100*L590/Parametros!$B$7))</f>
        <v/>
      </c>
      <c r="U590" t="str">
        <f>IF(K590="","",MIN(100,100*K590/Parametros!$B$8))</f>
        <v/>
      </c>
      <c r="V590" t="str">
        <f ca="1">IFERROR(((AVERAGEIFS(Documentacion!$C$2:$C$1000,Documentacion!$A$2:$A$1000,$A590,Documentacion!$B$2:$B$1000,"&gt;="&amp;DATEVALUE($B590&amp;"-01"),Documentacion!$B$2:$B$1000,"&lt;="&amp;EOMONTH(DATEVALUE($B590&amp;"-01"),0)))-1)/4*100,"")</f>
        <v/>
      </c>
      <c r="W590" t="str">
        <f ca="1">IFERROR(((AVERAGEIFS(Feedback_360!$D$2:$D$1000,Feedback_360!$A$2:$A$1000,$A590,Feedback_360!$B$2:$B$1000,"&gt;="&amp;DATEVALUE($B590&amp;"-01"),Feedback_360!$B$2:$B$1000,"&lt;="&amp;EOMONTH(DATEVALUE($B590&amp;"-01"),0)))-1)/4*100,"")</f>
        <v/>
      </c>
      <c r="X590" t="str">
        <f ca="1">IFERROR(((AVERAGEIFS(Observacion_Directa!$D$2:$D$1000,Observacion_Directa!$A$2:$A$1000,$A590,Observacion_Directa!$B$2:$B$1000,"&gt;="&amp;DATEVALUE($B590&amp;"-01"),Observacion_Directa!$B$2:$B$1000,"&lt;="&amp;EOMONTH(DATEVALUE($B590&amp;"-01"),0)))-1)/4*100,"")</f>
        <v/>
      </c>
      <c r="Y590" t="e">
        <f t="shared" ca="1" si="19"/>
        <v>#DIV/0!</v>
      </c>
    </row>
    <row r="591" spans="12:25" x14ac:dyDescent="0.2">
      <c r="L591" t="str">
        <f t="shared" si="18"/>
        <v/>
      </c>
      <c r="M591" t="str">
        <f>IFERROR(AVERAGEIFS(Prod_5dias!$H$2:$H$1000,Prod_5dias!$A$2:$A$1000,$A591,Prod_5dias!$B$2:$B$1000,$B591),"")</f>
        <v/>
      </c>
      <c r="N591" t="str">
        <f>IF(M591="","",MIN(100,100*M591/Parametros!$B$7))</f>
        <v/>
      </c>
      <c r="O591" t="str">
        <f>IF(F591="","",IF(F591=0,100,MIN(100,100*Parametros!$B$3/F591)))</f>
        <v/>
      </c>
      <c r="P591" t="str">
        <f ca="1">IFERROR(((AVERAGEIFS(Observacion_Directa!$E$2:$E$1000,Observacion_Directa!$A$2:$A$1000,$A591,Observacion_Directa!$B$2:$B$1000,"&gt;="&amp;DATEVALUE($B591&amp;"-01"),Observacion_Directa!$B$2:$B$1000,"&lt;="&amp;EOMONTH(DATEVALUE($B591&amp;"-01"),0)))-1)/4*100,"")</f>
        <v/>
      </c>
      <c r="Q591" t="str">
        <f>IF(H591="","",MIN(100,100*H591/Parametros!$B$4))</f>
        <v/>
      </c>
      <c r="R591" t="str">
        <f>IF(I591="","",IF(I591=0,100,MIN(100,100*Parametros!$B$5/I591)))</f>
        <v/>
      </c>
      <c r="S591" t="str">
        <f>IF(J591="","",IF(J591=0,100,MIN(100,100*Parametros!$B$6/J591)))</f>
        <v/>
      </c>
      <c r="T591" t="str">
        <f>IF(L591="","",MIN(100,100*L591/Parametros!$B$7))</f>
        <v/>
      </c>
      <c r="U591" t="str">
        <f>IF(K591="","",MIN(100,100*K591/Parametros!$B$8))</f>
        <v/>
      </c>
      <c r="V591" t="str">
        <f ca="1">IFERROR(((AVERAGEIFS(Documentacion!$C$2:$C$1000,Documentacion!$A$2:$A$1000,$A591,Documentacion!$B$2:$B$1000,"&gt;="&amp;DATEVALUE($B591&amp;"-01"),Documentacion!$B$2:$B$1000,"&lt;="&amp;EOMONTH(DATEVALUE($B591&amp;"-01"),0)))-1)/4*100,"")</f>
        <v/>
      </c>
      <c r="W591" t="str">
        <f ca="1">IFERROR(((AVERAGEIFS(Feedback_360!$D$2:$D$1000,Feedback_360!$A$2:$A$1000,$A591,Feedback_360!$B$2:$B$1000,"&gt;="&amp;DATEVALUE($B591&amp;"-01"),Feedback_360!$B$2:$B$1000,"&lt;="&amp;EOMONTH(DATEVALUE($B591&amp;"-01"),0)))-1)/4*100,"")</f>
        <v/>
      </c>
      <c r="X591" t="str">
        <f ca="1">IFERROR(((AVERAGEIFS(Observacion_Directa!$D$2:$D$1000,Observacion_Directa!$A$2:$A$1000,$A591,Observacion_Directa!$B$2:$B$1000,"&gt;="&amp;DATEVALUE($B591&amp;"-01"),Observacion_Directa!$B$2:$B$1000,"&lt;="&amp;EOMONTH(DATEVALUE($B591&amp;"-01"),0)))-1)/4*100,"")</f>
        <v/>
      </c>
      <c r="Y591" t="e">
        <f t="shared" ca="1" si="19"/>
        <v>#DIV/0!</v>
      </c>
    </row>
    <row r="592" spans="12:25" x14ac:dyDescent="0.2">
      <c r="L592" t="str">
        <f t="shared" si="18"/>
        <v/>
      </c>
      <c r="M592" t="str">
        <f>IFERROR(AVERAGEIFS(Prod_5dias!$H$2:$H$1000,Prod_5dias!$A$2:$A$1000,$A592,Prod_5dias!$B$2:$B$1000,$B592),"")</f>
        <v/>
      </c>
      <c r="N592" t="str">
        <f>IF(M592="","",MIN(100,100*M592/Parametros!$B$7))</f>
        <v/>
      </c>
      <c r="O592" t="str">
        <f>IF(F592="","",IF(F592=0,100,MIN(100,100*Parametros!$B$3/F592)))</f>
        <v/>
      </c>
      <c r="P592" t="str">
        <f ca="1">IFERROR(((AVERAGEIFS(Observacion_Directa!$E$2:$E$1000,Observacion_Directa!$A$2:$A$1000,$A592,Observacion_Directa!$B$2:$B$1000,"&gt;="&amp;DATEVALUE($B592&amp;"-01"),Observacion_Directa!$B$2:$B$1000,"&lt;="&amp;EOMONTH(DATEVALUE($B592&amp;"-01"),0)))-1)/4*100,"")</f>
        <v/>
      </c>
      <c r="Q592" t="str">
        <f>IF(H592="","",MIN(100,100*H592/Parametros!$B$4))</f>
        <v/>
      </c>
      <c r="R592" t="str">
        <f>IF(I592="","",IF(I592=0,100,MIN(100,100*Parametros!$B$5/I592)))</f>
        <v/>
      </c>
      <c r="S592" t="str">
        <f>IF(J592="","",IF(J592=0,100,MIN(100,100*Parametros!$B$6/J592)))</f>
        <v/>
      </c>
      <c r="T592" t="str">
        <f>IF(L592="","",MIN(100,100*L592/Parametros!$B$7))</f>
        <v/>
      </c>
      <c r="U592" t="str">
        <f>IF(K592="","",MIN(100,100*K592/Parametros!$B$8))</f>
        <v/>
      </c>
      <c r="V592" t="str">
        <f ca="1">IFERROR(((AVERAGEIFS(Documentacion!$C$2:$C$1000,Documentacion!$A$2:$A$1000,$A592,Documentacion!$B$2:$B$1000,"&gt;="&amp;DATEVALUE($B592&amp;"-01"),Documentacion!$B$2:$B$1000,"&lt;="&amp;EOMONTH(DATEVALUE($B592&amp;"-01"),0)))-1)/4*100,"")</f>
        <v/>
      </c>
      <c r="W592" t="str">
        <f ca="1">IFERROR(((AVERAGEIFS(Feedback_360!$D$2:$D$1000,Feedback_360!$A$2:$A$1000,$A592,Feedback_360!$B$2:$B$1000,"&gt;="&amp;DATEVALUE($B592&amp;"-01"),Feedback_360!$B$2:$B$1000,"&lt;="&amp;EOMONTH(DATEVALUE($B592&amp;"-01"),0)))-1)/4*100,"")</f>
        <v/>
      </c>
      <c r="X592" t="str">
        <f ca="1">IFERROR(((AVERAGEIFS(Observacion_Directa!$D$2:$D$1000,Observacion_Directa!$A$2:$A$1000,$A592,Observacion_Directa!$B$2:$B$1000,"&gt;="&amp;DATEVALUE($B592&amp;"-01"),Observacion_Directa!$B$2:$B$1000,"&lt;="&amp;EOMONTH(DATEVALUE($B592&amp;"-01"),0)))-1)/4*100,"")</f>
        <v/>
      </c>
      <c r="Y592" t="e">
        <f t="shared" ca="1" si="19"/>
        <v>#DIV/0!</v>
      </c>
    </row>
    <row r="593" spans="12:25" x14ac:dyDescent="0.2">
      <c r="L593" t="str">
        <f t="shared" si="18"/>
        <v/>
      </c>
      <c r="M593" t="str">
        <f>IFERROR(AVERAGEIFS(Prod_5dias!$H$2:$H$1000,Prod_5dias!$A$2:$A$1000,$A593,Prod_5dias!$B$2:$B$1000,$B593),"")</f>
        <v/>
      </c>
      <c r="N593" t="str">
        <f>IF(M593="","",MIN(100,100*M593/Parametros!$B$7))</f>
        <v/>
      </c>
      <c r="O593" t="str">
        <f>IF(F593="","",IF(F593=0,100,MIN(100,100*Parametros!$B$3/F593)))</f>
        <v/>
      </c>
      <c r="P593" t="str">
        <f ca="1">IFERROR(((AVERAGEIFS(Observacion_Directa!$E$2:$E$1000,Observacion_Directa!$A$2:$A$1000,$A593,Observacion_Directa!$B$2:$B$1000,"&gt;="&amp;DATEVALUE($B593&amp;"-01"),Observacion_Directa!$B$2:$B$1000,"&lt;="&amp;EOMONTH(DATEVALUE($B593&amp;"-01"),0)))-1)/4*100,"")</f>
        <v/>
      </c>
      <c r="Q593" t="str">
        <f>IF(H593="","",MIN(100,100*H593/Parametros!$B$4))</f>
        <v/>
      </c>
      <c r="R593" t="str">
        <f>IF(I593="","",IF(I593=0,100,MIN(100,100*Parametros!$B$5/I593)))</f>
        <v/>
      </c>
      <c r="S593" t="str">
        <f>IF(J593="","",IF(J593=0,100,MIN(100,100*Parametros!$B$6/J593)))</f>
        <v/>
      </c>
      <c r="T593" t="str">
        <f>IF(L593="","",MIN(100,100*L593/Parametros!$B$7))</f>
        <v/>
      </c>
      <c r="U593" t="str">
        <f>IF(K593="","",MIN(100,100*K593/Parametros!$B$8))</f>
        <v/>
      </c>
      <c r="V593" t="str">
        <f ca="1">IFERROR(((AVERAGEIFS(Documentacion!$C$2:$C$1000,Documentacion!$A$2:$A$1000,$A593,Documentacion!$B$2:$B$1000,"&gt;="&amp;DATEVALUE($B593&amp;"-01"),Documentacion!$B$2:$B$1000,"&lt;="&amp;EOMONTH(DATEVALUE($B593&amp;"-01"),0)))-1)/4*100,"")</f>
        <v/>
      </c>
      <c r="W593" t="str">
        <f ca="1">IFERROR(((AVERAGEIFS(Feedback_360!$D$2:$D$1000,Feedback_360!$A$2:$A$1000,$A593,Feedback_360!$B$2:$B$1000,"&gt;="&amp;DATEVALUE($B593&amp;"-01"),Feedback_360!$B$2:$B$1000,"&lt;="&amp;EOMONTH(DATEVALUE($B593&amp;"-01"),0)))-1)/4*100,"")</f>
        <v/>
      </c>
      <c r="X593" t="str">
        <f ca="1">IFERROR(((AVERAGEIFS(Observacion_Directa!$D$2:$D$1000,Observacion_Directa!$A$2:$A$1000,$A593,Observacion_Directa!$B$2:$B$1000,"&gt;="&amp;DATEVALUE($B593&amp;"-01"),Observacion_Directa!$B$2:$B$1000,"&lt;="&amp;EOMONTH(DATEVALUE($B593&amp;"-01"),0)))-1)/4*100,"")</f>
        <v/>
      </c>
      <c r="Y593" t="e">
        <f t="shared" ca="1" si="19"/>
        <v>#DIV/0!</v>
      </c>
    </row>
    <row r="594" spans="12:25" x14ac:dyDescent="0.2">
      <c r="L594" t="str">
        <f t="shared" si="18"/>
        <v/>
      </c>
      <c r="M594" t="str">
        <f>IFERROR(AVERAGEIFS(Prod_5dias!$H$2:$H$1000,Prod_5dias!$A$2:$A$1000,$A594,Prod_5dias!$B$2:$B$1000,$B594),"")</f>
        <v/>
      </c>
      <c r="N594" t="str">
        <f>IF(M594="","",MIN(100,100*M594/Parametros!$B$7))</f>
        <v/>
      </c>
      <c r="O594" t="str">
        <f>IF(F594="","",IF(F594=0,100,MIN(100,100*Parametros!$B$3/F594)))</f>
        <v/>
      </c>
      <c r="P594" t="str">
        <f ca="1">IFERROR(((AVERAGEIFS(Observacion_Directa!$E$2:$E$1000,Observacion_Directa!$A$2:$A$1000,$A594,Observacion_Directa!$B$2:$B$1000,"&gt;="&amp;DATEVALUE($B594&amp;"-01"),Observacion_Directa!$B$2:$B$1000,"&lt;="&amp;EOMONTH(DATEVALUE($B594&amp;"-01"),0)))-1)/4*100,"")</f>
        <v/>
      </c>
      <c r="Q594" t="str">
        <f>IF(H594="","",MIN(100,100*H594/Parametros!$B$4))</f>
        <v/>
      </c>
      <c r="R594" t="str">
        <f>IF(I594="","",IF(I594=0,100,MIN(100,100*Parametros!$B$5/I594)))</f>
        <v/>
      </c>
      <c r="S594" t="str">
        <f>IF(J594="","",IF(J594=0,100,MIN(100,100*Parametros!$B$6/J594)))</f>
        <v/>
      </c>
      <c r="T594" t="str">
        <f>IF(L594="","",MIN(100,100*L594/Parametros!$B$7))</f>
        <v/>
      </c>
      <c r="U594" t="str">
        <f>IF(K594="","",MIN(100,100*K594/Parametros!$B$8))</f>
        <v/>
      </c>
      <c r="V594" t="str">
        <f ca="1">IFERROR(((AVERAGEIFS(Documentacion!$C$2:$C$1000,Documentacion!$A$2:$A$1000,$A594,Documentacion!$B$2:$B$1000,"&gt;="&amp;DATEVALUE($B594&amp;"-01"),Documentacion!$B$2:$B$1000,"&lt;="&amp;EOMONTH(DATEVALUE($B594&amp;"-01"),0)))-1)/4*100,"")</f>
        <v/>
      </c>
      <c r="W594" t="str">
        <f ca="1">IFERROR(((AVERAGEIFS(Feedback_360!$D$2:$D$1000,Feedback_360!$A$2:$A$1000,$A594,Feedback_360!$B$2:$B$1000,"&gt;="&amp;DATEVALUE($B594&amp;"-01"),Feedback_360!$B$2:$B$1000,"&lt;="&amp;EOMONTH(DATEVALUE($B594&amp;"-01"),0)))-1)/4*100,"")</f>
        <v/>
      </c>
      <c r="X594" t="str">
        <f ca="1">IFERROR(((AVERAGEIFS(Observacion_Directa!$D$2:$D$1000,Observacion_Directa!$A$2:$A$1000,$A594,Observacion_Directa!$B$2:$B$1000,"&gt;="&amp;DATEVALUE($B594&amp;"-01"),Observacion_Directa!$B$2:$B$1000,"&lt;="&amp;EOMONTH(DATEVALUE($B594&amp;"-01"),0)))-1)/4*100,"")</f>
        <v/>
      </c>
      <c r="Y594" t="e">
        <f t="shared" ca="1" si="19"/>
        <v>#DIV/0!</v>
      </c>
    </row>
    <row r="595" spans="12:25" x14ac:dyDescent="0.2">
      <c r="L595" t="str">
        <f t="shared" si="18"/>
        <v/>
      </c>
      <c r="M595" t="str">
        <f>IFERROR(AVERAGEIFS(Prod_5dias!$H$2:$H$1000,Prod_5dias!$A$2:$A$1000,$A595,Prod_5dias!$B$2:$B$1000,$B595),"")</f>
        <v/>
      </c>
      <c r="N595" t="str">
        <f>IF(M595="","",MIN(100,100*M595/Parametros!$B$7))</f>
        <v/>
      </c>
      <c r="O595" t="str">
        <f>IF(F595="","",IF(F595=0,100,MIN(100,100*Parametros!$B$3/F595)))</f>
        <v/>
      </c>
      <c r="P595" t="str">
        <f ca="1">IFERROR(((AVERAGEIFS(Observacion_Directa!$E$2:$E$1000,Observacion_Directa!$A$2:$A$1000,$A595,Observacion_Directa!$B$2:$B$1000,"&gt;="&amp;DATEVALUE($B595&amp;"-01"),Observacion_Directa!$B$2:$B$1000,"&lt;="&amp;EOMONTH(DATEVALUE($B595&amp;"-01"),0)))-1)/4*100,"")</f>
        <v/>
      </c>
      <c r="Q595" t="str">
        <f>IF(H595="","",MIN(100,100*H595/Parametros!$B$4))</f>
        <v/>
      </c>
      <c r="R595" t="str">
        <f>IF(I595="","",IF(I595=0,100,MIN(100,100*Parametros!$B$5/I595)))</f>
        <v/>
      </c>
      <c r="S595" t="str">
        <f>IF(J595="","",IF(J595=0,100,MIN(100,100*Parametros!$B$6/J595)))</f>
        <v/>
      </c>
      <c r="T595" t="str">
        <f>IF(L595="","",MIN(100,100*L595/Parametros!$B$7))</f>
        <v/>
      </c>
      <c r="U595" t="str">
        <f>IF(K595="","",MIN(100,100*K595/Parametros!$B$8))</f>
        <v/>
      </c>
      <c r="V595" t="str">
        <f ca="1">IFERROR(((AVERAGEIFS(Documentacion!$C$2:$C$1000,Documentacion!$A$2:$A$1000,$A595,Documentacion!$B$2:$B$1000,"&gt;="&amp;DATEVALUE($B595&amp;"-01"),Documentacion!$B$2:$B$1000,"&lt;="&amp;EOMONTH(DATEVALUE($B595&amp;"-01"),0)))-1)/4*100,"")</f>
        <v/>
      </c>
      <c r="W595" t="str">
        <f ca="1">IFERROR(((AVERAGEIFS(Feedback_360!$D$2:$D$1000,Feedback_360!$A$2:$A$1000,$A595,Feedback_360!$B$2:$B$1000,"&gt;="&amp;DATEVALUE($B595&amp;"-01"),Feedback_360!$B$2:$B$1000,"&lt;="&amp;EOMONTH(DATEVALUE($B595&amp;"-01"),0)))-1)/4*100,"")</f>
        <v/>
      </c>
      <c r="X595" t="str">
        <f ca="1">IFERROR(((AVERAGEIFS(Observacion_Directa!$D$2:$D$1000,Observacion_Directa!$A$2:$A$1000,$A595,Observacion_Directa!$B$2:$B$1000,"&gt;="&amp;DATEVALUE($B595&amp;"-01"),Observacion_Directa!$B$2:$B$1000,"&lt;="&amp;EOMONTH(DATEVALUE($B595&amp;"-01"),0)))-1)/4*100,"")</f>
        <v/>
      </c>
      <c r="Y595" t="e">
        <f t="shared" ca="1" si="19"/>
        <v>#DIV/0!</v>
      </c>
    </row>
    <row r="596" spans="12:25" x14ac:dyDescent="0.2">
      <c r="L596" t="str">
        <f t="shared" si="18"/>
        <v/>
      </c>
      <c r="M596" t="str">
        <f>IFERROR(AVERAGEIFS(Prod_5dias!$H$2:$H$1000,Prod_5dias!$A$2:$A$1000,$A596,Prod_5dias!$B$2:$B$1000,$B596),"")</f>
        <v/>
      </c>
      <c r="N596" t="str">
        <f>IF(M596="","",MIN(100,100*M596/Parametros!$B$7))</f>
        <v/>
      </c>
      <c r="O596" t="str">
        <f>IF(F596="","",IF(F596=0,100,MIN(100,100*Parametros!$B$3/F596)))</f>
        <v/>
      </c>
      <c r="P596" t="str">
        <f ca="1">IFERROR(((AVERAGEIFS(Observacion_Directa!$E$2:$E$1000,Observacion_Directa!$A$2:$A$1000,$A596,Observacion_Directa!$B$2:$B$1000,"&gt;="&amp;DATEVALUE($B596&amp;"-01"),Observacion_Directa!$B$2:$B$1000,"&lt;="&amp;EOMONTH(DATEVALUE($B596&amp;"-01"),0)))-1)/4*100,"")</f>
        <v/>
      </c>
      <c r="Q596" t="str">
        <f>IF(H596="","",MIN(100,100*H596/Parametros!$B$4))</f>
        <v/>
      </c>
      <c r="R596" t="str">
        <f>IF(I596="","",IF(I596=0,100,MIN(100,100*Parametros!$B$5/I596)))</f>
        <v/>
      </c>
      <c r="S596" t="str">
        <f>IF(J596="","",IF(J596=0,100,MIN(100,100*Parametros!$B$6/J596)))</f>
        <v/>
      </c>
      <c r="T596" t="str">
        <f>IF(L596="","",MIN(100,100*L596/Parametros!$B$7))</f>
        <v/>
      </c>
      <c r="U596" t="str">
        <f>IF(K596="","",MIN(100,100*K596/Parametros!$B$8))</f>
        <v/>
      </c>
      <c r="V596" t="str">
        <f ca="1">IFERROR(((AVERAGEIFS(Documentacion!$C$2:$C$1000,Documentacion!$A$2:$A$1000,$A596,Documentacion!$B$2:$B$1000,"&gt;="&amp;DATEVALUE($B596&amp;"-01"),Documentacion!$B$2:$B$1000,"&lt;="&amp;EOMONTH(DATEVALUE($B596&amp;"-01"),0)))-1)/4*100,"")</f>
        <v/>
      </c>
      <c r="W596" t="str">
        <f ca="1">IFERROR(((AVERAGEIFS(Feedback_360!$D$2:$D$1000,Feedback_360!$A$2:$A$1000,$A596,Feedback_360!$B$2:$B$1000,"&gt;="&amp;DATEVALUE($B596&amp;"-01"),Feedback_360!$B$2:$B$1000,"&lt;="&amp;EOMONTH(DATEVALUE($B596&amp;"-01"),0)))-1)/4*100,"")</f>
        <v/>
      </c>
      <c r="X596" t="str">
        <f ca="1">IFERROR(((AVERAGEIFS(Observacion_Directa!$D$2:$D$1000,Observacion_Directa!$A$2:$A$1000,$A596,Observacion_Directa!$B$2:$B$1000,"&gt;="&amp;DATEVALUE($B596&amp;"-01"),Observacion_Directa!$B$2:$B$1000,"&lt;="&amp;EOMONTH(DATEVALUE($B596&amp;"-01"),0)))-1)/4*100,"")</f>
        <v/>
      </c>
      <c r="Y596" t="e">
        <f t="shared" ca="1" si="19"/>
        <v>#DIV/0!</v>
      </c>
    </row>
    <row r="597" spans="12:25" x14ac:dyDescent="0.2">
      <c r="L597" t="str">
        <f t="shared" si="18"/>
        <v/>
      </c>
      <c r="M597" t="str">
        <f>IFERROR(AVERAGEIFS(Prod_5dias!$H$2:$H$1000,Prod_5dias!$A$2:$A$1000,$A597,Prod_5dias!$B$2:$B$1000,$B597),"")</f>
        <v/>
      </c>
      <c r="N597" t="str">
        <f>IF(M597="","",MIN(100,100*M597/Parametros!$B$7))</f>
        <v/>
      </c>
      <c r="O597" t="str">
        <f>IF(F597="","",IF(F597=0,100,MIN(100,100*Parametros!$B$3/F597)))</f>
        <v/>
      </c>
      <c r="P597" t="str">
        <f ca="1">IFERROR(((AVERAGEIFS(Observacion_Directa!$E$2:$E$1000,Observacion_Directa!$A$2:$A$1000,$A597,Observacion_Directa!$B$2:$B$1000,"&gt;="&amp;DATEVALUE($B597&amp;"-01"),Observacion_Directa!$B$2:$B$1000,"&lt;="&amp;EOMONTH(DATEVALUE($B597&amp;"-01"),0)))-1)/4*100,"")</f>
        <v/>
      </c>
      <c r="Q597" t="str">
        <f>IF(H597="","",MIN(100,100*H597/Parametros!$B$4))</f>
        <v/>
      </c>
      <c r="R597" t="str">
        <f>IF(I597="","",IF(I597=0,100,MIN(100,100*Parametros!$B$5/I597)))</f>
        <v/>
      </c>
      <c r="S597" t="str">
        <f>IF(J597="","",IF(J597=0,100,MIN(100,100*Parametros!$B$6/J597)))</f>
        <v/>
      </c>
      <c r="T597" t="str">
        <f>IF(L597="","",MIN(100,100*L597/Parametros!$B$7))</f>
        <v/>
      </c>
      <c r="U597" t="str">
        <f>IF(K597="","",MIN(100,100*K597/Parametros!$B$8))</f>
        <v/>
      </c>
      <c r="V597" t="str">
        <f ca="1">IFERROR(((AVERAGEIFS(Documentacion!$C$2:$C$1000,Documentacion!$A$2:$A$1000,$A597,Documentacion!$B$2:$B$1000,"&gt;="&amp;DATEVALUE($B597&amp;"-01"),Documentacion!$B$2:$B$1000,"&lt;="&amp;EOMONTH(DATEVALUE($B597&amp;"-01"),0)))-1)/4*100,"")</f>
        <v/>
      </c>
      <c r="W597" t="str">
        <f ca="1">IFERROR(((AVERAGEIFS(Feedback_360!$D$2:$D$1000,Feedback_360!$A$2:$A$1000,$A597,Feedback_360!$B$2:$B$1000,"&gt;="&amp;DATEVALUE($B597&amp;"-01"),Feedback_360!$B$2:$B$1000,"&lt;="&amp;EOMONTH(DATEVALUE($B597&amp;"-01"),0)))-1)/4*100,"")</f>
        <v/>
      </c>
      <c r="X597" t="str">
        <f ca="1">IFERROR(((AVERAGEIFS(Observacion_Directa!$D$2:$D$1000,Observacion_Directa!$A$2:$A$1000,$A597,Observacion_Directa!$B$2:$B$1000,"&gt;="&amp;DATEVALUE($B597&amp;"-01"),Observacion_Directa!$B$2:$B$1000,"&lt;="&amp;EOMONTH(DATEVALUE($B597&amp;"-01"),0)))-1)/4*100,"")</f>
        <v/>
      </c>
      <c r="Y597" t="e">
        <f t="shared" ca="1" si="19"/>
        <v>#DIV/0!</v>
      </c>
    </row>
    <row r="598" spans="12:25" x14ac:dyDescent="0.2">
      <c r="L598" t="str">
        <f t="shared" si="18"/>
        <v/>
      </c>
      <c r="M598" t="str">
        <f>IFERROR(AVERAGEIFS(Prod_5dias!$H$2:$H$1000,Prod_5dias!$A$2:$A$1000,$A598,Prod_5dias!$B$2:$B$1000,$B598),"")</f>
        <v/>
      </c>
      <c r="N598" t="str">
        <f>IF(M598="","",MIN(100,100*M598/Parametros!$B$7))</f>
        <v/>
      </c>
      <c r="O598" t="str">
        <f>IF(F598="","",IF(F598=0,100,MIN(100,100*Parametros!$B$3/F598)))</f>
        <v/>
      </c>
      <c r="P598" t="str">
        <f ca="1">IFERROR(((AVERAGEIFS(Observacion_Directa!$E$2:$E$1000,Observacion_Directa!$A$2:$A$1000,$A598,Observacion_Directa!$B$2:$B$1000,"&gt;="&amp;DATEVALUE($B598&amp;"-01"),Observacion_Directa!$B$2:$B$1000,"&lt;="&amp;EOMONTH(DATEVALUE($B598&amp;"-01"),0)))-1)/4*100,"")</f>
        <v/>
      </c>
      <c r="Q598" t="str">
        <f>IF(H598="","",MIN(100,100*H598/Parametros!$B$4))</f>
        <v/>
      </c>
      <c r="R598" t="str">
        <f>IF(I598="","",IF(I598=0,100,MIN(100,100*Parametros!$B$5/I598)))</f>
        <v/>
      </c>
      <c r="S598" t="str">
        <f>IF(J598="","",IF(J598=0,100,MIN(100,100*Parametros!$B$6/J598)))</f>
        <v/>
      </c>
      <c r="T598" t="str">
        <f>IF(L598="","",MIN(100,100*L598/Parametros!$B$7))</f>
        <v/>
      </c>
      <c r="U598" t="str">
        <f>IF(K598="","",MIN(100,100*K598/Parametros!$B$8))</f>
        <v/>
      </c>
      <c r="V598" t="str">
        <f ca="1">IFERROR(((AVERAGEIFS(Documentacion!$C$2:$C$1000,Documentacion!$A$2:$A$1000,$A598,Documentacion!$B$2:$B$1000,"&gt;="&amp;DATEVALUE($B598&amp;"-01"),Documentacion!$B$2:$B$1000,"&lt;="&amp;EOMONTH(DATEVALUE($B598&amp;"-01"),0)))-1)/4*100,"")</f>
        <v/>
      </c>
      <c r="W598" t="str">
        <f ca="1">IFERROR(((AVERAGEIFS(Feedback_360!$D$2:$D$1000,Feedback_360!$A$2:$A$1000,$A598,Feedback_360!$B$2:$B$1000,"&gt;="&amp;DATEVALUE($B598&amp;"-01"),Feedback_360!$B$2:$B$1000,"&lt;="&amp;EOMONTH(DATEVALUE($B598&amp;"-01"),0)))-1)/4*100,"")</f>
        <v/>
      </c>
      <c r="X598" t="str">
        <f ca="1">IFERROR(((AVERAGEIFS(Observacion_Directa!$D$2:$D$1000,Observacion_Directa!$A$2:$A$1000,$A598,Observacion_Directa!$B$2:$B$1000,"&gt;="&amp;DATEVALUE($B598&amp;"-01"),Observacion_Directa!$B$2:$B$1000,"&lt;="&amp;EOMONTH(DATEVALUE($B598&amp;"-01"),0)))-1)/4*100,"")</f>
        <v/>
      </c>
      <c r="Y598" t="e">
        <f t="shared" ca="1" si="19"/>
        <v>#DIV/0!</v>
      </c>
    </row>
    <row r="599" spans="12:25" x14ac:dyDescent="0.2">
      <c r="L599" t="str">
        <f t="shared" si="18"/>
        <v/>
      </c>
      <c r="M599" t="str">
        <f>IFERROR(AVERAGEIFS(Prod_5dias!$H$2:$H$1000,Prod_5dias!$A$2:$A$1000,$A599,Prod_5dias!$B$2:$B$1000,$B599),"")</f>
        <v/>
      </c>
      <c r="N599" t="str">
        <f>IF(M599="","",MIN(100,100*M599/Parametros!$B$7))</f>
        <v/>
      </c>
      <c r="O599" t="str">
        <f>IF(F599="","",IF(F599=0,100,MIN(100,100*Parametros!$B$3/F599)))</f>
        <v/>
      </c>
      <c r="P599" t="str">
        <f ca="1">IFERROR(((AVERAGEIFS(Observacion_Directa!$E$2:$E$1000,Observacion_Directa!$A$2:$A$1000,$A599,Observacion_Directa!$B$2:$B$1000,"&gt;="&amp;DATEVALUE($B599&amp;"-01"),Observacion_Directa!$B$2:$B$1000,"&lt;="&amp;EOMONTH(DATEVALUE($B599&amp;"-01"),0)))-1)/4*100,"")</f>
        <v/>
      </c>
      <c r="Q599" t="str">
        <f>IF(H599="","",MIN(100,100*H599/Parametros!$B$4))</f>
        <v/>
      </c>
      <c r="R599" t="str">
        <f>IF(I599="","",IF(I599=0,100,MIN(100,100*Parametros!$B$5/I599)))</f>
        <v/>
      </c>
      <c r="S599" t="str">
        <f>IF(J599="","",IF(J599=0,100,MIN(100,100*Parametros!$B$6/J599)))</f>
        <v/>
      </c>
      <c r="T599" t="str">
        <f>IF(L599="","",MIN(100,100*L599/Parametros!$B$7))</f>
        <v/>
      </c>
      <c r="U599" t="str">
        <f>IF(K599="","",MIN(100,100*K599/Parametros!$B$8))</f>
        <v/>
      </c>
      <c r="V599" t="str">
        <f ca="1">IFERROR(((AVERAGEIFS(Documentacion!$C$2:$C$1000,Documentacion!$A$2:$A$1000,$A599,Documentacion!$B$2:$B$1000,"&gt;="&amp;DATEVALUE($B599&amp;"-01"),Documentacion!$B$2:$B$1000,"&lt;="&amp;EOMONTH(DATEVALUE($B599&amp;"-01"),0)))-1)/4*100,"")</f>
        <v/>
      </c>
      <c r="W599" t="str">
        <f ca="1">IFERROR(((AVERAGEIFS(Feedback_360!$D$2:$D$1000,Feedback_360!$A$2:$A$1000,$A599,Feedback_360!$B$2:$B$1000,"&gt;="&amp;DATEVALUE($B599&amp;"-01"),Feedback_360!$B$2:$B$1000,"&lt;="&amp;EOMONTH(DATEVALUE($B599&amp;"-01"),0)))-1)/4*100,"")</f>
        <v/>
      </c>
      <c r="X599" t="str">
        <f ca="1">IFERROR(((AVERAGEIFS(Observacion_Directa!$D$2:$D$1000,Observacion_Directa!$A$2:$A$1000,$A599,Observacion_Directa!$B$2:$B$1000,"&gt;="&amp;DATEVALUE($B599&amp;"-01"),Observacion_Directa!$B$2:$B$1000,"&lt;="&amp;EOMONTH(DATEVALUE($B599&amp;"-01"),0)))-1)/4*100,"")</f>
        <v/>
      </c>
      <c r="Y599" t="e">
        <f t="shared" ca="1" si="19"/>
        <v>#DIV/0!</v>
      </c>
    </row>
    <row r="600" spans="12:25" x14ac:dyDescent="0.2">
      <c r="L600" t="str">
        <f t="shared" si="18"/>
        <v/>
      </c>
      <c r="M600" t="str">
        <f>IFERROR(AVERAGEIFS(Prod_5dias!$H$2:$H$1000,Prod_5dias!$A$2:$A$1000,$A600,Prod_5dias!$B$2:$B$1000,$B600),"")</f>
        <v/>
      </c>
      <c r="N600" t="str">
        <f>IF(M600="","",MIN(100,100*M600/Parametros!$B$7))</f>
        <v/>
      </c>
      <c r="O600" t="str">
        <f>IF(F600="","",IF(F600=0,100,MIN(100,100*Parametros!$B$3/F600)))</f>
        <v/>
      </c>
      <c r="P600" t="str">
        <f ca="1">IFERROR(((AVERAGEIFS(Observacion_Directa!$E$2:$E$1000,Observacion_Directa!$A$2:$A$1000,$A600,Observacion_Directa!$B$2:$B$1000,"&gt;="&amp;DATEVALUE($B600&amp;"-01"),Observacion_Directa!$B$2:$B$1000,"&lt;="&amp;EOMONTH(DATEVALUE($B600&amp;"-01"),0)))-1)/4*100,"")</f>
        <v/>
      </c>
      <c r="Q600" t="str">
        <f>IF(H600="","",MIN(100,100*H600/Parametros!$B$4))</f>
        <v/>
      </c>
      <c r="R600" t="str">
        <f>IF(I600="","",IF(I600=0,100,MIN(100,100*Parametros!$B$5/I600)))</f>
        <v/>
      </c>
      <c r="S600" t="str">
        <f>IF(J600="","",IF(J600=0,100,MIN(100,100*Parametros!$B$6/J600)))</f>
        <v/>
      </c>
      <c r="T600" t="str">
        <f>IF(L600="","",MIN(100,100*L600/Parametros!$B$7))</f>
        <v/>
      </c>
      <c r="U600" t="str">
        <f>IF(K600="","",MIN(100,100*K600/Parametros!$B$8))</f>
        <v/>
      </c>
      <c r="V600" t="str">
        <f ca="1">IFERROR(((AVERAGEIFS(Documentacion!$C$2:$C$1000,Documentacion!$A$2:$A$1000,$A600,Documentacion!$B$2:$B$1000,"&gt;="&amp;DATEVALUE($B600&amp;"-01"),Documentacion!$B$2:$B$1000,"&lt;="&amp;EOMONTH(DATEVALUE($B600&amp;"-01"),0)))-1)/4*100,"")</f>
        <v/>
      </c>
      <c r="W600" t="str">
        <f ca="1">IFERROR(((AVERAGEIFS(Feedback_360!$D$2:$D$1000,Feedback_360!$A$2:$A$1000,$A600,Feedback_360!$B$2:$B$1000,"&gt;="&amp;DATEVALUE($B600&amp;"-01"),Feedback_360!$B$2:$B$1000,"&lt;="&amp;EOMONTH(DATEVALUE($B600&amp;"-01"),0)))-1)/4*100,"")</f>
        <v/>
      </c>
      <c r="X600" t="str">
        <f ca="1">IFERROR(((AVERAGEIFS(Observacion_Directa!$D$2:$D$1000,Observacion_Directa!$A$2:$A$1000,$A600,Observacion_Directa!$B$2:$B$1000,"&gt;="&amp;DATEVALUE($B600&amp;"-01"),Observacion_Directa!$B$2:$B$1000,"&lt;="&amp;EOMONTH(DATEVALUE($B600&amp;"-01"),0)))-1)/4*100,"")</f>
        <v/>
      </c>
      <c r="Y600" t="e">
        <f t="shared" ca="1" si="19"/>
        <v>#DIV/0!</v>
      </c>
    </row>
    <row r="601" spans="12:25" x14ac:dyDescent="0.2">
      <c r="L601" t="str">
        <f t="shared" si="18"/>
        <v/>
      </c>
      <c r="M601" t="str">
        <f>IFERROR(AVERAGEIFS(Prod_5dias!$H$2:$H$1000,Prod_5dias!$A$2:$A$1000,$A601,Prod_5dias!$B$2:$B$1000,$B601),"")</f>
        <v/>
      </c>
      <c r="N601" t="str">
        <f>IF(M601="","",MIN(100,100*M601/Parametros!$B$7))</f>
        <v/>
      </c>
      <c r="O601" t="str">
        <f>IF(F601="","",IF(F601=0,100,MIN(100,100*Parametros!$B$3/F601)))</f>
        <v/>
      </c>
      <c r="P601" t="str">
        <f ca="1">IFERROR(((AVERAGEIFS(Observacion_Directa!$E$2:$E$1000,Observacion_Directa!$A$2:$A$1000,$A601,Observacion_Directa!$B$2:$B$1000,"&gt;="&amp;DATEVALUE($B601&amp;"-01"),Observacion_Directa!$B$2:$B$1000,"&lt;="&amp;EOMONTH(DATEVALUE($B601&amp;"-01"),0)))-1)/4*100,"")</f>
        <v/>
      </c>
      <c r="Q601" t="str">
        <f>IF(H601="","",MIN(100,100*H601/Parametros!$B$4))</f>
        <v/>
      </c>
      <c r="R601" t="str">
        <f>IF(I601="","",IF(I601=0,100,MIN(100,100*Parametros!$B$5/I601)))</f>
        <v/>
      </c>
      <c r="S601" t="str">
        <f>IF(J601="","",IF(J601=0,100,MIN(100,100*Parametros!$B$6/J601)))</f>
        <v/>
      </c>
      <c r="T601" t="str">
        <f>IF(L601="","",MIN(100,100*L601/Parametros!$B$7))</f>
        <v/>
      </c>
      <c r="U601" t="str">
        <f>IF(K601="","",MIN(100,100*K601/Parametros!$B$8))</f>
        <v/>
      </c>
      <c r="V601" t="str">
        <f ca="1">IFERROR(((AVERAGEIFS(Documentacion!$C$2:$C$1000,Documentacion!$A$2:$A$1000,$A601,Documentacion!$B$2:$B$1000,"&gt;="&amp;DATEVALUE($B601&amp;"-01"),Documentacion!$B$2:$B$1000,"&lt;="&amp;EOMONTH(DATEVALUE($B601&amp;"-01"),0)))-1)/4*100,"")</f>
        <v/>
      </c>
      <c r="W601" t="str">
        <f ca="1">IFERROR(((AVERAGEIFS(Feedback_360!$D$2:$D$1000,Feedback_360!$A$2:$A$1000,$A601,Feedback_360!$B$2:$B$1000,"&gt;="&amp;DATEVALUE($B601&amp;"-01"),Feedback_360!$B$2:$B$1000,"&lt;="&amp;EOMONTH(DATEVALUE($B601&amp;"-01"),0)))-1)/4*100,"")</f>
        <v/>
      </c>
      <c r="X601" t="str">
        <f ca="1">IFERROR(((AVERAGEIFS(Observacion_Directa!$D$2:$D$1000,Observacion_Directa!$A$2:$A$1000,$A601,Observacion_Directa!$B$2:$B$1000,"&gt;="&amp;DATEVALUE($B601&amp;"-01"),Observacion_Directa!$B$2:$B$1000,"&lt;="&amp;EOMONTH(DATEVALUE($B601&amp;"-01"),0)))-1)/4*100,"")</f>
        <v/>
      </c>
      <c r="Y601" t="e">
        <f t="shared" ca="1" si="19"/>
        <v>#DIV/0!</v>
      </c>
    </row>
    <row r="602" spans="12:25" x14ac:dyDescent="0.2">
      <c r="L602" t="str">
        <f t="shared" si="18"/>
        <v/>
      </c>
      <c r="M602" t="str">
        <f>IFERROR(AVERAGEIFS(Prod_5dias!$H$2:$H$1000,Prod_5dias!$A$2:$A$1000,$A602,Prod_5dias!$B$2:$B$1000,$B602),"")</f>
        <v/>
      </c>
      <c r="N602" t="str">
        <f>IF(M602="","",MIN(100,100*M602/Parametros!$B$7))</f>
        <v/>
      </c>
      <c r="O602" t="str">
        <f>IF(F602="","",IF(F602=0,100,MIN(100,100*Parametros!$B$3/F602)))</f>
        <v/>
      </c>
      <c r="P602" t="str">
        <f ca="1">IFERROR(((AVERAGEIFS(Observacion_Directa!$E$2:$E$1000,Observacion_Directa!$A$2:$A$1000,$A602,Observacion_Directa!$B$2:$B$1000,"&gt;="&amp;DATEVALUE($B602&amp;"-01"),Observacion_Directa!$B$2:$B$1000,"&lt;="&amp;EOMONTH(DATEVALUE($B602&amp;"-01"),0)))-1)/4*100,"")</f>
        <v/>
      </c>
      <c r="Q602" t="str">
        <f>IF(H602="","",MIN(100,100*H602/Parametros!$B$4))</f>
        <v/>
      </c>
      <c r="R602" t="str">
        <f>IF(I602="","",IF(I602=0,100,MIN(100,100*Parametros!$B$5/I602)))</f>
        <v/>
      </c>
      <c r="S602" t="str">
        <f>IF(J602="","",IF(J602=0,100,MIN(100,100*Parametros!$B$6/J602)))</f>
        <v/>
      </c>
      <c r="T602" t="str">
        <f>IF(L602="","",MIN(100,100*L602/Parametros!$B$7))</f>
        <v/>
      </c>
      <c r="U602" t="str">
        <f>IF(K602="","",MIN(100,100*K602/Parametros!$B$8))</f>
        <v/>
      </c>
      <c r="V602" t="str">
        <f ca="1">IFERROR(((AVERAGEIFS(Documentacion!$C$2:$C$1000,Documentacion!$A$2:$A$1000,$A602,Documentacion!$B$2:$B$1000,"&gt;="&amp;DATEVALUE($B602&amp;"-01"),Documentacion!$B$2:$B$1000,"&lt;="&amp;EOMONTH(DATEVALUE($B602&amp;"-01"),0)))-1)/4*100,"")</f>
        <v/>
      </c>
      <c r="W602" t="str">
        <f ca="1">IFERROR(((AVERAGEIFS(Feedback_360!$D$2:$D$1000,Feedback_360!$A$2:$A$1000,$A602,Feedback_360!$B$2:$B$1000,"&gt;="&amp;DATEVALUE($B602&amp;"-01"),Feedback_360!$B$2:$B$1000,"&lt;="&amp;EOMONTH(DATEVALUE($B602&amp;"-01"),0)))-1)/4*100,"")</f>
        <v/>
      </c>
      <c r="X602" t="str">
        <f ca="1">IFERROR(((AVERAGEIFS(Observacion_Directa!$D$2:$D$1000,Observacion_Directa!$A$2:$A$1000,$A602,Observacion_Directa!$B$2:$B$1000,"&gt;="&amp;DATEVALUE($B602&amp;"-01"),Observacion_Directa!$B$2:$B$1000,"&lt;="&amp;EOMONTH(DATEVALUE($B602&amp;"-01"),0)))-1)/4*100,"")</f>
        <v/>
      </c>
      <c r="Y602" t="e">
        <f t="shared" ca="1" si="19"/>
        <v>#DIV/0!</v>
      </c>
    </row>
    <row r="603" spans="12:25" x14ac:dyDescent="0.2">
      <c r="L603" t="str">
        <f t="shared" si="18"/>
        <v/>
      </c>
      <c r="M603" t="str">
        <f>IFERROR(AVERAGEIFS(Prod_5dias!$H$2:$H$1000,Prod_5dias!$A$2:$A$1000,$A603,Prod_5dias!$B$2:$B$1000,$B603),"")</f>
        <v/>
      </c>
      <c r="N603" t="str">
        <f>IF(M603="","",MIN(100,100*M603/Parametros!$B$7))</f>
        <v/>
      </c>
      <c r="O603" t="str">
        <f>IF(F603="","",IF(F603=0,100,MIN(100,100*Parametros!$B$3/F603)))</f>
        <v/>
      </c>
      <c r="P603" t="str">
        <f ca="1">IFERROR(((AVERAGEIFS(Observacion_Directa!$E$2:$E$1000,Observacion_Directa!$A$2:$A$1000,$A603,Observacion_Directa!$B$2:$B$1000,"&gt;="&amp;DATEVALUE($B603&amp;"-01"),Observacion_Directa!$B$2:$B$1000,"&lt;="&amp;EOMONTH(DATEVALUE($B603&amp;"-01"),0)))-1)/4*100,"")</f>
        <v/>
      </c>
      <c r="Q603" t="str">
        <f>IF(H603="","",MIN(100,100*H603/Parametros!$B$4))</f>
        <v/>
      </c>
      <c r="R603" t="str">
        <f>IF(I603="","",IF(I603=0,100,MIN(100,100*Parametros!$B$5/I603)))</f>
        <v/>
      </c>
      <c r="S603" t="str">
        <f>IF(J603="","",IF(J603=0,100,MIN(100,100*Parametros!$B$6/J603)))</f>
        <v/>
      </c>
      <c r="T603" t="str">
        <f>IF(L603="","",MIN(100,100*L603/Parametros!$B$7))</f>
        <v/>
      </c>
      <c r="U603" t="str">
        <f>IF(K603="","",MIN(100,100*K603/Parametros!$B$8))</f>
        <v/>
      </c>
      <c r="V603" t="str">
        <f ca="1">IFERROR(((AVERAGEIFS(Documentacion!$C$2:$C$1000,Documentacion!$A$2:$A$1000,$A603,Documentacion!$B$2:$B$1000,"&gt;="&amp;DATEVALUE($B603&amp;"-01"),Documentacion!$B$2:$B$1000,"&lt;="&amp;EOMONTH(DATEVALUE($B603&amp;"-01"),0)))-1)/4*100,"")</f>
        <v/>
      </c>
      <c r="W603" t="str">
        <f ca="1">IFERROR(((AVERAGEIFS(Feedback_360!$D$2:$D$1000,Feedback_360!$A$2:$A$1000,$A603,Feedback_360!$B$2:$B$1000,"&gt;="&amp;DATEVALUE($B603&amp;"-01"),Feedback_360!$B$2:$B$1000,"&lt;="&amp;EOMONTH(DATEVALUE($B603&amp;"-01"),0)))-1)/4*100,"")</f>
        <v/>
      </c>
      <c r="X603" t="str">
        <f ca="1">IFERROR(((AVERAGEIFS(Observacion_Directa!$D$2:$D$1000,Observacion_Directa!$A$2:$A$1000,$A603,Observacion_Directa!$B$2:$B$1000,"&gt;="&amp;DATEVALUE($B603&amp;"-01"),Observacion_Directa!$B$2:$B$1000,"&lt;="&amp;EOMONTH(DATEVALUE($B603&amp;"-01"),0)))-1)/4*100,"")</f>
        <v/>
      </c>
      <c r="Y603" t="e">
        <f t="shared" ca="1" si="19"/>
        <v>#DIV/0!</v>
      </c>
    </row>
    <row r="604" spans="12:25" x14ac:dyDescent="0.2">
      <c r="L604" t="str">
        <f t="shared" si="18"/>
        <v/>
      </c>
      <c r="M604" t="str">
        <f>IFERROR(AVERAGEIFS(Prod_5dias!$H$2:$H$1000,Prod_5dias!$A$2:$A$1000,$A604,Prod_5dias!$B$2:$B$1000,$B604),"")</f>
        <v/>
      </c>
      <c r="N604" t="str">
        <f>IF(M604="","",MIN(100,100*M604/Parametros!$B$7))</f>
        <v/>
      </c>
      <c r="O604" t="str">
        <f>IF(F604="","",IF(F604=0,100,MIN(100,100*Parametros!$B$3/F604)))</f>
        <v/>
      </c>
      <c r="P604" t="str">
        <f ca="1">IFERROR(((AVERAGEIFS(Observacion_Directa!$E$2:$E$1000,Observacion_Directa!$A$2:$A$1000,$A604,Observacion_Directa!$B$2:$B$1000,"&gt;="&amp;DATEVALUE($B604&amp;"-01"),Observacion_Directa!$B$2:$B$1000,"&lt;="&amp;EOMONTH(DATEVALUE($B604&amp;"-01"),0)))-1)/4*100,"")</f>
        <v/>
      </c>
      <c r="Q604" t="str">
        <f>IF(H604="","",MIN(100,100*H604/Parametros!$B$4))</f>
        <v/>
      </c>
      <c r="R604" t="str">
        <f>IF(I604="","",IF(I604=0,100,MIN(100,100*Parametros!$B$5/I604)))</f>
        <v/>
      </c>
      <c r="S604" t="str">
        <f>IF(J604="","",IF(J604=0,100,MIN(100,100*Parametros!$B$6/J604)))</f>
        <v/>
      </c>
      <c r="T604" t="str">
        <f>IF(L604="","",MIN(100,100*L604/Parametros!$B$7))</f>
        <v/>
      </c>
      <c r="U604" t="str">
        <f>IF(K604="","",MIN(100,100*K604/Parametros!$B$8))</f>
        <v/>
      </c>
      <c r="V604" t="str">
        <f ca="1">IFERROR(((AVERAGEIFS(Documentacion!$C$2:$C$1000,Documentacion!$A$2:$A$1000,$A604,Documentacion!$B$2:$B$1000,"&gt;="&amp;DATEVALUE($B604&amp;"-01"),Documentacion!$B$2:$B$1000,"&lt;="&amp;EOMONTH(DATEVALUE($B604&amp;"-01"),0)))-1)/4*100,"")</f>
        <v/>
      </c>
      <c r="W604" t="str">
        <f ca="1">IFERROR(((AVERAGEIFS(Feedback_360!$D$2:$D$1000,Feedback_360!$A$2:$A$1000,$A604,Feedback_360!$B$2:$B$1000,"&gt;="&amp;DATEVALUE($B604&amp;"-01"),Feedback_360!$B$2:$B$1000,"&lt;="&amp;EOMONTH(DATEVALUE($B604&amp;"-01"),0)))-1)/4*100,"")</f>
        <v/>
      </c>
      <c r="X604" t="str">
        <f ca="1">IFERROR(((AVERAGEIFS(Observacion_Directa!$D$2:$D$1000,Observacion_Directa!$A$2:$A$1000,$A604,Observacion_Directa!$B$2:$B$1000,"&gt;="&amp;DATEVALUE($B604&amp;"-01"),Observacion_Directa!$B$2:$B$1000,"&lt;="&amp;EOMONTH(DATEVALUE($B604&amp;"-01"),0)))-1)/4*100,"")</f>
        <v/>
      </c>
      <c r="Y604" t="e">
        <f t="shared" ca="1" si="19"/>
        <v>#DIV/0!</v>
      </c>
    </row>
    <row r="605" spans="12:25" x14ac:dyDescent="0.2">
      <c r="L605" t="str">
        <f t="shared" si="18"/>
        <v/>
      </c>
      <c r="M605" t="str">
        <f>IFERROR(AVERAGEIFS(Prod_5dias!$H$2:$H$1000,Prod_5dias!$A$2:$A$1000,$A605,Prod_5dias!$B$2:$B$1000,$B605),"")</f>
        <v/>
      </c>
      <c r="N605" t="str">
        <f>IF(M605="","",MIN(100,100*M605/Parametros!$B$7))</f>
        <v/>
      </c>
      <c r="O605" t="str">
        <f>IF(F605="","",IF(F605=0,100,MIN(100,100*Parametros!$B$3/F605)))</f>
        <v/>
      </c>
      <c r="P605" t="str">
        <f ca="1">IFERROR(((AVERAGEIFS(Observacion_Directa!$E$2:$E$1000,Observacion_Directa!$A$2:$A$1000,$A605,Observacion_Directa!$B$2:$B$1000,"&gt;="&amp;DATEVALUE($B605&amp;"-01"),Observacion_Directa!$B$2:$B$1000,"&lt;="&amp;EOMONTH(DATEVALUE($B605&amp;"-01"),0)))-1)/4*100,"")</f>
        <v/>
      </c>
      <c r="Q605" t="str">
        <f>IF(H605="","",MIN(100,100*H605/Parametros!$B$4))</f>
        <v/>
      </c>
      <c r="R605" t="str">
        <f>IF(I605="","",IF(I605=0,100,MIN(100,100*Parametros!$B$5/I605)))</f>
        <v/>
      </c>
      <c r="S605" t="str">
        <f>IF(J605="","",IF(J605=0,100,MIN(100,100*Parametros!$B$6/J605)))</f>
        <v/>
      </c>
      <c r="T605" t="str">
        <f>IF(L605="","",MIN(100,100*L605/Parametros!$B$7))</f>
        <v/>
      </c>
      <c r="U605" t="str">
        <f>IF(K605="","",MIN(100,100*K605/Parametros!$B$8))</f>
        <v/>
      </c>
      <c r="V605" t="str">
        <f ca="1">IFERROR(((AVERAGEIFS(Documentacion!$C$2:$C$1000,Documentacion!$A$2:$A$1000,$A605,Documentacion!$B$2:$B$1000,"&gt;="&amp;DATEVALUE($B605&amp;"-01"),Documentacion!$B$2:$B$1000,"&lt;="&amp;EOMONTH(DATEVALUE($B605&amp;"-01"),0)))-1)/4*100,"")</f>
        <v/>
      </c>
      <c r="W605" t="str">
        <f ca="1">IFERROR(((AVERAGEIFS(Feedback_360!$D$2:$D$1000,Feedback_360!$A$2:$A$1000,$A605,Feedback_360!$B$2:$B$1000,"&gt;="&amp;DATEVALUE($B605&amp;"-01"),Feedback_360!$B$2:$B$1000,"&lt;="&amp;EOMONTH(DATEVALUE($B605&amp;"-01"),0)))-1)/4*100,"")</f>
        <v/>
      </c>
      <c r="X605" t="str">
        <f ca="1">IFERROR(((AVERAGEIFS(Observacion_Directa!$D$2:$D$1000,Observacion_Directa!$A$2:$A$1000,$A605,Observacion_Directa!$B$2:$B$1000,"&gt;="&amp;DATEVALUE($B605&amp;"-01"),Observacion_Directa!$B$2:$B$1000,"&lt;="&amp;EOMONTH(DATEVALUE($B605&amp;"-01"),0)))-1)/4*100,"")</f>
        <v/>
      </c>
      <c r="Y605" t="e">
        <f t="shared" ca="1" si="19"/>
        <v>#DIV/0!</v>
      </c>
    </row>
    <row r="606" spans="12:25" x14ac:dyDescent="0.2">
      <c r="L606" t="str">
        <f t="shared" si="18"/>
        <v/>
      </c>
      <c r="M606" t="str">
        <f>IFERROR(AVERAGEIFS(Prod_5dias!$H$2:$H$1000,Prod_5dias!$A$2:$A$1000,$A606,Prod_5dias!$B$2:$B$1000,$B606),"")</f>
        <v/>
      </c>
      <c r="N606" t="str">
        <f>IF(M606="","",MIN(100,100*M606/Parametros!$B$7))</f>
        <v/>
      </c>
      <c r="O606" t="str">
        <f>IF(F606="","",IF(F606=0,100,MIN(100,100*Parametros!$B$3/F606)))</f>
        <v/>
      </c>
      <c r="P606" t="str">
        <f ca="1">IFERROR(((AVERAGEIFS(Observacion_Directa!$E$2:$E$1000,Observacion_Directa!$A$2:$A$1000,$A606,Observacion_Directa!$B$2:$B$1000,"&gt;="&amp;DATEVALUE($B606&amp;"-01"),Observacion_Directa!$B$2:$B$1000,"&lt;="&amp;EOMONTH(DATEVALUE($B606&amp;"-01"),0)))-1)/4*100,"")</f>
        <v/>
      </c>
      <c r="Q606" t="str">
        <f>IF(H606="","",MIN(100,100*H606/Parametros!$B$4))</f>
        <v/>
      </c>
      <c r="R606" t="str">
        <f>IF(I606="","",IF(I606=0,100,MIN(100,100*Parametros!$B$5/I606)))</f>
        <v/>
      </c>
      <c r="S606" t="str">
        <f>IF(J606="","",IF(J606=0,100,MIN(100,100*Parametros!$B$6/J606)))</f>
        <v/>
      </c>
      <c r="T606" t="str">
        <f>IF(L606="","",MIN(100,100*L606/Parametros!$B$7))</f>
        <v/>
      </c>
      <c r="U606" t="str">
        <f>IF(K606="","",MIN(100,100*K606/Parametros!$B$8))</f>
        <v/>
      </c>
      <c r="V606" t="str">
        <f ca="1">IFERROR(((AVERAGEIFS(Documentacion!$C$2:$C$1000,Documentacion!$A$2:$A$1000,$A606,Documentacion!$B$2:$B$1000,"&gt;="&amp;DATEVALUE($B606&amp;"-01"),Documentacion!$B$2:$B$1000,"&lt;="&amp;EOMONTH(DATEVALUE($B606&amp;"-01"),0)))-1)/4*100,"")</f>
        <v/>
      </c>
      <c r="W606" t="str">
        <f ca="1">IFERROR(((AVERAGEIFS(Feedback_360!$D$2:$D$1000,Feedback_360!$A$2:$A$1000,$A606,Feedback_360!$B$2:$B$1000,"&gt;="&amp;DATEVALUE($B606&amp;"-01"),Feedback_360!$B$2:$B$1000,"&lt;="&amp;EOMONTH(DATEVALUE($B606&amp;"-01"),0)))-1)/4*100,"")</f>
        <v/>
      </c>
      <c r="X606" t="str">
        <f ca="1">IFERROR(((AVERAGEIFS(Observacion_Directa!$D$2:$D$1000,Observacion_Directa!$A$2:$A$1000,$A606,Observacion_Directa!$B$2:$B$1000,"&gt;="&amp;DATEVALUE($B606&amp;"-01"),Observacion_Directa!$B$2:$B$1000,"&lt;="&amp;EOMONTH(DATEVALUE($B606&amp;"-01"),0)))-1)/4*100,"")</f>
        <v/>
      </c>
      <c r="Y606" t="e">
        <f t="shared" ca="1" si="19"/>
        <v>#DIV/0!</v>
      </c>
    </row>
    <row r="607" spans="12:25" x14ac:dyDescent="0.2">
      <c r="L607" t="str">
        <f t="shared" si="18"/>
        <v/>
      </c>
      <c r="M607" t="str">
        <f>IFERROR(AVERAGEIFS(Prod_5dias!$H$2:$H$1000,Prod_5dias!$A$2:$A$1000,$A607,Prod_5dias!$B$2:$B$1000,$B607),"")</f>
        <v/>
      </c>
      <c r="N607" t="str">
        <f>IF(M607="","",MIN(100,100*M607/Parametros!$B$7))</f>
        <v/>
      </c>
      <c r="O607" t="str">
        <f>IF(F607="","",IF(F607=0,100,MIN(100,100*Parametros!$B$3/F607)))</f>
        <v/>
      </c>
      <c r="P607" t="str">
        <f ca="1">IFERROR(((AVERAGEIFS(Observacion_Directa!$E$2:$E$1000,Observacion_Directa!$A$2:$A$1000,$A607,Observacion_Directa!$B$2:$B$1000,"&gt;="&amp;DATEVALUE($B607&amp;"-01"),Observacion_Directa!$B$2:$B$1000,"&lt;="&amp;EOMONTH(DATEVALUE($B607&amp;"-01"),0)))-1)/4*100,"")</f>
        <v/>
      </c>
      <c r="Q607" t="str">
        <f>IF(H607="","",MIN(100,100*H607/Parametros!$B$4))</f>
        <v/>
      </c>
      <c r="R607" t="str">
        <f>IF(I607="","",IF(I607=0,100,MIN(100,100*Parametros!$B$5/I607)))</f>
        <v/>
      </c>
      <c r="S607" t="str">
        <f>IF(J607="","",IF(J607=0,100,MIN(100,100*Parametros!$B$6/J607)))</f>
        <v/>
      </c>
      <c r="T607" t="str">
        <f>IF(L607="","",MIN(100,100*L607/Parametros!$B$7))</f>
        <v/>
      </c>
      <c r="U607" t="str">
        <f>IF(K607="","",MIN(100,100*K607/Parametros!$B$8))</f>
        <v/>
      </c>
      <c r="V607" t="str">
        <f ca="1">IFERROR(((AVERAGEIFS(Documentacion!$C$2:$C$1000,Documentacion!$A$2:$A$1000,$A607,Documentacion!$B$2:$B$1000,"&gt;="&amp;DATEVALUE($B607&amp;"-01"),Documentacion!$B$2:$B$1000,"&lt;="&amp;EOMONTH(DATEVALUE($B607&amp;"-01"),0)))-1)/4*100,"")</f>
        <v/>
      </c>
      <c r="W607" t="str">
        <f ca="1">IFERROR(((AVERAGEIFS(Feedback_360!$D$2:$D$1000,Feedback_360!$A$2:$A$1000,$A607,Feedback_360!$B$2:$B$1000,"&gt;="&amp;DATEVALUE($B607&amp;"-01"),Feedback_360!$B$2:$B$1000,"&lt;="&amp;EOMONTH(DATEVALUE($B607&amp;"-01"),0)))-1)/4*100,"")</f>
        <v/>
      </c>
      <c r="X607" t="str">
        <f ca="1">IFERROR(((AVERAGEIFS(Observacion_Directa!$D$2:$D$1000,Observacion_Directa!$A$2:$A$1000,$A607,Observacion_Directa!$B$2:$B$1000,"&gt;="&amp;DATEVALUE($B607&amp;"-01"),Observacion_Directa!$B$2:$B$1000,"&lt;="&amp;EOMONTH(DATEVALUE($B607&amp;"-01"),0)))-1)/4*100,"")</f>
        <v/>
      </c>
      <c r="Y607" t="e">
        <f t="shared" ca="1" si="19"/>
        <v>#DIV/0!</v>
      </c>
    </row>
    <row r="608" spans="12:25" x14ac:dyDescent="0.2">
      <c r="L608" t="str">
        <f t="shared" si="18"/>
        <v/>
      </c>
      <c r="M608" t="str">
        <f>IFERROR(AVERAGEIFS(Prod_5dias!$H$2:$H$1000,Prod_5dias!$A$2:$A$1000,$A608,Prod_5dias!$B$2:$B$1000,$B608),"")</f>
        <v/>
      </c>
      <c r="N608" t="str">
        <f>IF(M608="","",MIN(100,100*M608/Parametros!$B$7))</f>
        <v/>
      </c>
      <c r="O608" t="str">
        <f>IF(F608="","",IF(F608=0,100,MIN(100,100*Parametros!$B$3/F608)))</f>
        <v/>
      </c>
      <c r="P608" t="str">
        <f ca="1">IFERROR(((AVERAGEIFS(Observacion_Directa!$E$2:$E$1000,Observacion_Directa!$A$2:$A$1000,$A608,Observacion_Directa!$B$2:$B$1000,"&gt;="&amp;DATEVALUE($B608&amp;"-01"),Observacion_Directa!$B$2:$B$1000,"&lt;="&amp;EOMONTH(DATEVALUE($B608&amp;"-01"),0)))-1)/4*100,"")</f>
        <v/>
      </c>
      <c r="Q608" t="str">
        <f>IF(H608="","",MIN(100,100*H608/Parametros!$B$4))</f>
        <v/>
      </c>
      <c r="R608" t="str">
        <f>IF(I608="","",IF(I608=0,100,MIN(100,100*Parametros!$B$5/I608)))</f>
        <v/>
      </c>
      <c r="S608" t="str">
        <f>IF(J608="","",IF(J608=0,100,MIN(100,100*Parametros!$B$6/J608)))</f>
        <v/>
      </c>
      <c r="T608" t="str">
        <f>IF(L608="","",MIN(100,100*L608/Parametros!$B$7))</f>
        <v/>
      </c>
      <c r="U608" t="str">
        <f>IF(K608="","",MIN(100,100*K608/Parametros!$B$8))</f>
        <v/>
      </c>
      <c r="V608" t="str">
        <f ca="1">IFERROR(((AVERAGEIFS(Documentacion!$C$2:$C$1000,Documentacion!$A$2:$A$1000,$A608,Documentacion!$B$2:$B$1000,"&gt;="&amp;DATEVALUE($B608&amp;"-01"),Documentacion!$B$2:$B$1000,"&lt;="&amp;EOMONTH(DATEVALUE($B608&amp;"-01"),0)))-1)/4*100,"")</f>
        <v/>
      </c>
      <c r="W608" t="str">
        <f ca="1">IFERROR(((AVERAGEIFS(Feedback_360!$D$2:$D$1000,Feedback_360!$A$2:$A$1000,$A608,Feedback_360!$B$2:$B$1000,"&gt;="&amp;DATEVALUE($B608&amp;"-01"),Feedback_360!$B$2:$B$1000,"&lt;="&amp;EOMONTH(DATEVALUE($B608&amp;"-01"),0)))-1)/4*100,"")</f>
        <v/>
      </c>
      <c r="X608" t="str">
        <f ca="1">IFERROR(((AVERAGEIFS(Observacion_Directa!$D$2:$D$1000,Observacion_Directa!$A$2:$A$1000,$A608,Observacion_Directa!$B$2:$B$1000,"&gt;="&amp;DATEVALUE($B608&amp;"-01"),Observacion_Directa!$B$2:$B$1000,"&lt;="&amp;EOMONTH(DATEVALUE($B608&amp;"-01"),0)))-1)/4*100,"")</f>
        <v/>
      </c>
      <c r="Y608" t="e">
        <f t="shared" ca="1" si="19"/>
        <v>#DIV/0!</v>
      </c>
    </row>
    <row r="609" spans="12:25" x14ac:dyDescent="0.2">
      <c r="L609" t="str">
        <f t="shared" si="18"/>
        <v/>
      </c>
      <c r="M609" t="str">
        <f>IFERROR(AVERAGEIFS(Prod_5dias!$H$2:$H$1000,Prod_5dias!$A$2:$A$1000,$A609,Prod_5dias!$B$2:$B$1000,$B609),"")</f>
        <v/>
      </c>
      <c r="N609" t="str">
        <f>IF(M609="","",MIN(100,100*M609/Parametros!$B$7))</f>
        <v/>
      </c>
      <c r="O609" t="str">
        <f>IF(F609="","",IF(F609=0,100,MIN(100,100*Parametros!$B$3/F609)))</f>
        <v/>
      </c>
      <c r="P609" t="str">
        <f ca="1">IFERROR(((AVERAGEIFS(Observacion_Directa!$E$2:$E$1000,Observacion_Directa!$A$2:$A$1000,$A609,Observacion_Directa!$B$2:$B$1000,"&gt;="&amp;DATEVALUE($B609&amp;"-01"),Observacion_Directa!$B$2:$B$1000,"&lt;="&amp;EOMONTH(DATEVALUE($B609&amp;"-01"),0)))-1)/4*100,"")</f>
        <v/>
      </c>
      <c r="Q609" t="str">
        <f>IF(H609="","",MIN(100,100*H609/Parametros!$B$4))</f>
        <v/>
      </c>
      <c r="R609" t="str">
        <f>IF(I609="","",IF(I609=0,100,MIN(100,100*Parametros!$B$5/I609)))</f>
        <v/>
      </c>
      <c r="S609" t="str">
        <f>IF(J609="","",IF(J609=0,100,MIN(100,100*Parametros!$B$6/J609)))</f>
        <v/>
      </c>
      <c r="T609" t="str">
        <f>IF(L609="","",MIN(100,100*L609/Parametros!$B$7))</f>
        <v/>
      </c>
      <c r="U609" t="str">
        <f>IF(K609="","",MIN(100,100*K609/Parametros!$B$8))</f>
        <v/>
      </c>
      <c r="V609" t="str">
        <f ca="1">IFERROR(((AVERAGEIFS(Documentacion!$C$2:$C$1000,Documentacion!$A$2:$A$1000,$A609,Documentacion!$B$2:$B$1000,"&gt;="&amp;DATEVALUE($B609&amp;"-01"),Documentacion!$B$2:$B$1000,"&lt;="&amp;EOMONTH(DATEVALUE($B609&amp;"-01"),0)))-1)/4*100,"")</f>
        <v/>
      </c>
      <c r="W609" t="str">
        <f ca="1">IFERROR(((AVERAGEIFS(Feedback_360!$D$2:$D$1000,Feedback_360!$A$2:$A$1000,$A609,Feedback_360!$B$2:$B$1000,"&gt;="&amp;DATEVALUE($B609&amp;"-01"),Feedback_360!$B$2:$B$1000,"&lt;="&amp;EOMONTH(DATEVALUE($B609&amp;"-01"),0)))-1)/4*100,"")</f>
        <v/>
      </c>
      <c r="X609" t="str">
        <f ca="1">IFERROR(((AVERAGEIFS(Observacion_Directa!$D$2:$D$1000,Observacion_Directa!$A$2:$A$1000,$A609,Observacion_Directa!$B$2:$B$1000,"&gt;="&amp;DATEVALUE($B609&amp;"-01"),Observacion_Directa!$B$2:$B$1000,"&lt;="&amp;EOMONTH(DATEVALUE($B609&amp;"-01"),0)))-1)/4*100,"")</f>
        <v/>
      </c>
      <c r="Y609" t="e">
        <f t="shared" ca="1" si="19"/>
        <v>#DIV/0!</v>
      </c>
    </row>
    <row r="610" spans="12:25" x14ac:dyDescent="0.2">
      <c r="L610" t="str">
        <f t="shared" si="18"/>
        <v/>
      </c>
      <c r="M610" t="str">
        <f>IFERROR(AVERAGEIFS(Prod_5dias!$H$2:$H$1000,Prod_5dias!$A$2:$A$1000,$A610,Prod_5dias!$B$2:$B$1000,$B610),"")</f>
        <v/>
      </c>
      <c r="N610" t="str">
        <f>IF(M610="","",MIN(100,100*M610/Parametros!$B$7))</f>
        <v/>
      </c>
      <c r="O610" t="str">
        <f>IF(F610="","",IF(F610=0,100,MIN(100,100*Parametros!$B$3/F610)))</f>
        <v/>
      </c>
      <c r="P610" t="str">
        <f ca="1">IFERROR(((AVERAGEIFS(Observacion_Directa!$E$2:$E$1000,Observacion_Directa!$A$2:$A$1000,$A610,Observacion_Directa!$B$2:$B$1000,"&gt;="&amp;DATEVALUE($B610&amp;"-01"),Observacion_Directa!$B$2:$B$1000,"&lt;="&amp;EOMONTH(DATEVALUE($B610&amp;"-01"),0)))-1)/4*100,"")</f>
        <v/>
      </c>
      <c r="Q610" t="str">
        <f>IF(H610="","",MIN(100,100*H610/Parametros!$B$4))</f>
        <v/>
      </c>
      <c r="R610" t="str">
        <f>IF(I610="","",IF(I610=0,100,MIN(100,100*Parametros!$B$5/I610)))</f>
        <v/>
      </c>
      <c r="S610" t="str">
        <f>IF(J610="","",IF(J610=0,100,MIN(100,100*Parametros!$B$6/J610)))</f>
        <v/>
      </c>
      <c r="T610" t="str">
        <f>IF(L610="","",MIN(100,100*L610/Parametros!$B$7))</f>
        <v/>
      </c>
      <c r="U610" t="str">
        <f>IF(K610="","",MIN(100,100*K610/Parametros!$B$8))</f>
        <v/>
      </c>
      <c r="V610" t="str">
        <f ca="1">IFERROR(((AVERAGEIFS(Documentacion!$C$2:$C$1000,Documentacion!$A$2:$A$1000,$A610,Documentacion!$B$2:$B$1000,"&gt;="&amp;DATEVALUE($B610&amp;"-01"),Documentacion!$B$2:$B$1000,"&lt;="&amp;EOMONTH(DATEVALUE($B610&amp;"-01"),0)))-1)/4*100,"")</f>
        <v/>
      </c>
      <c r="W610" t="str">
        <f ca="1">IFERROR(((AVERAGEIFS(Feedback_360!$D$2:$D$1000,Feedback_360!$A$2:$A$1000,$A610,Feedback_360!$B$2:$B$1000,"&gt;="&amp;DATEVALUE($B610&amp;"-01"),Feedback_360!$B$2:$B$1000,"&lt;="&amp;EOMONTH(DATEVALUE($B610&amp;"-01"),0)))-1)/4*100,"")</f>
        <v/>
      </c>
      <c r="X610" t="str">
        <f ca="1">IFERROR(((AVERAGEIFS(Observacion_Directa!$D$2:$D$1000,Observacion_Directa!$A$2:$A$1000,$A610,Observacion_Directa!$B$2:$B$1000,"&gt;="&amp;DATEVALUE($B610&amp;"-01"),Observacion_Directa!$B$2:$B$1000,"&lt;="&amp;EOMONTH(DATEVALUE($B610&amp;"-01"),0)))-1)/4*100,"")</f>
        <v/>
      </c>
      <c r="Y610" t="e">
        <f t="shared" ca="1" si="19"/>
        <v>#DIV/0!</v>
      </c>
    </row>
    <row r="611" spans="12:25" x14ac:dyDescent="0.2">
      <c r="L611" t="str">
        <f t="shared" si="18"/>
        <v/>
      </c>
      <c r="M611" t="str">
        <f>IFERROR(AVERAGEIFS(Prod_5dias!$H$2:$H$1000,Prod_5dias!$A$2:$A$1000,$A611,Prod_5dias!$B$2:$B$1000,$B611),"")</f>
        <v/>
      </c>
      <c r="N611" t="str">
        <f>IF(M611="","",MIN(100,100*M611/Parametros!$B$7))</f>
        <v/>
      </c>
      <c r="O611" t="str">
        <f>IF(F611="","",IF(F611=0,100,MIN(100,100*Parametros!$B$3/F611)))</f>
        <v/>
      </c>
      <c r="P611" t="str">
        <f ca="1">IFERROR(((AVERAGEIFS(Observacion_Directa!$E$2:$E$1000,Observacion_Directa!$A$2:$A$1000,$A611,Observacion_Directa!$B$2:$B$1000,"&gt;="&amp;DATEVALUE($B611&amp;"-01"),Observacion_Directa!$B$2:$B$1000,"&lt;="&amp;EOMONTH(DATEVALUE($B611&amp;"-01"),0)))-1)/4*100,"")</f>
        <v/>
      </c>
      <c r="Q611" t="str">
        <f>IF(H611="","",MIN(100,100*H611/Parametros!$B$4))</f>
        <v/>
      </c>
      <c r="R611" t="str">
        <f>IF(I611="","",IF(I611=0,100,MIN(100,100*Parametros!$B$5/I611)))</f>
        <v/>
      </c>
      <c r="S611" t="str">
        <f>IF(J611="","",IF(J611=0,100,MIN(100,100*Parametros!$B$6/J611)))</f>
        <v/>
      </c>
      <c r="T611" t="str">
        <f>IF(L611="","",MIN(100,100*L611/Parametros!$B$7))</f>
        <v/>
      </c>
      <c r="U611" t="str">
        <f>IF(K611="","",MIN(100,100*K611/Parametros!$B$8))</f>
        <v/>
      </c>
      <c r="V611" t="str">
        <f ca="1">IFERROR(((AVERAGEIFS(Documentacion!$C$2:$C$1000,Documentacion!$A$2:$A$1000,$A611,Documentacion!$B$2:$B$1000,"&gt;="&amp;DATEVALUE($B611&amp;"-01"),Documentacion!$B$2:$B$1000,"&lt;="&amp;EOMONTH(DATEVALUE($B611&amp;"-01"),0)))-1)/4*100,"")</f>
        <v/>
      </c>
      <c r="W611" t="str">
        <f ca="1">IFERROR(((AVERAGEIFS(Feedback_360!$D$2:$D$1000,Feedback_360!$A$2:$A$1000,$A611,Feedback_360!$B$2:$B$1000,"&gt;="&amp;DATEVALUE($B611&amp;"-01"),Feedback_360!$B$2:$B$1000,"&lt;="&amp;EOMONTH(DATEVALUE($B611&amp;"-01"),0)))-1)/4*100,"")</f>
        <v/>
      </c>
      <c r="X611" t="str">
        <f ca="1">IFERROR(((AVERAGEIFS(Observacion_Directa!$D$2:$D$1000,Observacion_Directa!$A$2:$A$1000,$A611,Observacion_Directa!$B$2:$B$1000,"&gt;="&amp;DATEVALUE($B611&amp;"-01"),Observacion_Directa!$B$2:$B$1000,"&lt;="&amp;EOMONTH(DATEVALUE($B611&amp;"-01"),0)))-1)/4*100,"")</f>
        <v/>
      </c>
      <c r="Y611" t="e">
        <f t="shared" ca="1" si="19"/>
        <v>#DIV/0!</v>
      </c>
    </row>
    <row r="612" spans="12:25" x14ac:dyDescent="0.2">
      <c r="L612" t="str">
        <f t="shared" si="18"/>
        <v/>
      </c>
      <c r="M612" t="str">
        <f>IFERROR(AVERAGEIFS(Prod_5dias!$H$2:$H$1000,Prod_5dias!$A$2:$A$1000,$A612,Prod_5dias!$B$2:$B$1000,$B612),"")</f>
        <v/>
      </c>
      <c r="N612" t="str">
        <f>IF(M612="","",MIN(100,100*M612/Parametros!$B$7))</f>
        <v/>
      </c>
      <c r="O612" t="str">
        <f>IF(F612="","",IF(F612=0,100,MIN(100,100*Parametros!$B$3/F612)))</f>
        <v/>
      </c>
      <c r="P612" t="str">
        <f ca="1">IFERROR(((AVERAGEIFS(Observacion_Directa!$E$2:$E$1000,Observacion_Directa!$A$2:$A$1000,$A612,Observacion_Directa!$B$2:$B$1000,"&gt;="&amp;DATEVALUE($B612&amp;"-01"),Observacion_Directa!$B$2:$B$1000,"&lt;="&amp;EOMONTH(DATEVALUE($B612&amp;"-01"),0)))-1)/4*100,"")</f>
        <v/>
      </c>
      <c r="Q612" t="str">
        <f>IF(H612="","",MIN(100,100*H612/Parametros!$B$4))</f>
        <v/>
      </c>
      <c r="R612" t="str">
        <f>IF(I612="","",IF(I612=0,100,MIN(100,100*Parametros!$B$5/I612)))</f>
        <v/>
      </c>
      <c r="S612" t="str">
        <f>IF(J612="","",IF(J612=0,100,MIN(100,100*Parametros!$B$6/J612)))</f>
        <v/>
      </c>
      <c r="T612" t="str">
        <f>IF(L612="","",MIN(100,100*L612/Parametros!$B$7))</f>
        <v/>
      </c>
      <c r="U612" t="str">
        <f>IF(K612="","",MIN(100,100*K612/Parametros!$B$8))</f>
        <v/>
      </c>
      <c r="V612" t="str">
        <f ca="1">IFERROR(((AVERAGEIFS(Documentacion!$C$2:$C$1000,Documentacion!$A$2:$A$1000,$A612,Documentacion!$B$2:$B$1000,"&gt;="&amp;DATEVALUE($B612&amp;"-01"),Documentacion!$B$2:$B$1000,"&lt;="&amp;EOMONTH(DATEVALUE($B612&amp;"-01"),0)))-1)/4*100,"")</f>
        <v/>
      </c>
      <c r="W612" t="str">
        <f ca="1">IFERROR(((AVERAGEIFS(Feedback_360!$D$2:$D$1000,Feedback_360!$A$2:$A$1000,$A612,Feedback_360!$B$2:$B$1000,"&gt;="&amp;DATEVALUE($B612&amp;"-01"),Feedback_360!$B$2:$B$1000,"&lt;="&amp;EOMONTH(DATEVALUE($B612&amp;"-01"),0)))-1)/4*100,"")</f>
        <v/>
      </c>
      <c r="X612" t="str">
        <f ca="1">IFERROR(((AVERAGEIFS(Observacion_Directa!$D$2:$D$1000,Observacion_Directa!$A$2:$A$1000,$A612,Observacion_Directa!$B$2:$B$1000,"&gt;="&amp;DATEVALUE($B612&amp;"-01"),Observacion_Directa!$B$2:$B$1000,"&lt;="&amp;EOMONTH(DATEVALUE($B612&amp;"-01"),0)))-1)/4*100,"")</f>
        <v/>
      </c>
      <c r="Y612" t="e">
        <f t="shared" ca="1" si="19"/>
        <v>#DIV/0!</v>
      </c>
    </row>
    <row r="613" spans="12:25" x14ac:dyDescent="0.2">
      <c r="L613" t="str">
        <f t="shared" si="18"/>
        <v/>
      </c>
      <c r="M613" t="str">
        <f>IFERROR(AVERAGEIFS(Prod_5dias!$H$2:$H$1000,Prod_5dias!$A$2:$A$1000,$A613,Prod_5dias!$B$2:$B$1000,$B613),"")</f>
        <v/>
      </c>
      <c r="N613" t="str">
        <f>IF(M613="","",MIN(100,100*M613/Parametros!$B$7))</f>
        <v/>
      </c>
      <c r="O613" t="str">
        <f>IF(F613="","",IF(F613=0,100,MIN(100,100*Parametros!$B$3/F613)))</f>
        <v/>
      </c>
      <c r="P613" t="str">
        <f ca="1">IFERROR(((AVERAGEIFS(Observacion_Directa!$E$2:$E$1000,Observacion_Directa!$A$2:$A$1000,$A613,Observacion_Directa!$B$2:$B$1000,"&gt;="&amp;DATEVALUE($B613&amp;"-01"),Observacion_Directa!$B$2:$B$1000,"&lt;="&amp;EOMONTH(DATEVALUE($B613&amp;"-01"),0)))-1)/4*100,"")</f>
        <v/>
      </c>
      <c r="Q613" t="str">
        <f>IF(H613="","",MIN(100,100*H613/Parametros!$B$4))</f>
        <v/>
      </c>
      <c r="R613" t="str">
        <f>IF(I613="","",IF(I613=0,100,MIN(100,100*Parametros!$B$5/I613)))</f>
        <v/>
      </c>
      <c r="S613" t="str">
        <f>IF(J613="","",IF(J613=0,100,MIN(100,100*Parametros!$B$6/J613)))</f>
        <v/>
      </c>
      <c r="T613" t="str">
        <f>IF(L613="","",MIN(100,100*L613/Parametros!$B$7))</f>
        <v/>
      </c>
      <c r="U613" t="str">
        <f>IF(K613="","",MIN(100,100*K613/Parametros!$B$8))</f>
        <v/>
      </c>
      <c r="V613" t="str">
        <f ca="1">IFERROR(((AVERAGEIFS(Documentacion!$C$2:$C$1000,Documentacion!$A$2:$A$1000,$A613,Documentacion!$B$2:$B$1000,"&gt;="&amp;DATEVALUE($B613&amp;"-01"),Documentacion!$B$2:$B$1000,"&lt;="&amp;EOMONTH(DATEVALUE($B613&amp;"-01"),0)))-1)/4*100,"")</f>
        <v/>
      </c>
      <c r="W613" t="str">
        <f ca="1">IFERROR(((AVERAGEIFS(Feedback_360!$D$2:$D$1000,Feedback_360!$A$2:$A$1000,$A613,Feedback_360!$B$2:$B$1000,"&gt;="&amp;DATEVALUE($B613&amp;"-01"),Feedback_360!$B$2:$B$1000,"&lt;="&amp;EOMONTH(DATEVALUE($B613&amp;"-01"),0)))-1)/4*100,"")</f>
        <v/>
      </c>
      <c r="X613" t="str">
        <f ca="1">IFERROR(((AVERAGEIFS(Observacion_Directa!$D$2:$D$1000,Observacion_Directa!$A$2:$A$1000,$A613,Observacion_Directa!$B$2:$B$1000,"&gt;="&amp;DATEVALUE($B613&amp;"-01"),Observacion_Directa!$B$2:$B$1000,"&lt;="&amp;EOMONTH(DATEVALUE($B613&amp;"-01"),0)))-1)/4*100,"")</f>
        <v/>
      </c>
      <c r="Y613" t="e">
        <f t="shared" ca="1" si="19"/>
        <v>#DIV/0!</v>
      </c>
    </row>
    <row r="614" spans="12:25" x14ac:dyDescent="0.2">
      <c r="L614" t="str">
        <f t="shared" si="18"/>
        <v/>
      </c>
      <c r="M614" t="str">
        <f>IFERROR(AVERAGEIFS(Prod_5dias!$H$2:$H$1000,Prod_5dias!$A$2:$A$1000,$A614,Prod_5dias!$B$2:$B$1000,$B614),"")</f>
        <v/>
      </c>
      <c r="N614" t="str">
        <f>IF(M614="","",MIN(100,100*M614/Parametros!$B$7))</f>
        <v/>
      </c>
      <c r="O614" t="str">
        <f>IF(F614="","",IF(F614=0,100,MIN(100,100*Parametros!$B$3/F614)))</f>
        <v/>
      </c>
      <c r="P614" t="str">
        <f ca="1">IFERROR(((AVERAGEIFS(Observacion_Directa!$E$2:$E$1000,Observacion_Directa!$A$2:$A$1000,$A614,Observacion_Directa!$B$2:$B$1000,"&gt;="&amp;DATEVALUE($B614&amp;"-01"),Observacion_Directa!$B$2:$B$1000,"&lt;="&amp;EOMONTH(DATEVALUE($B614&amp;"-01"),0)))-1)/4*100,"")</f>
        <v/>
      </c>
      <c r="Q614" t="str">
        <f>IF(H614="","",MIN(100,100*H614/Parametros!$B$4))</f>
        <v/>
      </c>
      <c r="R614" t="str">
        <f>IF(I614="","",IF(I614=0,100,MIN(100,100*Parametros!$B$5/I614)))</f>
        <v/>
      </c>
      <c r="S614" t="str">
        <f>IF(J614="","",IF(J614=0,100,MIN(100,100*Parametros!$B$6/J614)))</f>
        <v/>
      </c>
      <c r="T614" t="str">
        <f>IF(L614="","",MIN(100,100*L614/Parametros!$B$7))</f>
        <v/>
      </c>
      <c r="U614" t="str">
        <f>IF(K614="","",MIN(100,100*K614/Parametros!$B$8))</f>
        <v/>
      </c>
      <c r="V614" t="str">
        <f ca="1">IFERROR(((AVERAGEIFS(Documentacion!$C$2:$C$1000,Documentacion!$A$2:$A$1000,$A614,Documentacion!$B$2:$B$1000,"&gt;="&amp;DATEVALUE($B614&amp;"-01"),Documentacion!$B$2:$B$1000,"&lt;="&amp;EOMONTH(DATEVALUE($B614&amp;"-01"),0)))-1)/4*100,"")</f>
        <v/>
      </c>
      <c r="W614" t="str">
        <f ca="1">IFERROR(((AVERAGEIFS(Feedback_360!$D$2:$D$1000,Feedback_360!$A$2:$A$1000,$A614,Feedback_360!$B$2:$B$1000,"&gt;="&amp;DATEVALUE($B614&amp;"-01"),Feedback_360!$B$2:$B$1000,"&lt;="&amp;EOMONTH(DATEVALUE($B614&amp;"-01"),0)))-1)/4*100,"")</f>
        <v/>
      </c>
      <c r="X614" t="str">
        <f ca="1">IFERROR(((AVERAGEIFS(Observacion_Directa!$D$2:$D$1000,Observacion_Directa!$A$2:$A$1000,$A614,Observacion_Directa!$B$2:$B$1000,"&gt;="&amp;DATEVALUE($B614&amp;"-01"),Observacion_Directa!$B$2:$B$1000,"&lt;="&amp;EOMONTH(DATEVALUE($B614&amp;"-01"),0)))-1)/4*100,"")</f>
        <v/>
      </c>
      <c r="Y614" t="e">
        <f t="shared" ca="1" si="19"/>
        <v>#DIV/0!</v>
      </c>
    </row>
    <row r="615" spans="12:25" x14ac:dyDescent="0.2">
      <c r="L615" t="str">
        <f t="shared" si="18"/>
        <v/>
      </c>
      <c r="M615" t="str">
        <f>IFERROR(AVERAGEIFS(Prod_5dias!$H$2:$H$1000,Prod_5dias!$A$2:$A$1000,$A615,Prod_5dias!$B$2:$B$1000,$B615),"")</f>
        <v/>
      </c>
      <c r="N615" t="str">
        <f>IF(M615="","",MIN(100,100*M615/Parametros!$B$7))</f>
        <v/>
      </c>
      <c r="O615" t="str">
        <f>IF(F615="","",IF(F615=0,100,MIN(100,100*Parametros!$B$3/F615)))</f>
        <v/>
      </c>
      <c r="P615" t="str">
        <f ca="1">IFERROR(((AVERAGEIFS(Observacion_Directa!$E$2:$E$1000,Observacion_Directa!$A$2:$A$1000,$A615,Observacion_Directa!$B$2:$B$1000,"&gt;="&amp;DATEVALUE($B615&amp;"-01"),Observacion_Directa!$B$2:$B$1000,"&lt;="&amp;EOMONTH(DATEVALUE($B615&amp;"-01"),0)))-1)/4*100,"")</f>
        <v/>
      </c>
      <c r="Q615" t="str">
        <f>IF(H615="","",MIN(100,100*H615/Parametros!$B$4))</f>
        <v/>
      </c>
      <c r="R615" t="str">
        <f>IF(I615="","",IF(I615=0,100,MIN(100,100*Parametros!$B$5/I615)))</f>
        <v/>
      </c>
      <c r="S615" t="str">
        <f>IF(J615="","",IF(J615=0,100,MIN(100,100*Parametros!$B$6/J615)))</f>
        <v/>
      </c>
      <c r="T615" t="str">
        <f>IF(L615="","",MIN(100,100*L615/Parametros!$B$7))</f>
        <v/>
      </c>
      <c r="U615" t="str">
        <f>IF(K615="","",MIN(100,100*K615/Parametros!$B$8))</f>
        <v/>
      </c>
      <c r="V615" t="str">
        <f ca="1">IFERROR(((AVERAGEIFS(Documentacion!$C$2:$C$1000,Documentacion!$A$2:$A$1000,$A615,Documentacion!$B$2:$B$1000,"&gt;="&amp;DATEVALUE($B615&amp;"-01"),Documentacion!$B$2:$B$1000,"&lt;="&amp;EOMONTH(DATEVALUE($B615&amp;"-01"),0)))-1)/4*100,"")</f>
        <v/>
      </c>
      <c r="W615" t="str">
        <f ca="1">IFERROR(((AVERAGEIFS(Feedback_360!$D$2:$D$1000,Feedback_360!$A$2:$A$1000,$A615,Feedback_360!$B$2:$B$1000,"&gt;="&amp;DATEVALUE($B615&amp;"-01"),Feedback_360!$B$2:$B$1000,"&lt;="&amp;EOMONTH(DATEVALUE($B615&amp;"-01"),0)))-1)/4*100,"")</f>
        <v/>
      </c>
      <c r="X615" t="str">
        <f ca="1">IFERROR(((AVERAGEIFS(Observacion_Directa!$D$2:$D$1000,Observacion_Directa!$A$2:$A$1000,$A615,Observacion_Directa!$B$2:$B$1000,"&gt;="&amp;DATEVALUE($B615&amp;"-01"),Observacion_Directa!$B$2:$B$1000,"&lt;="&amp;EOMONTH(DATEVALUE($B615&amp;"-01"),0)))-1)/4*100,"")</f>
        <v/>
      </c>
      <c r="Y615" t="e">
        <f t="shared" ca="1" si="19"/>
        <v>#DIV/0!</v>
      </c>
    </row>
    <row r="616" spans="12:25" x14ac:dyDescent="0.2">
      <c r="L616" t="str">
        <f t="shared" si="18"/>
        <v/>
      </c>
      <c r="M616" t="str">
        <f>IFERROR(AVERAGEIFS(Prod_5dias!$H$2:$H$1000,Prod_5dias!$A$2:$A$1000,$A616,Prod_5dias!$B$2:$B$1000,$B616),"")</f>
        <v/>
      </c>
      <c r="N616" t="str">
        <f>IF(M616="","",MIN(100,100*M616/Parametros!$B$7))</f>
        <v/>
      </c>
      <c r="O616" t="str">
        <f>IF(F616="","",IF(F616=0,100,MIN(100,100*Parametros!$B$3/F616)))</f>
        <v/>
      </c>
      <c r="P616" t="str">
        <f ca="1">IFERROR(((AVERAGEIFS(Observacion_Directa!$E$2:$E$1000,Observacion_Directa!$A$2:$A$1000,$A616,Observacion_Directa!$B$2:$B$1000,"&gt;="&amp;DATEVALUE($B616&amp;"-01"),Observacion_Directa!$B$2:$B$1000,"&lt;="&amp;EOMONTH(DATEVALUE($B616&amp;"-01"),0)))-1)/4*100,"")</f>
        <v/>
      </c>
      <c r="Q616" t="str">
        <f>IF(H616="","",MIN(100,100*H616/Parametros!$B$4))</f>
        <v/>
      </c>
      <c r="R616" t="str">
        <f>IF(I616="","",IF(I616=0,100,MIN(100,100*Parametros!$B$5/I616)))</f>
        <v/>
      </c>
      <c r="S616" t="str">
        <f>IF(J616="","",IF(J616=0,100,MIN(100,100*Parametros!$B$6/J616)))</f>
        <v/>
      </c>
      <c r="T616" t="str">
        <f>IF(L616="","",MIN(100,100*L616/Parametros!$B$7))</f>
        <v/>
      </c>
      <c r="U616" t="str">
        <f>IF(K616="","",MIN(100,100*K616/Parametros!$B$8))</f>
        <v/>
      </c>
      <c r="V616" t="str">
        <f ca="1">IFERROR(((AVERAGEIFS(Documentacion!$C$2:$C$1000,Documentacion!$A$2:$A$1000,$A616,Documentacion!$B$2:$B$1000,"&gt;="&amp;DATEVALUE($B616&amp;"-01"),Documentacion!$B$2:$B$1000,"&lt;="&amp;EOMONTH(DATEVALUE($B616&amp;"-01"),0)))-1)/4*100,"")</f>
        <v/>
      </c>
      <c r="W616" t="str">
        <f ca="1">IFERROR(((AVERAGEIFS(Feedback_360!$D$2:$D$1000,Feedback_360!$A$2:$A$1000,$A616,Feedback_360!$B$2:$B$1000,"&gt;="&amp;DATEVALUE($B616&amp;"-01"),Feedback_360!$B$2:$B$1000,"&lt;="&amp;EOMONTH(DATEVALUE($B616&amp;"-01"),0)))-1)/4*100,"")</f>
        <v/>
      </c>
      <c r="X616" t="str">
        <f ca="1">IFERROR(((AVERAGEIFS(Observacion_Directa!$D$2:$D$1000,Observacion_Directa!$A$2:$A$1000,$A616,Observacion_Directa!$B$2:$B$1000,"&gt;="&amp;DATEVALUE($B616&amp;"-01"),Observacion_Directa!$B$2:$B$1000,"&lt;="&amp;EOMONTH(DATEVALUE($B616&amp;"-01"),0)))-1)/4*100,"")</f>
        <v/>
      </c>
      <c r="Y616" t="e">
        <f t="shared" ca="1" si="19"/>
        <v>#DIV/0!</v>
      </c>
    </row>
    <row r="617" spans="12:25" x14ac:dyDescent="0.2">
      <c r="L617" t="str">
        <f t="shared" si="18"/>
        <v/>
      </c>
      <c r="M617" t="str">
        <f>IFERROR(AVERAGEIFS(Prod_5dias!$H$2:$H$1000,Prod_5dias!$A$2:$A$1000,$A617,Prod_5dias!$B$2:$B$1000,$B617),"")</f>
        <v/>
      </c>
      <c r="N617" t="str">
        <f>IF(M617="","",MIN(100,100*M617/Parametros!$B$7))</f>
        <v/>
      </c>
      <c r="O617" t="str">
        <f>IF(F617="","",IF(F617=0,100,MIN(100,100*Parametros!$B$3/F617)))</f>
        <v/>
      </c>
      <c r="P617" t="str">
        <f ca="1">IFERROR(((AVERAGEIFS(Observacion_Directa!$E$2:$E$1000,Observacion_Directa!$A$2:$A$1000,$A617,Observacion_Directa!$B$2:$B$1000,"&gt;="&amp;DATEVALUE($B617&amp;"-01"),Observacion_Directa!$B$2:$B$1000,"&lt;="&amp;EOMONTH(DATEVALUE($B617&amp;"-01"),0)))-1)/4*100,"")</f>
        <v/>
      </c>
      <c r="Q617" t="str">
        <f>IF(H617="","",MIN(100,100*H617/Parametros!$B$4))</f>
        <v/>
      </c>
      <c r="R617" t="str">
        <f>IF(I617="","",IF(I617=0,100,MIN(100,100*Parametros!$B$5/I617)))</f>
        <v/>
      </c>
      <c r="S617" t="str">
        <f>IF(J617="","",IF(J617=0,100,MIN(100,100*Parametros!$B$6/J617)))</f>
        <v/>
      </c>
      <c r="T617" t="str">
        <f>IF(L617="","",MIN(100,100*L617/Parametros!$B$7))</f>
        <v/>
      </c>
      <c r="U617" t="str">
        <f>IF(K617="","",MIN(100,100*K617/Parametros!$B$8))</f>
        <v/>
      </c>
      <c r="V617" t="str">
        <f ca="1">IFERROR(((AVERAGEIFS(Documentacion!$C$2:$C$1000,Documentacion!$A$2:$A$1000,$A617,Documentacion!$B$2:$B$1000,"&gt;="&amp;DATEVALUE($B617&amp;"-01"),Documentacion!$B$2:$B$1000,"&lt;="&amp;EOMONTH(DATEVALUE($B617&amp;"-01"),0)))-1)/4*100,"")</f>
        <v/>
      </c>
      <c r="W617" t="str">
        <f ca="1">IFERROR(((AVERAGEIFS(Feedback_360!$D$2:$D$1000,Feedback_360!$A$2:$A$1000,$A617,Feedback_360!$B$2:$B$1000,"&gt;="&amp;DATEVALUE($B617&amp;"-01"),Feedback_360!$B$2:$B$1000,"&lt;="&amp;EOMONTH(DATEVALUE($B617&amp;"-01"),0)))-1)/4*100,"")</f>
        <v/>
      </c>
      <c r="X617" t="str">
        <f ca="1">IFERROR(((AVERAGEIFS(Observacion_Directa!$D$2:$D$1000,Observacion_Directa!$A$2:$A$1000,$A617,Observacion_Directa!$B$2:$B$1000,"&gt;="&amp;DATEVALUE($B617&amp;"-01"),Observacion_Directa!$B$2:$B$1000,"&lt;="&amp;EOMONTH(DATEVALUE($B617&amp;"-01"),0)))-1)/4*100,"")</f>
        <v/>
      </c>
      <c r="Y617" t="e">
        <f t="shared" ca="1" si="19"/>
        <v>#DIV/0!</v>
      </c>
    </row>
    <row r="618" spans="12:25" x14ac:dyDescent="0.2">
      <c r="L618" t="str">
        <f t="shared" si="18"/>
        <v/>
      </c>
      <c r="M618" t="str">
        <f>IFERROR(AVERAGEIFS(Prod_5dias!$H$2:$H$1000,Prod_5dias!$A$2:$A$1000,$A618,Prod_5dias!$B$2:$B$1000,$B618),"")</f>
        <v/>
      </c>
      <c r="N618" t="str">
        <f>IF(M618="","",MIN(100,100*M618/Parametros!$B$7))</f>
        <v/>
      </c>
      <c r="O618" t="str">
        <f>IF(F618="","",IF(F618=0,100,MIN(100,100*Parametros!$B$3/F618)))</f>
        <v/>
      </c>
      <c r="P618" t="str">
        <f ca="1">IFERROR(((AVERAGEIFS(Observacion_Directa!$E$2:$E$1000,Observacion_Directa!$A$2:$A$1000,$A618,Observacion_Directa!$B$2:$B$1000,"&gt;="&amp;DATEVALUE($B618&amp;"-01"),Observacion_Directa!$B$2:$B$1000,"&lt;="&amp;EOMONTH(DATEVALUE($B618&amp;"-01"),0)))-1)/4*100,"")</f>
        <v/>
      </c>
      <c r="Q618" t="str">
        <f>IF(H618="","",MIN(100,100*H618/Parametros!$B$4))</f>
        <v/>
      </c>
      <c r="R618" t="str">
        <f>IF(I618="","",IF(I618=0,100,MIN(100,100*Parametros!$B$5/I618)))</f>
        <v/>
      </c>
      <c r="S618" t="str">
        <f>IF(J618="","",IF(J618=0,100,MIN(100,100*Parametros!$B$6/J618)))</f>
        <v/>
      </c>
      <c r="T618" t="str">
        <f>IF(L618="","",MIN(100,100*L618/Parametros!$B$7))</f>
        <v/>
      </c>
      <c r="U618" t="str">
        <f>IF(K618="","",MIN(100,100*K618/Parametros!$B$8))</f>
        <v/>
      </c>
      <c r="V618" t="str">
        <f ca="1">IFERROR(((AVERAGEIFS(Documentacion!$C$2:$C$1000,Documentacion!$A$2:$A$1000,$A618,Documentacion!$B$2:$B$1000,"&gt;="&amp;DATEVALUE($B618&amp;"-01"),Documentacion!$B$2:$B$1000,"&lt;="&amp;EOMONTH(DATEVALUE($B618&amp;"-01"),0)))-1)/4*100,"")</f>
        <v/>
      </c>
      <c r="W618" t="str">
        <f ca="1">IFERROR(((AVERAGEIFS(Feedback_360!$D$2:$D$1000,Feedback_360!$A$2:$A$1000,$A618,Feedback_360!$B$2:$B$1000,"&gt;="&amp;DATEVALUE($B618&amp;"-01"),Feedback_360!$B$2:$B$1000,"&lt;="&amp;EOMONTH(DATEVALUE($B618&amp;"-01"),0)))-1)/4*100,"")</f>
        <v/>
      </c>
      <c r="X618" t="str">
        <f ca="1">IFERROR(((AVERAGEIFS(Observacion_Directa!$D$2:$D$1000,Observacion_Directa!$A$2:$A$1000,$A618,Observacion_Directa!$B$2:$B$1000,"&gt;="&amp;DATEVALUE($B618&amp;"-01"),Observacion_Directa!$B$2:$B$1000,"&lt;="&amp;EOMONTH(DATEVALUE($B618&amp;"-01"),0)))-1)/4*100,"")</f>
        <v/>
      </c>
      <c r="Y618" t="e">
        <f t="shared" ca="1" si="19"/>
        <v>#DIV/0!</v>
      </c>
    </row>
    <row r="619" spans="12:25" x14ac:dyDescent="0.2">
      <c r="L619" t="str">
        <f t="shared" si="18"/>
        <v/>
      </c>
      <c r="M619" t="str">
        <f>IFERROR(AVERAGEIFS(Prod_5dias!$H$2:$H$1000,Prod_5dias!$A$2:$A$1000,$A619,Prod_5dias!$B$2:$B$1000,$B619),"")</f>
        <v/>
      </c>
      <c r="N619" t="str">
        <f>IF(M619="","",MIN(100,100*M619/Parametros!$B$7))</f>
        <v/>
      </c>
      <c r="O619" t="str">
        <f>IF(F619="","",IF(F619=0,100,MIN(100,100*Parametros!$B$3/F619)))</f>
        <v/>
      </c>
      <c r="P619" t="str">
        <f ca="1">IFERROR(((AVERAGEIFS(Observacion_Directa!$E$2:$E$1000,Observacion_Directa!$A$2:$A$1000,$A619,Observacion_Directa!$B$2:$B$1000,"&gt;="&amp;DATEVALUE($B619&amp;"-01"),Observacion_Directa!$B$2:$B$1000,"&lt;="&amp;EOMONTH(DATEVALUE($B619&amp;"-01"),0)))-1)/4*100,"")</f>
        <v/>
      </c>
      <c r="Q619" t="str">
        <f>IF(H619="","",MIN(100,100*H619/Parametros!$B$4))</f>
        <v/>
      </c>
      <c r="R619" t="str">
        <f>IF(I619="","",IF(I619=0,100,MIN(100,100*Parametros!$B$5/I619)))</f>
        <v/>
      </c>
      <c r="S619" t="str">
        <f>IF(J619="","",IF(J619=0,100,MIN(100,100*Parametros!$B$6/J619)))</f>
        <v/>
      </c>
      <c r="T619" t="str">
        <f>IF(L619="","",MIN(100,100*L619/Parametros!$B$7))</f>
        <v/>
      </c>
      <c r="U619" t="str">
        <f>IF(K619="","",MIN(100,100*K619/Parametros!$B$8))</f>
        <v/>
      </c>
      <c r="V619" t="str">
        <f ca="1">IFERROR(((AVERAGEIFS(Documentacion!$C$2:$C$1000,Documentacion!$A$2:$A$1000,$A619,Documentacion!$B$2:$B$1000,"&gt;="&amp;DATEVALUE($B619&amp;"-01"),Documentacion!$B$2:$B$1000,"&lt;="&amp;EOMONTH(DATEVALUE($B619&amp;"-01"),0)))-1)/4*100,"")</f>
        <v/>
      </c>
      <c r="W619" t="str">
        <f ca="1">IFERROR(((AVERAGEIFS(Feedback_360!$D$2:$D$1000,Feedback_360!$A$2:$A$1000,$A619,Feedback_360!$B$2:$B$1000,"&gt;="&amp;DATEVALUE($B619&amp;"-01"),Feedback_360!$B$2:$B$1000,"&lt;="&amp;EOMONTH(DATEVALUE($B619&amp;"-01"),0)))-1)/4*100,"")</f>
        <v/>
      </c>
      <c r="X619" t="str">
        <f ca="1">IFERROR(((AVERAGEIFS(Observacion_Directa!$D$2:$D$1000,Observacion_Directa!$A$2:$A$1000,$A619,Observacion_Directa!$B$2:$B$1000,"&gt;="&amp;DATEVALUE($B619&amp;"-01"),Observacion_Directa!$B$2:$B$1000,"&lt;="&amp;EOMONTH(DATEVALUE($B619&amp;"-01"),0)))-1)/4*100,"")</f>
        <v/>
      </c>
      <c r="Y619" t="e">
        <f t="shared" ca="1" si="19"/>
        <v>#DIV/0!</v>
      </c>
    </row>
    <row r="620" spans="12:25" x14ac:dyDescent="0.2">
      <c r="L620" t="str">
        <f t="shared" si="18"/>
        <v/>
      </c>
      <c r="M620" t="str">
        <f>IFERROR(AVERAGEIFS(Prod_5dias!$H$2:$H$1000,Prod_5dias!$A$2:$A$1000,$A620,Prod_5dias!$B$2:$B$1000,$B620),"")</f>
        <v/>
      </c>
      <c r="N620" t="str">
        <f>IF(M620="","",MIN(100,100*M620/Parametros!$B$7))</f>
        <v/>
      </c>
      <c r="O620" t="str">
        <f>IF(F620="","",IF(F620=0,100,MIN(100,100*Parametros!$B$3/F620)))</f>
        <v/>
      </c>
      <c r="P620" t="str">
        <f ca="1">IFERROR(((AVERAGEIFS(Observacion_Directa!$E$2:$E$1000,Observacion_Directa!$A$2:$A$1000,$A620,Observacion_Directa!$B$2:$B$1000,"&gt;="&amp;DATEVALUE($B620&amp;"-01"),Observacion_Directa!$B$2:$B$1000,"&lt;="&amp;EOMONTH(DATEVALUE($B620&amp;"-01"),0)))-1)/4*100,"")</f>
        <v/>
      </c>
      <c r="Q620" t="str">
        <f>IF(H620="","",MIN(100,100*H620/Parametros!$B$4))</f>
        <v/>
      </c>
      <c r="R620" t="str">
        <f>IF(I620="","",IF(I620=0,100,MIN(100,100*Parametros!$B$5/I620)))</f>
        <v/>
      </c>
      <c r="S620" t="str">
        <f>IF(J620="","",IF(J620=0,100,MIN(100,100*Parametros!$B$6/J620)))</f>
        <v/>
      </c>
      <c r="T620" t="str">
        <f>IF(L620="","",MIN(100,100*L620/Parametros!$B$7))</f>
        <v/>
      </c>
      <c r="U620" t="str">
        <f>IF(K620="","",MIN(100,100*K620/Parametros!$B$8))</f>
        <v/>
      </c>
      <c r="V620" t="str">
        <f ca="1">IFERROR(((AVERAGEIFS(Documentacion!$C$2:$C$1000,Documentacion!$A$2:$A$1000,$A620,Documentacion!$B$2:$B$1000,"&gt;="&amp;DATEVALUE($B620&amp;"-01"),Documentacion!$B$2:$B$1000,"&lt;="&amp;EOMONTH(DATEVALUE($B620&amp;"-01"),0)))-1)/4*100,"")</f>
        <v/>
      </c>
      <c r="W620" t="str">
        <f ca="1">IFERROR(((AVERAGEIFS(Feedback_360!$D$2:$D$1000,Feedback_360!$A$2:$A$1000,$A620,Feedback_360!$B$2:$B$1000,"&gt;="&amp;DATEVALUE($B620&amp;"-01"),Feedback_360!$B$2:$B$1000,"&lt;="&amp;EOMONTH(DATEVALUE($B620&amp;"-01"),0)))-1)/4*100,"")</f>
        <v/>
      </c>
      <c r="X620" t="str">
        <f ca="1">IFERROR(((AVERAGEIFS(Observacion_Directa!$D$2:$D$1000,Observacion_Directa!$A$2:$A$1000,$A620,Observacion_Directa!$B$2:$B$1000,"&gt;="&amp;DATEVALUE($B620&amp;"-01"),Observacion_Directa!$B$2:$B$1000,"&lt;="&amp;EOMONTH(DATEVALUE($B620&amp;"-01"),0)))-1)/4*100,"")</f>
        <v/>
      </c>
      <c r="Y620" t="e">
        <f t="shared" ca="1" si="19"/>
        <v>#DIV/0!</v>
      </c>
    </row>
    <row r="621" spans="12:25" x14ac:dyDescent="0.2">
      <c r="L621" t="str">
        <f t="shared" si="18"/>
        <v/>
      </c>
      <c r="M621" t="str">
        <f>IFERROR(AVERAGEIFS(Prod_5dias!$H$2:$H$1000,Prod_5dias!$A$2:$A$1000,$A621,Prod_5dias!$B$2:$B$1000,$B621),"")</f>
        <v/>
      </c>
      <c r="N621" t="str">
        <f>IF(M621="","",MIN(100,100*M621/Parametros!$B$7))</f>
        <v/>
      </c>
      <c r="O621" t="str">
        <f>IF(F621="","",IF(F621=0,100,MIN(100,100*Parametros!$B$3/F621)))</f>
        <v/>
      </c>
      <c r="P621" t="str">
        <f ca="1">IFERROR(((AVERAGEIFS(Observacion_Directa!$E$2:$E$1000,Observacion_Directa!$A$2:$A$1000,$A621,Observacion_Directa!$B$2:$B$1000,"&gt;="&amp;DATEVALUE($B621&amp;"-01"),Observacion_Directa!$B$2:$B$1000,"&lt;="&amp;EOMONTH(DATEVALUE($B621&amp;"-01"),0)))-1)/4*100,"")</f>
        <v/>
      </c>
      <c r="Q621" t="str">
        <f>IF(H621="","",MIN(100,100*H621/Parametros!$B$4))</f>
        <v/>
      </c>
      <c r="R621" t="str">
        <f>IF(I621="","",IF(I621=0,100,MIN(100,100*Parametros!$B$5/I621)))</f>
        <v/>
      </c>
      <c r="S621" t="str">
        <f>IF(J621="","",IF(J621=0,100,MIN(100,100*Parametros!$B$6/J621)))</f>
        <v/>
      </c>
      <c r="T621" t="str">
        <f>IF(L621="","",MIN(100,100*L621/Parametros!$B$7))</f>
        <v/>
      </c>
      <c r="U621" t="str">
        <f>IF(K621="","",MIN(100,100*K621/Parametros!$B$8))</f>
        <v/>
      </c>
      <c r="V621" t="str">
        <f ca="1">IFERROR(((AVERAGEIFS(Documentacion!$C$2:$C$1000,Documentacion!$A$2:$A$1000,$A621,Documentacion!$B$2:$B$1000,"&gt;="&amp;DATEVALUE($B621&amp;"-01"),Documentacion!$B$2:$B$1000,"&lt;="&amp;EOMONTH(DATEVALUE($B621&amp;"-01"),0)))-1)/4*100,"")</f>
        <v/>
      </c>
      <c r="W621" t="str">
        <f ca="1">IFERROR(((AVERAGEIFS(Feedback_360!$D$2:$D$1000,Feedback_360!$A$2:$A$1000,$A621,Feedback_360!$B$2:$B$1000,"&gt;="&amp;DATEVALUE($B621&amp;"-01"),Feedback_360!$B$2:$B$1000,"&lt;="&amp;EOMONTH(DATEVALUE($B621&amp;"-01"),0)))-1)/4*100,"")</f>
        <v/>
      </c>
      <c r="X621" t="str">
        <f ca="1">IFERROR(((AVERAGEIFS(Observacion_Directa!$D$2:$D$1000,Observacion_Directa!$A$2:$A$1000,$A621,Observacion_Directa!$B$2:$B$1000,"&gt;="&amp;DATEVALUE($B621&amp;"-01"),Observacion_Directa!$B$2:$B$1000,"&lt;="&amp;EOMONTH(DATEVALUE($B621&amp;"-01"),0)))-1)/4*100,"")</f>
        <v/>
      </c>
      <c r="Y621" t="e">
        <f t="shared" ca="1" si="19"/>
        <v>#DIV/0!</v>
      </c>
    </row>
    <row r="622" spans="12:25" x14ac:dyDescent="0.2">
      <c r="L622" t="str">
        <f t="shared" si="18"/>
        <v/>
      </c>
      <c r="M622" t="str">
        <f>IFERROR(AVERAGEIFS(Prod_5dias!$H$2:$H$1000,Prod_5dias!$A$2:$A$1000,$A622,Prod_5dias!$B$2:$B$1000,$B622),"")</f>
        <v/>
      </c>
      <c r="N622" t="str">
        <f>IF(M622="","",MIN(100,100*M622/Parametros!$B$7))</f>
        <v/>
      </c>
      <c r="O622" t="str">
        <f>IF(F622="","",IF(F622=0,100,MIN(100,100*Parametros!$B$3/F622)))</f>
        <v/>
      </c>
      <c r="P622" t="str">
        <f ca="1">IFERROR(((AVERAGEIFS(Observacion_Directa!$E$2:$E$1000,Observacion_Directa!$A$2:$A$1000,$A622,Observacion_Directa!$B$2:$B$1000,"&gt;="&amp;DATEVALUE($B622&amp;"-01"),Observacion_Directa!$B$2:$B$1000,"&lt;="&amp;EOMONTH(DATEVALUE($B622&amp;"-01"),0)))-1)/4*100,"")</f>
        <v/>
      </c>
      <c r="Q622" t="str">
        <f>IF(H622="","",MIN(100,100*H622/Parametros!$B$4))</f>
        <v/>
      </c>
      <c r="R622" t="str">
        <f>IF(I622="","",IF(I622=0,100,MIN(100,100*Parametros!$B$5/I622)))</f>
        <v/>
      </c>
      <c r="S622" t="str">
        <f>IF(J622="","",IF(J622=0,100,MIN(100,100*Parametros!$B$6/J622)))</f>
        <v/>
      </c>
      <c r="T622" t="str">
        <f>IF(L622="","",MIN(100,100*L622/Parametros!$B$7))</f>
        <v/>
      </c>
      <c r="U622" t="str">
        <f>IF(K622="","",MIN(100,100*K622/Parametros!$B$8))</f>
        <v/>
      </c>
      <c r="V622" t="str">
        <f ca="1">IFERROR(((AVERAGEIFS(Documentacion!$C$2:$C$1000,Documentacion!$A$2:$A$1000,$A622,Documentacion!$B$2:$B$1000,"&gt;="&amp;DATEVALUE($B622&amp;"-01"),Documentacion!$B$2:$B$1000,"&lt;="&amp;EOMONTH(DATEVALUE($B622&amp;"-01"),0)))-1)/4*100,"")</f>
        <v/>
      </c>
      <c r="W622" t="str">
        <f ca="1">IFERROR(((AVERAGEIFS(Feedback_360!$D$2:$D$1000,Feedback_360!$A$2:$A$1000,$A622,Feedback_360!$B$2:$B$1000,"&gt;="&amp;DATEVALUE($B622&amp;"-01"),Feedback_360!$B$2:$B$1000,"&lt;="&amp;EOMONTH(DATEVALUE($B622&amp;"-01"),0)))-1)/4*100,"")</f>
        <v/>
      </c>
      <c r="X622" t="str">
        <f ca="1">IFERROR(((AVERAGEIFS(Observacion_Directa!$D$2:$D$1000,Observacion_Directa!$A$2:$A$1000,$A622,Observacion_Directa!$B$2:$B$1000,"&gt;="&amp;DATEVALUE($B622&amp;"-01"),Observacion_Directa!$B$2:$B$1000,"&lt;="&amp;EOMONTH(DATEVALUE($B622&amp;"-01"),0)))-1)/4*100,"")</f>
        <v/>
      </c>
      <c r="Y622" t="e">
        <f t="shared" ca="1" si="19"/>
        <v>#DIV/0!</v>
      </c>
    </row>
    <row r="623" spans="12:25" x14ac:dyDescent="0.2">
      <c r="L623" t="str">
        <f t="shared" si="18"/>
        <v/>
      </c>
      <c r="M623" t="str">
        <f>IFERROR(AVERAGEIFS(Prod_5dias!$H$2:$H$1000,Prod_5dias!$A$2:$A$1000,$A623,Prod_5dias!$B$2:$B$1000,$B623),"")</f>
        <v/>
      </c>
      <c r="N623" t="str">
        <f>IF(M623="","",MIN(100,100*M623/Parametros!$B$7))</f>
        <v/>
      </c>
      <c r="O623" t="str">
        <f>IF(F623="","",IF(F623=0,100,MIN(100,100*Parametros!$B$3/F623)))</f>
        <v/>
      </c>
      <c r="P623" t="str">
        <f ca="1">IFERROR(((AVERAGEIFS(Observacion_Directa!$E$2:$E$1000,Observacion_Directa!$A$2:$A$1000,$A623,Observacion_Directa!$B$2:$B$1000,"&gt;="&amp;DATEVALUE($B623&amp;"-01"),Observacion_Directa!$B$2:$B$1000,"&lt;="&amp;EOMONTH(DATEVALUE($B623&amp;"-01"),0)))-1)/4*100,"")</f>
        <v/>
      </c>
      <c r="Q623" t="str">
        <f>IF(H623="","",MIN(100,100*H623/Parametros!$B$4))</f>
        <v/>
      </c>
      <c r="R623" t="str">
        <f>IF(I623="","",IF(I623=0,100,MIN(100,100*Parametros!$B$5/I623)))</f>
        <v/>
      </c>
      <c r="S623" t="str">
        <f>IF(J623="","",IF(J623=0,100,MIN(100,100*Parametros!$B$6/J623)))</f>
        <v/>
      </c>
      <c r="T623" t="str">
        <f>IF(L623="","",MIN(100,100*L623/Parametros!$B$7))</f>
        <v/>
      </c>
      <c r="U623" t="str">
        <f>IF(K623="","",MIN(100,100*K623/Parametros!$B$8))</f>
        <v/>
      </c>
      <c r="V623" t="str">
        <f ca="1">IFERROR(((AVERAGEIFS(Documentacion!$C$2:$C$1000,Documentacion!$A$2:$A$1000,$A623,Documentacion!$B$2:$B$1000,"&gt;="&amp;DATEVALUE($B623&amp;"-01"),Documentacion!$B$2:$B$1000,"&lt;="&amp;EOMONTH(DATEVALUE($B623&amp;"-01"),0)))-1)/4*100,"")</f>
        <v/>
      </c>
      <c r="W623" t="str">
        <f ca="1">IFERROR(((AVERAGEIFS(Feedback_360!$D$2:$D$1000,Feedback_360!$A$2:$A$1000,$A623,Feedback_360!$B$2:$B$1000,"&gt;="&amp;DATEVALUE($B623&amp;"-01"),Feedback_360!$B$2:$B$1000,"&lt;="&amp;EOMONTH(DATEVALUE($B623&amp;"-01"),0)))-1)/4*100,"")</f>
        <v/>
      </c>
      <c r="X623" t="str">
        <f ca="1">IFERROR(((AVERAGEIFS(Observacion_Directa!$D$2:$D$1000,Observacion_Directa!$A$2:$A$1000,$A623,Observacion_Directa!$B$2:$B$1000,"&gt;="&amp;DATEVALUE($B623&amp;"-01"),Observacion_Directa!$B$2:$B$1000,"&lt;="&amp;EOMONTH(DATEVALUE($B623&amp;"-01"),0)))-1)/4*100,"")</f>
        <v/>
      </c>
      <c r="Y623" t="e">
        <f t="shared" ca="1" si="19"/>
        <v>#DIV/0!</v>
      </c>
    </row>
    <row r="624" spans="12:25" x14ac:dyDescent="0.2">
      <c r="L624" t="str">
        <f t="shared" si="18"/>
        <v/>
      </c>
      <c r="M624" t="str">
        <f>IFERROR(AVERAGEIFS(Prod_5dias!$H$2:$H$1000,Prod_5dias!$A$2:$A$1000,$A624,Prod_5dias!$B$2:$B$1000,$B624),"")</f>
        <v/>
      </c>
      <c r="N624" t="str">
        <f>IF(M624="","",MIN(100,100*M624/Parametros!$B$7))</f>
        <v/>
      </c>
      <c r="O624" t="str">
        <f>IF(F624="","",IF(F624=0,100,MIN(100,100*Parametros!$B$3/F624)))</f>
        <v/>
      </c>
      <c r="P624" t="str">
        <f ca="1">IFERROR(((AVERAGEIFS(Observacion_Directa!$E$2:$E$1000,Observacion_Directa!$A$2:$A$1000,$A624,Observacion_Directa!$B$2:$B$1000,"&gt;="&amp;DATEVALUE($B624&amp;"-01"),Observacion_Directa!$B$2:$B$1000,"&lt;="&amp;EOMONTH(DATEVALUE($B624&amp;"-01"),0)))-1)/4*100,"")</f>
        <v/>
      </c>
      <c r="Q624" t="str">
        <f>IF(H624="","",MIN(100,100*H624/Parametros!$B$4))</f>
        <v/>
      </c>
      <c r="R624" t="str">
        <f>IF(I624="","",IF(I624=0,100,MIN(100,100*Parametros!$B$5/I624)))</f>
        <v/>
      </c>
      <c r="S624" t="str">
        <f>IF(J624="","",IF(J624=0,100,MIN(100,100*Parametros!$B$6/J624)))</f>
        <v/>
      </c>
      <c r="T624" t="str">
        <f>IF(L624="","",MIN(100,100*L624/Parametros!$B$7))</f>
        <v/>
      </c>
      <c r="U624" t="str">
        <f>IF(K624="","",MIN(100,100*K624/Parametros!$B$8))</f>
        <v/>
      </c>
      <c r="V624" t="str">
        <f ca="1">IFERROR(((AVERAGEIFS(Documentacion!$C$2:$C$1000,Documentacion!$A$2:$A$1000,$A624,Documentacion!$B$2:$B$1000,"&gt;="&amp;DATEVALUE($B624&amp;"-01"),Documentacion!$B$2:$B$1000,"&lt;="&amp;EOMONTH(DATEVALUE($B624&amp;"-01"),0)))-1)/4*100,"")</f>
        <v/>
      </c>
      <c r="W624" t="str">
        <f ca="1">IFERROR(((AVERAGEIFS(Feedback_360!$D$2:$D$1000,Feedback_360!$A$2:$A$1000,$A624,Feedback_360!$B$2:$B$1000,"&gt;="&amp;DATEVALUE($B624&amp;"-01"),Feedback_360!$B$2:$B$1000,"&lt;="&amp;EOMONTH(DATEVALUE($B624&amp;"-01"),0)))-1)/4*100,"")</f>
        <v/>
      </c>
      <c r="X624" t="str">
        <f ca="1">IFERROR(((AVERAGEIFS(Observacion_Directa!$D$2:$D$1000,Observacion_Directa!$A$2:$A$1000,$A624,Observacion_Directa!$B$2:$B$1000,"&gt;="&amp;DATEVALUE($B624&amp;"-01"),Observacion_Directa!$B$2:$B$1000,"&lt;="&amp;EOMONTH(DATEVALUE($B624&amp;"-01"),0)))-1)/4*100,"")</f>
        <v/>
      </c>
      <c r="Y624" t="e">
        <f t="shared" ca="1" si="19"/>
        <v>#DIV/0!</v>
      </c>
    </row>
    <row r="625" spans="12:25" x14ac:dyDescent="0.2">
      <c r="L625" t="str">
        <f t="shared" si="18"/>
        <v/>
      </c>
      <c r="M625" t="str">
        <f>IFERROR(AVERAGEIFS(Prod_5dias!$H$2:$H$1000,Prod_5dias!$A$2:$A$1000,$A625,Prod_5dias!$B$2:$B$1000,$B625),"")</f>
        <v/>
      </c>
      <c r="N625" t="str">
        <f>IF(M625="","",MIN(100,100*M625/Parametros!$B$7))</f>
        <v/>
      </c>
      <c r="O625" t="str">
        <f>IF(F625="","",IF(F625=0,100,MIN(100,100*Parametros!$B$3/F625)))</f>
        <v/>
      </c>
      <c r="P625" t="str">
        <f ca="1">IFERROR(((AVERAGEIFS(Observacion_Directa!$E$2:$E$1000,Observacion_Directa!$A$2:$A$1000,$A625,Observacion_Directa!$B$2:$B$1000,"&gt;="&amp;DATEVALUE($B625&amp;"-01"),Observacion_Directa!$B$2:$B$1000,"&lt;="&amp;EOMONTH(DATEVALUE($B625&amp;"-01"),0)))-1)/4*100,"")</f>
        <v/>
      </c>
      <c r="Q625" t="str">
        <f>IF(H625="","",MIN(100,100*H625/Parametros!$B$4))</f>
        <v/>
      </c>
      <c r="R625" t="str">
        <f>IF(I625="","",IF(I625=0,100,MIN(100,100*Parametros!$B$5/I625)))</f>
        <v/>
      </c>
      <c r="S625" t="str">
        <f>IF(J625="","",IF(J625=0,100,MIN(100,100*Parametros!$B$6/J625)))</f>
        <v/>
      </c>
      <c r="T625" t="str">
        <f>IF(L625="","",MIN(100,100*L625/Parametros!$B$7))</f>
        <v/>
      </c>
      <c r="U625" t="str">
        <f>IF(K625="","",MIN(100,100*K625/Parametros!$B$8))</f>
        <v/>
      </c>
      <c r="V625" t="str">
        <f ca="1">IFERROR(((AVERAGEIFS(Documentacion!$C$2:$C$1000,Documentacion!$A$2:$A$1000,$A625,Documentacion!$B$2:$B$1000,"&gt;="&amp;DATEVALUE($B625&amp;"-01"),Documentacion!$B$2:$B$1000,"&lt;="&amp;EOMONTH(DATEVALUE($B625&amp;"-01"),0)))-1)/4*100,"")</f>
        <v/>
      </c>
      <c r="W625" t="str">
        <f ca="1">IFERROR(((AVERAGEIFS(Feedback_360!$D$2:$D$1000,Feedback_360!$A$2:$A$1000,$A625,Feedback_360!$B$2:$B$1000,"&gt;="&amp;DATEVALUE($B625&amp;"-01"),Feedback_360!$B$2:$B$1000,"&lt;="&amp;EOMONTH(DATEVALUE($B625&amp;"-01"),0)))-1)/4*100,"")</f>
        <v/>
      </c>
      <c r="X625" t="str">
        <f ca="1">IFERROR(((AVERAGEIFS(Observacion_Directa!$D$2:$D$1000,Observacion_Directa!$A$2:$A$1000,$A625,Observacion_Directa!$B$2:$B$1000,"&gt;="&amp;DATEVALUE($B625&amp;"-01"),Observacion_Directa!$B$2:$B$1000,"&lt;="&amp;EOMONTH(DATEVALUE($B625&amp;"-01"),0)))-1)/4*100,"")</f>
        <v/>
      </c>
      <c r="Y625" t="e">
        <f t="shared" ca="1" si="19"/>
        <v>#DIV/0!</v>
      </c>
    </row>
    <row r="626" spans="12:25" x14ac:dyDescent="0.2">
      <c r="L626" t="str">
        <f t="shared" si="18"/>
        <v/>
      </c>
      <c r="M626" t="str">
        <f>IFERROR(AVERAGEIFS(Prod_5dias!$H$2:$H$1000,Prod_5dias!$A$2:$A$1000,$A626,Prod_5dias!$B$2:$B$1000,$B626),"")</f>
        <v/>
      </c>
      <c r="N626" t="str">
        <f>IF(M626="","",MIN(100,100*M626/Parametros!$B$7))</f>
        <v/>
      </c>
      <c r="O626" t="str">
        <f>IF(F626="","",IF(F626=0,100,MIN(100,100*Parametros!$B$3/F626)))</f>
        <v/>
      </c>
      <c r="P626" t="str">
        <f ca="1">IFERROR(((AVERAGEIFS(Observacion_Directa!$E$2:$E$1000,Observacion_Directa!$A$2:$A$1000,$A626,Observacion_Directa!$B$2:$B$1000,"&gt;="&amp;DATEVALUE($B626&amp;"-01"),Observacion_Directa!$B$2:$B$1000,"&lt;="&amp;EOMONTH(DATEVALUE($B626&amp;"-01"),0)))-1)/4*100,"")</f>
        <v/>
      </c>
      <c r="Q626" t="str">
        <f>IF(H626="","",MIN(100,100*H626/Parametros!$B$4))</f>
        <v/>
      </c>
      <c r="R626" t="str">
        <f>IF(I626="","",IF(I626=0,100,MIN(100,100*Parametros!$B$5/I626)))</f>
        <v/>
      </c>
      <c r="S626" t="str">
        <f>IF(J626="","",IF(J626=0,100,MIN(100,100*Parametros!$B$6/J626)))</f>
        <v/>
      </c>
      <c r="T626" t="str">
        <f>IF(L626="","",MIN(100,100*L626/Parametros!$B$7))</f>
        <v/>
      </c>
      <c r="U626" t="str">
        <f>IF(K626="","",MIN(100,100*K626/Parametros!$B$8))</f>
        <v/>
      </c>
      <c r="V626" t="str">
        <f ca="1">IFERROR(((AVERAGEIFS(Documentacion!$C$2:$C$1000,Documentacion!$A$2:$A$1000,$A626,Documentacion!$B$2:$B$1000,"&gt;="&amp;DATEVALUE($B626&amp;"-01"),Documentacion!$B$2:$B$1000,"&lt;="&amp;EOMONTH(DATEVALUE($B626&amp;"-01"),0)))-1)/4*100,"")</f>
        <v/>
      </c>
      <c r="W626" t="str">
        <f ca="1">IFERROR(((AVERAGEIFS(Feedback_360!$D$2:$D$1000,Feedback_360!$A$2:$A$1000,$A626,Feedback_360!$B$2:$B$1000,"&gt;="&amp;DATEVALUE($B626&amp;"-01"),Feedback_360!$B$2:$B$1000,"&lt;="&amp;EOMONTH(DATEVALUE($B626&amp;"-01"),0)))-1)/4*100,"")</f>
        <v/>
      </c>
      <c r="X626" t="str">
        <f ca="1">IFERROR(((AVERAGEIFS(Observacion_Directa!$D$2:$D$1000,Observacion_Directa!$A$2:$A$1000,$A626,Observacion_Directa!$B$2:$B$1000,"&gt;="&amp;DATEVALUE($B626&amp;"-01"),Observacion_Directa!$B$2:$B$1000,"&lt;="&amp;EOMONTH(DATEVALUE($B626&amp;"-01"),0)))-1)/4*100,"")</f>
        <v/>
      </c>
      <c r="Y626" t="e">
        <f t="shared" ca="1" si="19"/>
        <v>#DIV/0!</v>
      </c>
    </row>
    <row r="627" spans="12:25" x14ac:dyDescent="0.2">
      <c r="L627" t="str">
        <f t="shared" si="18"/>
        <v/>
      </c>
      <c r="M627" t="str">
        <f>IFERROR(AVERAGEIFS(Prod_5dias!$H$2:$H$1000,Prod_5dias!$A$2:$A$1000,$A627,Prod_5dias!$B$2:$B$1000,$B627),"")</f>
        <v/>
      </c>
      <c r="N627" t="str">
        <f>IF(M627="","",MIN(100,100*M627/Parametros!$B$7))</f>
        <v/>
      </c>
      <c r="O627" t="str">
        <f>IF(F627="","",IF(F627=0,100,MIN(100,100*Parametros!$B$3/F627)))</f>
        <v/>
      </c>
      <c r="P627" t="str">
        <f ca="1">IFERROR(((AVERAGEIFS(Observacion_Directa!$E$2:$E$1000,Observacion_Directa!$A$2:$A$1000,$A627,Observacion_Directa!$B$2:$B$1000,"&gt;="&amp;DATEVALUE($B627&amp;"-01"),Observacion_Directa!$B$2:$B$1000,"&lt;="&amp;EOMONTH(DATEVALUE($B627&amp;"-01"),0)))-1)/4*100,"")</f>
        <v/>
      </c>
      <c r="Q627" t="str">
        <f>IF(H627="","",MIN(100,100*H627/Parametros!$B$4))</f>
        <v/>
      </c>
      <c r="R627" t="str">
        <f>IF(I627="","",IF(I627=0,100,MIN(100,100*Parametros!$B$5/I627)))</f>
        <v/>
      </c>
      <c r="S627" t="str">
        <f>IF(J627="","",IF(J627=0,100,MIN(100,100*Parametros!$B$6/J627)))</f>
        <v/>
      </c>
      <c r="T627" t="str">
        <f>IF(L627="","",MIN(100,100*L627/Parametros!$B$7))</f>
        <v/>
      </c>
      <c r="U627" t="str">
        <f>IF(K627="","",MIN(100,100*K627/Parametros!$B$8))</f>
        <v/>
      </c>
      <c r="V627" t="str">
        <f ca="1">IFERROR(((AVERAGEIFS(Documentacion!$C$2:$C$1000,Documentacion!$A$2:$A$1000,$A627,Documentacion!$B$2:$B$1000,"&gt;="&amp;DATEVALUE($B627&amp;"-01"),Documentacion!$B$2:$B$1000,"&lt;="&amp;EOMONTH(DATEVALUE($B627&amp;"-01"),0)))-1)/4*100,"")</f>
        <v/>
      </c>
      <c r="W627" t="str">
        <f ca="1">IFERROR(((AVERAGEIFS(Feedback_360!$D$2:$D$1000,Feedback_360!$A$2:$A$1000,$A627,Feedback_360!$B$2:$B$1000,"&gt;="&amp;DATEVALUE($B627&amp;"-01"),Feedback_360!$B$2:$B$1000,"&lt;="&amp;EOMONTH(DATEVALUE($B627&amp;"-01"),0)))-1)/4*100,"")</f>
        <v/>
      </c>
      <c r="X627" t="str">
        <f ca="1">IFERROR(((AVERAGEIFS(Observacion_Directa!$D$2:$D$1000,Observacion_Directa!$A$2:$A$1000,$A627,Observacion_Directa!$B$2:$B$1000,"&gt;="&amp;DATEVALUE($B627&amp;"-01"),Observacion_Directa!$B$2:$B$1000,"&lt;="&amp;EOMONTH(DATEVALUE($B627&amp;"-01"),0)))-1)/4*100,"")</f>
        <v/>
      </c>
      <c r="Y627" t="e">
        <f t="shared" ca="1" si="19"/>
        <v>#DIV/0!</v>
      </c>
    </row>
    <row r="628" spans="12:25" x14ac:dyDescent="0.2">
      <c r="L628" t="str">
        <f t="shared" si="18"/>
        <v/>
      </c>
      <c r="M628" t="str">
        <f>IFERROR(AVERAGEIFS(Prod_5dias!$H$2:$H$1000,Prod_5dias!$A$2:$A$1000,$A628,Prod_5dias!$B$2:$B$1000,$B628),"")</f>
        <v/>
      </c>
      <c r="N628" t="str">
        <f>IF(M628="","",MIN(100,100*M628/Parametros!$B$7))</f>
        <v/>
      </c>
      <c r="O628" t="str">
        <f>IF(F628="","",IF(F628=0,100,MIN(100,100*Parametros!$B$3/F628)))</f>
        <v/>
      </c>
      <c r="P628" t="str">
        <f ca="1">IFERROR(((AVERAGEIFS(Observacion_Directa!$E$2:$E$1000,Observacion_Directa!$A$2:$A$1000,$A628,Observacion_Directa!$B$2:$B$1000,"&gt;="&amp;DATEVALUE($B628&amp;"-01"),Observacion_Directa!$B$2:$B$1000,"&lt;="&amp;EOMONTH(DATEVALUE($B628&amp;"-01"),0)))-1)/4*100,"")</f>
        <v/>
      </c>
      <c r="Q628" t="str">
        <f>IF(H628="","",MIN(100,100*H628/Parametros!$B$4))</f>
        <v/>
      </c>
      <c r="R628" t="str">
        <f>IF(I628="","",IF(I628=0,100,MIN(100,100*Parametros!$B$5/I628)))</f>
        <v/>
      </c>
      <c r="S628" t="str">
        <f>IF(J628="","",IF(J628=0,100,MIN(100,100*Parametros!$B$6/J628)))</f>
        <v/>
      </c>
      <c r="T628" t="str">
        <f>IF(L628="","",MIN(100,100*L628/Parametros!$B$7))</f>
        <v/>
      </c>
      <c r="U628" t="str">
        <f>IF(K628="","",MIN(100,100*K628/Parametros!$B$8))</f>
        <v/>
      </c>
      <c r="V628" t="str">
        <f ca="1">IFERROR(((AVERAGEIFS(Documentacion!$C$2:$C$1000,Documentacion!$A$2:$A$1000,$A628,Documentacion!$B$2:$B$1000,"&gt;="&amp;DATEVALUE($B628&amp;"-01"),Documentacion!$B$2:$B$1000,"&lt;="&amp;EOMONTH(DATEVALUE($B628&amp;"-01"),0)))-1)/4*100,"")</f>
        <v/>
      </c>
      <c r="W628" t="str">
        <f ca="1">IFERROR(((AVERAGEIFS(Feedback_360!$D$2:$D$1000,Feedback_360!$A$2:$A$1000,$A628,Feedback_360!$B$2:$B$1000,"&gt;="&amp;DATEVALUE($B628&amp;"-01"),Feedback_360!$B$2:$B$1000,"&lt;="&amp;EOMONTH(DATEVALUE($B628&amp;"-01"),0)))-1)/4*100,"")</f>
        <v/>
      </c>
      <c r="X628" t="str">
        <f ca="1">IFERROR(((AVERAGEIFS(Observacion_Directa!$D$2:$D$1000,Observacion_Directa!$A$2:$A$1000,$A628,Observacion_Directa!$B$2:$B$1000,"&gt;="&amp;DATEVALUE($B628&amp;"-01"),Observacion_Directa!$B$2:$B$1000,"&lt;="&amp;EOMONTH(DATEVALUE($B628&amp;"-01"),0)))-1)/4*100,"")</f>
        <v/>
      </c>
      <c r="Y628" t="e">
        <f t="shared" ca="1" si="19"/>
        <v>#DIV/0!</v>
      </c>
    </row>
    <row r="629" spans="12:25" x14ac:dyDescent="0.2">
      <c r="L629" t="str">
        <f t="shared" si="18"/>
        <v/>
      </c>
      <c r="M629" t="str">
        <f>IFERROR(AVERAGEIFS(Prod_5dias!$H$2:$H$1000,Prod_5dias!$A$2:$A$1000,$A629,Prod_5dias!$B$2:$B$1000,$B629),"")</f>
        <v/>
      </c>
      <c r="N629" t="str">
        <f>IF(M629="","",MIN(100,100*M629/Parametros!$B$7))</f>
        <v/>
      </c>
      <c r="O629" t="str">
        <f>IF(F629="","",IF(F629=0,100,MIN(100,100*Parametros!$B$3/F629)))</f>
        <v/>
      </c>
      <c r="P629" t="str">
        <f ca="1">IFERROR(((AVERAGEIFS(Observacion_Directa!$E$2:$E$1000,Observacion_Directa!$A$2:$A$1000,$A629,Observacion_Directa!$B$2:$B$1000,"&gt;="&amp;DATEVALUE($B629&amp;"-01"),Observacion_Directa!$B$2:$B$1000,"&lt;="&amp;EOMONTH(DATEVALUE($B629&amp;"-01"),0)))-1)/4*100,"")</f>
        <v/>
      </c>
      <c r="Q629" t="str">
        <f>IF(H629="","",MIN(100,100*H629/Parametros!$B$4))</f>
        <v/>
      </c>
      <c r="R629" t="str">
        <f>IF(I629="","",IF(I629=0,100,MIN(100,100*Parametros!$B$5/I629)))</f>
        <v/>
      </c>
      <c r="S629" t="str">
        <f>IF(J629="","",IF(J629=0,100,MIN(100,100*Parametros!$B$6/J629)))</f>
        <v/>
      </c>
      <c r="T629" t="str">
        <f>IF(L629="","",MIN(100,100*L629/Parametros!$B$7))</f>
        <v/>
      </c>
      <c r="U629" t="str">
        <f>IF(K629="","",MIN(100,100*K629/Parametros!$B$8))</f>
        <v/>
      </c>
      <c r="V629" t="str">
        <f ca="1">IFERROR(((AVERAGEIFS(Documentacion!$C$2:$C$1000,Documentacion!$A$2:$A$1000,$A629,Documentacion!$B$2:$B$1000,"&gt;="&amp;DATEVALUE($B629&amp;"-01"),Documentacion!$B$2:$B$1000,"&lt;="&amp;EOMONTH(DATEVALUE($B629&amp;"-01"),0)))-1)/4*100,"")</f>
        <v/>
      </c>
      <c r="W629" t="str">
        <f ca="1">IFERROR(((AVERAGEIFS(Feedback_360!$D$2:$D$1000,Feedback_360!$A$2:$A$1000,$A629,Feedback_360!$B$2:$B$1000,"&gt;="&amp;DATEVALUE($B629&amp;"-01"),Feedback_360!$B$2:$B$1000,"&lt;="&amp;EOMONTH(DATEVALUE($B629&amp;"-01"),0)))-1)/4*100,"")</f>
        <v/>
      </c>
      <c r="X629" t="str">
        <f ca="1">IFERROR(((AVERAGEIFS(Observacion_Directa!$D$2:$D$1000,Observacion_Directa!$A$2:$A$1000,$A629,Observacion_Directa!$B$2:$B$1000,"&gt;="&amp;DATEVALUE($B629&amp;"-01"),Observacion_Directa!$B$2:$B$1000,"&lt;="&amp;EOMONTH(DATEVALUE($B629&amp;"-01"),0)))-1)/4*100,"")</f>
        <v/>
      </c>
      <c r="Y629" t="e">
        <f t="shared" ca="1" si="19"/>
        <v>#DIV/0!</v>
      </c>
    </row>
    <row r="630" spans="12:25" x14ac:dyDescent="0.2">
      <c r="L630" t="str">
        <f t="shared" si="18"/>
        <v/>
      </c>
      <c r="M630" t="str">
        <f>IFERROR(AVERAGEIFS(Prod_5dias!$H$2:$H$1000,Prod_5dias!$A$2:$A$1000,$A630,Prod_5dias!$B$2:$B$1000,$B630),"")</f>
        <v/>
      </c>
      <c r="N630" t="str">
        <f>IF(M630="","",MIN(100,100*M630/Parametros!$B$7))</f>
        <v/>
      </c>
      <c r="O630" t="str">
        <f>IF(F630="","",IF(F630=0,100,MIN(100,100*Parametros!$B$3/F630)))</f>
        <v/>
      </c>
      <c r="P630" t="str">
        <f ca="1">IFERROR(((AVERAGEIFS(Observacion_Directa!$E$2:$E$1000,Observacion_Directa!$A$2:$A$1000,$A630,Observacion_Directa!$B$2:$B$1000,"&gt;="&amp;DATEVALUE($B630&amp;"-01"),Observacion_Directa!$B$2:$B$1000,"&lt;="&amp;EOMONTH(DATEVALUE($B630&amp;"-01"),0)))-1)/4*100,"")</f>
        <v/>
      </c>
      <c r="Q630" t="str">
        <f>IF(H630="","",MIN(100,100*H630/Parametros!$B$4))</f>
        <v/>
      </c>
      <c r="R630" t="str">
        <f>IF(I630="","",IF(I630=0,100,MIN(100,100*Parametros!$B$5/I630)))</f>
        <v/>
      </c>
      <c r="S630" t="str">
        <f>IF(J630="","",IF(J630=0,100,MIN(100,100*Parametros!$B$6/J630)))</f>
        <v/>
      </c>
      <c r="T630" t="str">
        <f>IF(L630="","",MIN(100,100*L630/Parametros!$B$7))</f>
        <v/>
      </c>
      <c r="U630" t="str">
        <f>IF(K630="","",MIN(100,100*K630/Parametros!$B$8))</f>
        <v/>
      </c>
      <c r="V630" t="str">
        <f ca="1">IFERROR(((AVERAGEIFS(Documentacion!$C$2:$C$1000,Documentacion!$A$2:$A$1000,$A630,Documentacion!$B$2:$B$1000,"&gt;="&amp;DATEVALUE($B630&amp;"-01"),Documentacion!$B$2:$B$1000,"&lt;="&amp;EOMONTH(DATEVALUE($B630&amp;"-01"),0)))-1)/4*100,"")</f>
        <v/>
      </c>
      <c r="W630" t="str">
        <f ca="1">IFERROR(((AVERAGEIFS(Feedback_360!$D$2:$D$1000,Feedback_360!$A$2:$A$1000,$A630,Feedback_360!$B$2:$B$1000,"&gt;="&amp;DATEVALUE($B630&amp;"-01"),Feedback_360!$B$2:$B$1000,"&lt;="&amp;EOMONTH(DATEVALUE($B630&amp;"-01"),0)))-1)/4*100,"")</f>
        <v/>
      </c>
      <c r="X630" t="str">
        <f ca="1">IFERROR(((AVERAGEIFS(Observacion_Directa!$D$2:$D$1000,Observacion_Directa!$A$2:$A$1000,$A630,Observacion_Directa!$B$2:$B$1000,"&gt;="&amp;DATEVALUE($B630&amp;"-01"),Observacion_Directa!$B$2:$B$1000,"&lt;="&amp;EOMONTH(DATEVALUE($B630&amp;"-01"),0)))-1)/4*100,"")</f>
        <v/>
      </c>
      <c r="Y630" t="e">
        <f t="shared" ca="1" si="19"/>
        <v>#DIV/0!</v>
      </c>
    </row>
    <row r="631" spans="12:25" x14ac:dyDescent="0.2">
      <c r="L631" t="str">
        <f t="shared" si="18"/>
        <v/>
      </c>
      <c r="M631" t="str">
        <f>IFERROR(AVERAGEIFS(Prod_5dias!$H$2:$H$1000,Prod_5dias!$A$2:$A$1000,$A631,Prod_5dias!$B$2:$B$1000,$B631),"")</f>
        <v/>
      </c>
      <c r="N631" t="str">
        <f>IF(M631="","",MIN(100,100*M631/Parametros!$B$7))</f>
        <v/>
      </c>
      <c r="O631" t="str">
        <f>IF(F631="","",IF(F631=0,100,MIN(100,100*Parametros!$B$3/F631)))</f>
        <v/>
      </c>
      <c r="P631" t="str">
        <f ca="1">IFERROR(((AVERAGEIFS(Observacion_Directa!$E$2:$E$1000,Observacion_Directa!$A$2:$A$1000,$A631,Observacion_Directa!$B$2:$B$1000,"&gt;="&amp;DATEVALUE($B631&amp;"-01"),Observacion_Directa!$B$2:$B$1000,"&lt;="&amp;EOMONTH(DATEVALUE($B631&amp;"-01"),0)))-1)/4*100,"")</f>
        <v/>
      </c>
      <c r="Q631" t="str">
        <f>IF(H631="","",MIN(100,100*H631/Parametros!$B$4))</f>
        <v/>
      </c>
      <c r="R631" t="str">
        <f>IF(I631="","",IF(I631=0,100,MIN(100,100*Parametros!$B$5/I631)))</f>
        <v/>
      </c>
      <c r="S631" t="str">
        <f>IF(J631="","",IF(J631=0,100,MIN(100,100*Parametros!$B$6/J631)))</f>
        <v/>
      </c>
      <c r="T631" t="str">
        <f>IF(L631="","",MIN(100,100*L631/Parametros!$B$7))</f>
        <v/>
      </c>
      <c r="U631" t="str">
        <f>IF(K631="","",MIN(100,100*K631/Parametros!$B$8))</f>
        <v/>
      </c>
      <c r="V631" t="str">
        <f ca="1">IFERROR(((AVERAGEIFS(Documentacion!$C$2:$C$1000,Documentacion!$A$2:$A$1000,$A631,Documentacion!$B$2:$B$1000,"&gt;="&amp;DATEVALUE($B631&amp;"-01"),Documentacion!$B$2:$B$1000,"&lt;="&amp;EOMONTH(DATEVALUE($B631&amp;"-01"),0)))-1)/4*100,"")</f>
        <v/>
      </c>
      <c r="W631" t="str">
        <f ca="1">IFERROR(((AVERAGEIFS(Feedback_360!$D$2:$D$1000,Feedback_360!$A$2:$A$1000,$A631,Feedback_360!$B$2:$B$1000,"&gt;="&amp;DATEVALUE($B631&amp;"-01"),Feedback_360!$B$2:$B$1000,"&lt;="&amp;EOMONTH(DATEVALUE($B631&amp;"-01"),0)))-1)/4*100,"")</f>
        <v/>
      </c>
      <c r="X631" t="str">
        <f ca="1">IFERROR(((AVERAGEIFS(Observacion_Directa!$D$2:$D$1000,Observacion_Directa!$A$2:$A$1000,$A631,Observacion_Directa!$B$2:$B$1000,"&gt;="&amp;DATEVALUE($B631&amp;"-01"),Observacion_Directa!$B$2:$B$1000,"&lt;="&amp;EOMONTH(DATEVALUE($B631&amp;"-01"),0)))-1)/4*100,"")</f>
        <v/>
      </c>
      <c r="Y631" t="e">
        <f t="shared" ca="1" si="19"/>
        <v>#DIV/0!</v>
      </c>
    </row>
    <row r="632" spans="12:25" x14ac:dyDescent="0.2">
      <c r="L632" t="str">
        <f t="shared" si="18"/>
        <v/>
      </c>
      <c r="M632" t="str">
        <f>IFERROR(AVERAGEIFS(Prod_5dias!$H$2:$H$1000,Prod_5dias!$A$2:$A$1000,$A632,Prod_5dias!$B$2:$B$1000,$B632),"")</f>
        <v/>
      </c>
      <c r="N632" t="str">
        <f>IF(M632="","",MIN(100,100*M632/Parametros!$B$7))</f>
        <v/>
      </c>
      <c r="O632" t="str">
        <f>IF(F632="","",IF(F632=0,100,MIN(100,100*Parametros!$B$3/F632)))</f>
        <v/>
      </c>
      <c r="P632" t="str">
        <f ca="1">IFERROR(((AVERAGEIFS(Observacion_Directa!$E$2:$E$1000,Observacion_Directa!$A$2:$A$1000,$A632,Observacion_Directa!$B$2:$B$1000,"&gt;="&amp;DATEVALUE($B632&amp;"-01"),Observacion_Directa!$B$2:$B$1000,"&lt;="&amp;EOMONTH(DATEVALUE($B632&amp;"-01"),0)))-1)/4*100,"")</f>
        <v/>
      </c>
      <c r="Q632" t="str">
        <f>IF(H632="","",MIN(100,100*H632/Parametros!$B$4))</f>
        <v/>
      </c>
      <c r="R632" t="str">
        <f>IF(I632="","",IF(I632=0,100,MIN(100,100*Parametros!$B$5/I632)))</f>
        <v/>
      </c>
      <c r="S632" t="str">
        <f>IF(J632="","",IF(J632=0,100,MIN(100,100*Parametros!$B$6/J632)))</f>
        <v/>
      </c>
      <c r="T632" t="str">
        <f>IF(L632="","",MIN(100,100*L632/Parametros!$B$7))</f>
        <v/>
      </c>
      <c r="U632" t="str">
        <f>IF(K632="","",MIN(100,100*K632/Parametros!$B$8))</f>
        <v/>
      </c>
      <c r="V632" t="str">
        <f ca="1">IFERROR(((AVERAGEIFS(Documentacion!$C$2:$C$1000,Documentacion!$A$2:$A$1000,$A632,Documentacion!$B$2:$B$1000,"&gt;="&amp;DATEVALUE($B632&amp;"-01"),Documentacion!$B$2:$B$1000,"&lt;="&amp;EOMONTH(DATEVALUE($B632&amp;"-01"),0)))-1)/4*100,"")</f>
        <v/>
      </c>
      <c r="W632" t="str">
        <f ca="1">IFERROR(((AVERAGEIFS(Feedback_360!$D$2:$D$1000,Feedback_360!$A$2:$A$1000,$A632,Feedback_360!$B$2:$B$1000,"&gt;="&amp;DATEVALUE($B632&amp;"-01"),Feedback_360!$B$2:$B$1000,"&lt;="&amp;EOMONTH(DATEVALUE($B632&amp;"-01"),0)))-1)/4*100,"")</f>
        <v/>
      </c>
      <c r="X632" t="str">
        <f ca="1">IFERROR(((AVERAGEIFS(Observacion_Directa!$D$2:$D$1000,Observacion_Directa!$A$2:$A$1000,$A632,Observacion_Directa!$B$2:$B$1000,"&gt;="&amp;DATEVALUE($B632&amp;"-01"),Observacion_Directa!$B$2:$B$1000,"&lt;="&amp;EOMONTH(DATEVALUE($B632&amp;"-01"),0)))-1)/4*100,"")</f>
        <v/>
      </c>
      <c r="Y632" t="e">
        <f t="shared" ca="1" si="19"/>
        <v>#DIV/0!</v>
      </c>
    </row>
    <row r="633" spans="12:25" x14ac:dyDescent="0.2">
      <c r="L633" t="str">
        <f t="shared" si="18"/>
        <v/>
      </c>
      <c r="M633" t="str">
        <f>IFERROR(AVERAGEIFS(Prod_5dias!$H$2:$H$1000,Prod_5dias!$A$2:$A$1000,$A633,Prod_5dias!$B$2:$B$1000,$B633),"")</f>
        <v/>
      </c>
      <c r="N633" t="str">
        <f>IF(M633="","",MIN(100,100*M633/Parametros!$B$7))</f>
        <v/>
      </c>
      <c r="O633" t="str">
        <f>IF(F633="","",IF(F633=0,100,MIN(100,100*Parametros!$B$3/F633)))</f>
        <v/>
      </c>
      <c r="P633" t="str">
        <f ca="1">IFERROR(((AVERAGEIFS(Observacion_Directa!$E$2:$E$1000,Observacion_Directa!$A$2:$A$1000,$A633,Observacion_Directa!$B$2:$B$1000,"&gt;="&amp;DATEVALUE($B633&amp;"-01"),Observacion_Directa!$B$2:$B$1000,"&lt;="&amp;EOMONTH(DATEVALUE($B633&amp;"-01"),0)))-1)/4*100,"")</f>
        <v/>
      </c>
      <c r="Q633" t="str">
        <f>IF(H633="","",MIN(100,100*H633/Parametros!$B$4))</f>
        <v/>
      </c>
      <c r="R633" t="str">
        <f>IF(I633="","",IF(I633=0,100,MIN(100,100*Parametros!$B$5/I633)))</f>
        <v/>
      </c>
      <c r="S633" t="str">
        <f>IF(J633="","",IF(J633=0,100,MIN(100,100*Parametros!$B$6/J633)))</f>
        <v/>
      </c>
      <c r="T633" t="str">
        <f>IF(L633="","",MIN(100,100*L633/Parametros!$B$7))</f>
        <v/>
      </c>
      <c r="U633" t="str">
        <f>IF(K633="","",MIN(100,100*K633/Parametros!$B$8))</f>
        <v/>
      </c>
      <c r="V633" t="str">
        <f ca="1">IFERROR(((AVERAGEIFS(Documentacion!$C$2:$C$1000,Documentacion!$A$2:$A$1000,$A633,Documentacion!$B$2:$B$1000,"&gt;="&amp;DATEVALUE($B633&amp;"-01"),Documentacion!$B$2:$B$1000,"&lt;="&amp;EOMONTH(DATEVALUE($B633&amp;"-01"),0)))-1)/4*100,"")</f>
        <v/>
      </c>
      <c r="W633" t="str">
        <f ca="1">IFERROR(((AVERAGEIFS(Feedback_360!$D$2:$D$1000,Feedback_360!$A$2:$A$1000,$A633,Feedback_360!$B$2:$B$1000,"&gt;="&amp;DATEVALUE($B633&amp;"-01"),Feedback_360!$B$2:$B$1000,"&lt;="&amp;EOMONTH(DATEVALUE($B633&amp;"-01"),0)))-1)/4*100,"")</f>
        <v/>
      </c>
      <c r="X633" t="str">
        <f ca="1">IFERROR(((AVERAGEIFS(Observacion_Directa!$D$2:$D$1000,Observacion_Directa!$A$2:$A$1000,$A633,Observacion_Directa!$B$2:$B$1000,"&gt;="&amp;DATEVALUE($B633&amp;"-01"),Observacion_Directa!$B$2:$B$1000,"&lt;="&amp;EOMONTH(DATEVALUE($B633&amp;"-01"),0)))-1)/4*100,"")</f>
        <v/>
      </c>
      <c r="Y633" t="e">
        <f t="shared" ca="1" si="19"/>
        <v>#DIV/0!</v>
      </c>
    </row>
    <row r="634" spans="12:25" x14ac:dyDescent="0.2">
      <c r="L634" t="str">
        <f t="shared" si="18"/>
        <v/>
      </c>
      <c r="M634" t="str">
        <f>IFERROR(AVERAGEIFS(Prod_5dias!$H$2:$H$1000,Prod_5dias!$A$2:$A$1000,$A634,Prod_5dias!$B$2:$B$1000,$B634),"")</f>
        <v/>
      </c>
      <c r="N634" t="str">
        <f>IF(M634="","",MIN(100,100*M634/Parametros!$B$7))</f>
        <v/>
      </c>
      <c r="O634" t="str">
        <f>IF(F634="","",IF(F634=0,100,MIN(100,100*Parametros!$B$3/F634)))</f>
        <v/>
      </c>
      <c r="P634" t="str">
        <f ca="1">IFERROR(((AVERAGEIFS(Observacion_Directa!$E$2:$E$1000,Observacion_Directa!$A$2:$A$1000,$A634,Observacion_Directa!$B$2:$B$1000,"&gt;="&amp;DATEVALUE($B634&amp;"-01"),Observacion_Directa!$B$2:$B$1000,"&lt;="&amp;EOMONTH(DATEVALUE($B634&amp;"-01"),0)))-1)/4*100,"")</f>
        <v/>
      </c>
      <c r="Q634" t="str">
        <f>IF(H634="","",MIN(100,100*H634/Parametros!$B$4))</f>
        <v/>
      </c>
      <c r="R634" t="str">
        <f>IF(I634="","",IF(I634=0,100,MIN(100,100*Parametros!$B$5/I634)))</f>
        <v/>
      </c>
      <c r="S634" t="str">
        <f>IF(J634="","",IF(J634=0,100,MIN(100,100*Parametros!$B$6/J634)))</f>
        <v/>
      </c>
      <c r="T634" t="str">
        <f>IF(L634="","",MIN(100,100*L634/Parametros!$B$7))</f>
        <v/>
      </c>
      <c r="U634" t="str">
        <f>IF(K634="","",MIN(100,100*K634/Parametros!$B$8))</f>
        <v/>
      </c>
      <c r="V634" t="str">
        <f ca="1">IFERROR(((AVERAGEIFS(Documentacion!$C$2:$C$1000,Documentacion!$A$2:$A$1000,$A634,Documentacion!$B$2:$B$1000,"&gt;="&amp;DATEVALUE($B634&amp;"-01"),Documentacion!$B$2:$B$1000,"&lt;="&amp;EOMONTH(DATEVALUE($B634&amp;"-01"),0)))-1)/4*100,"")</f>
        <v/>
      </c>
      <c r="W634" t="str">
        <f ca="1">IFERROR(((AVERAGEIFS(Feedback_360!$D$2:$D$1000,Feedback_360!$A$2:$A$1000,$A634,Feedback_360!$B$2:$B$1000,"&gt;="&amp;DATEVALUE($B634&amp;"-01"),Feedback_360!$B$2:$B$1000,"&lt;="&amp;EOMONTH(DATEVALUE($B634&amp;"-01"),0)))-1)/4*100,"")</f>
        <v/>
      </c>
      <c r="X634" t="str">
        <f ca="1">IFERROR(((AVERAGEIFS(Observacion_Directa!$D$2:$D$1000,Observacion_Directa!$A$2:$A$1000,$A634,Observacion_Directa!$B$2:$B$1000,"&gt;="&amp;DATEVALUE($B634&amp;"-01"),Observacion_Directa!$B$2:$B$1000,"&lt;="&amp;EOMONTH(DATEVALUE($B634&amp;"-01"),0)))-1)/4*100,"")</f>
        <v/>
      </c>
      <c r="Y634" t="e">
        <f t="shared" ca="1" si="19"/>
        <v>#DIV/0!</v>
      </c>
    </row>
    <row r="635" spans="12:25" x14ac:dyDescent="0.2">
      <c r="L635" t="str">
        <f t="shared" si="18"/>
        <v/>
      </c>
      <c r="M635" t="str">
        <f>IFERROR(AVERAGEIFS(Prod_5dias!$H$2:$H$1000,Prod_5dias!$A$2:$A$1000,$A635,Prod_5dias!$B$2:$B$1000,$B635),"")</f>
        <v/>
      </c>
      <c r="N635" t="str">
        <f>IF(M635="","",MIN(100,100*M635/Parametros!$B$7))</f>
        <v/>
      </c>
      <c r="O635" t="str">
        <f>IF(F635="","",IF(F635=0,100,MIN(100,100*Parametros!$B$3/F635)))</f>
        <v/>
      </c>
      <c r="P635" t="str">
        <f ca="1">IFERROR(((AVERAGEIFS(Observacion_Directa!$E$2:$E$1000,Observacion_Directa!$A$2:$A$1000,$A635,Observacion_Directa!$B$2:$B$1000,"&gt;="&amp;DATEVALUE($B635&amp;"-01"),Observacion_Directa!$B$2:$B$1000,"&lt;="&amp;EOMONTH(DATEVALUE($B635&amp;"-01"),0)))-1)/4*100,"")</f>
        <v/>
      </c>
      <c r="Q635" t="str">
        <f>IF(H635="","",MIN(100,100*H635/Parametros!$B$4))</f>
        <v/>
      </c>
      <c r="R635" t="str">
        <f>IF(I635="","",IF(I635=0,100,MIN(100,100*Parametros!$B$5/I635)))</f>
        <v/>
      </c>
      <c r="S635" t="str">
        <f>IF(J635="","",IF(J635=0,100,MIN(100,100*Parametros!$B$6/J635)))</f>
        <v/>
      </c>
      <c r="T635" t="str">
        <f>IF(L635="","",MIN(100,100*L635/Parametros!$B$7))</f>
        <v/>
      </c>
      <c r="U635" t="str">
        <f>IF(K635="","",MIN(100,100*K635/Parametros!$B$8))</f>
        <v/>
      </c>
      <c r="V635" t="str">
        <f ca="1">IFERROR(((AVERAGEIFS(Documentacion!$C$2:$C$1000,Documentacion!$A$2:$A$1000,$A635,Documentacion!$B$2:$B$1000,"&gt;="&amp;DATEVALUE($B635&amp;"-01"),Documentacion!$B$2:$B$1000,"&lt;="&amp;EOMONTH(DATEVALUE($B635&amp;"-01"),0)))-1)/4*100,"")</f>
        <v/>
      </c>
      <c r="W635" t="str">
        <f ca="1">IFERROR(((AVERAGEIFS(Feedback_360!$D$2:$D$1000,Feedback_360!$A$2:$A$1000,$A635,Feedback_360!$B$2:$B$1000,"&gt;="&amp;DATEVALUE($B635&amp;"-01"),Feedback_360!$B$2:$B$1000,"&lt;="&amp;EOMONTH(DATEVALUE($B635&amp;"-01"),0)))-1)/4*100,"")</f>
        <v/>
      </c>
      <c r="X635" t="str">
        <f ca="1">IFERROR(((AVERAGEIFS(Observacion_Directa!$D$2:$D$1000,Observacion_Directa!$A$2:$A$1000,$A635,Observacion_Directa!$B$2:$B$1000,"&gt;="&amp;DATEVALUE($B635&amp;"-01"),Observacion_Directa!$B$2:$B$1000,"&lt;="&amp;EOMONTH(DATEVALUE($B635&amp;"-01"),0)))-1)/4*100,"")</f>
        <v/>
      </c>
      <c r="Y635" t="e">
        <f t="shared" ca="1" si="19"/>
        <v>#DIV/0!</v>
      </c>
    </row>
    <row r="636" spans="12:25" x14ac:dyDescent="0.2">
      <c r="L636" t="str">
        <f t="shared" si="18"/>
        <v/>
      </c>
      <c r="M636" t="str">
        <f>IFERROR(AVERAGEIFS(Prod_5dias!$H$2:$H$1000,Prod_5dias!$A$2:$A$1000,$A636,Prod_5dias!$B$2:$B$1000,$B636),"")</f>
        <v/>
      </c>
      <c r="N636" t="str">
        <f>IF(M636="","",MIN(100,100*M636/Parametros!$B$7))</f>
        <v/>
      </c>
      <c r="O636" t="str">
        <f>IF(F636="","",IF(F636=0,100,MIN(100,100*Parametros!$B$3/F636)))</f>
        <v/>
      </c>
      <c r="P636" t="str">
        <f ca="1">IFERROR(((AVERAGEIFS(Observacion_Directa!$E$2:$E$1000,Observacion_Directa!$A$2:$A$1000,$A636,Observacion_Directa!$B$2:$B$1000,"&gt;="&amp;DATEVALUE($B636&amp;"-01"),Observacion_Directa!$B$2:$B$1000,"&lt;="&amp;EOMONTH(DATEVALUE($B636&amp;"-01"),0)))-1)/4*100,"")</f>
        <v/>
      </c>
      <c r="Q636" t="str">
        <f>IF(H636="","",MIN(100,100*H636/Parametros!$B$4))</f>
        <v/>
      </c>
      <c r="R636" t="str">
        <f>IF(I636="","",IF(I636=0,100,MIN(100,100*Parametros!$B$5/I636)))</f>
        <v/>
      </c>
      <c r="S636" t="str">
        <f>IF(J636="","",IF(J636=0,100,MIN(100,100*Parametros!$B$6/J636)))</f>
        <v/>
      </c>
      <c r="T636" t="str">
        <f>IF(L636="","",MIN(100,100*L636/Parametros!$B$7))</f>
        <v/>
      </c>
      <c r="U636" t="str">
        <f>IF(K636="","",MIN(100,100*K636/Parametros!$B$8))</f>
        <v/>
      </c>
      <c r="V636" t="str">
        <f ca="1">IFERROR(((AVERAGEIFS(Documentacion!$C$2:$C$1000,Documentacion!$A$2:$A$1000,$A636,Documentacion!$B$2:$B$1000,"&gt;="&amp;DATEVALUE($B636&amp;"-01"),Documentacion!$B$2:$B$1000,"&lt;="&amp;EOMONTH(DATEVALUE($B636&amp;"-01"),0)))-1)/4*100,"")</f>
        <v/>
      </c>
      <c r="W636" t="str">
        <f ca="1">IFERROR(((AVERAGEIFS(Feedback_360!$D$2:$D$1000,Feedback_360!$A$2:$A$1000,$A636,Feedback_360!$B$2:$B$1000,"&gt;="&amp;DATEVALUE($B636&amp;"-01"),Feedback_360!$B$2:$B$1000,"&lt;="&amp;EOMONTH(DATEVALUE($B636&amp;"-01"),0)))-1)/4*100,"")</f>
        <v/>
      </c>
      <c r="X636" t="str">
        <f ca="1">IFERROR(((AVERAGEIFS(Observacion_Directa!$D$2:$D$1000,Observacion_Directa!$A$2:$A$1000,$A636,Observacion_Directa!$B$2:$B$1000,"&gt;="&amp;DATEVALUE($B636&amp;"-01"),Observacion_Directa!$B$2:$B$1000,"&lt;="&amp;EOMONTH(DATEVALUE($B636&amp;"-01"),0)))-1)/4*100,"")</f>
        <v/>
      </c>
      <c r="Y636" t="e">
        <f t="shared" ca="1" si="19"/>
        <v>#DIV/0!</v>
      </c>
    </row>
    <row r="637" spans="12:25" x14ac:dyDescent="0.2">
      <c r="L637" t="str">
        <f t="shared" si="18"/>
        <v/>
      </c>
      <c r="M637" t="str">
        <f>IFERROR(AVERAGEIFS(Prod_5dias!$H$2:$H$1000,Prod_5dias!$A$2:$A$1000,$A637,Prod_5dias!$B$2:$B$1000,$B637),"")</f>
        <v/>
      </c>
      <c r="N637" t="str">
        <f>IF(M637="","",MIN(100,100*M637/Parametros!$B$7))</f>
        <v/>
      </c>
      <c r="O637" t="str">
        <f>IF(F637="","",IF(F637=0,100,MIN(100,100*Parametros!$B$3/F637)))</f>
        <v/>
      </c>
      <c r="P637" t="str">
        <f ca="1">IFERROR(((AVERAGEIFS(Observacion_Directa!$E$2:$E$1000,Observacion_Directa!$A$2:$A$1000,$A637,Observacion_Directa!$B$2:$B$1000,"&gt;="&amp;DATEVALUE($B637&amp;"-01"),Observacion_Directa!$B$2:$B$1000,"&lt;="&amp;EOMONTH(DATEVALUE($B637&amp;"-01"),0)))-1)/4*100,"")</f>
        <v/>
      </c>
      <c r="Q637" t="str">
        <f>IF(H637="","",MIN(100,100*H637/Parametros!$B$4))</f>
        <v/>
      </c>
      <c r="R637" t="str">
        <f>IF(I637="","",IF(I637=0,100,MIN(100,100*Parametros!$B$5/I637)))</f>
        <v/>
      </c>
      <c r="S637" t="str">
        <f>IF(J637="","",IF(J637=0,100,MIN(100,100*Parametros!$B$6/J637)))</f>
        <v/>
      </c>
      <c r="T637" t="str">
        <f>IF(L637="","",MIN(100,100*L637/Parametros!$B$7))</f>
        <v/>
      </c>
      <c r="U637" t="str">
        <f>IF(K637="","",MIN(100,100*K637/Parametros!$B$8))</f>
        <v/>
      </c>
      <c r="V637" t="str">
        <f ca="1">IFERROR(((AVERAGEIFS(Documentacion!$C$2:$C$1000,Documentacion!$A$2:$A$1000,$A637,Documentacion!$B$2:$B$1000,"&gt;="&amp;DATEVALUE($B637&amp;"-01"),Documentacion!$B$2:$B$1000,"&lt;="&amp;EOMONTH(DATEVALUE($B637&amp;"-01"),0)))-1)/4*100,"")</f>
        <v/>
      </c>
      <c r="W637" t="str">
        <f ca="1">IFERROR(((AVERAGEIFS(Feedback_360!$D$2:$D$1000,Feedback_360!$A$2:$A$1000,$A637,Feedback_360!$B$2:$B$1000,"&gt;="&amp;DATEVALUE($B637&amp;"-01"),Feedback_360!$B$2:$B$1000,"&lt;="&amp;EOMONTH(DATEVALUE($B637&amp;"-01"),0)))-1)/4*100,"")</f>
        <v/>
      </c>
      <c r="X637" t="str">
        <f ca="1">IFERROR(((AVERAGEIFS(Observacion_Directa!$D$2:$D$1000,Observacion_Directa!$A$2:$A$1000,$A637,Observacion_Directa!$B$2:$B$1000,"&gt;="&amp;DATEVALUE($B637&amp;"-01"),Observacion_Directa!$B$2:$B$1000,"&lt;="&amp;EOMONTH(DATEVALUE($B637&amp;"-01"),0)))-1)/4*100,"")</f>
        <v/>
      </c>
      <c r="Y637" t="e">
        <f t="shared" ca="1" si="19"/>
        <v>#DIV/0!</v>
      </c>
    </row>
    <row r="638" spans="12:25" x14ac:dyDescent="0.2">
      <c r="L638" t="str">
        <f t="shared" si="18"/>
        <v/>
      </c>
      <c r="M638" t="str">
        <f>IFERROR(AVERAGEIFS(Prod_5dias!$H$2:$H$1000,Prod_5dias!$A$2:$A$1000,$A638,Prod_5dias!$B$2:$B$1000,$B638),"")</f>
        <v/>
      </c>
      <c r="N638" t="str">
        <f>IF(M638="","",MIN(100,100*M638/Parametros!$B$7))</f>
        <v/>
      </c>
      <c r="O638" t="str">
        <f>IF(F638="","",IF(F638=0,100,MIN(100,100*Parametros!$B$3/F638)))</f>
        <v/>
      </c>
      <c r="P638" t="str">
        <f ca="1">IFERROR(((AVERAGEIFS(Observacion_Directa!$E$2:$E$1000,Observacion_Directa!$A$2:$A$1000,$A638,Observacion_Directa!$B$2:$B$1000,"&gt;="&amp;DATEVALUE($B638&amp;"-01"),Observacion_Directa!$B$2:$B$1000,"&lt;="&amp;EOMONTH(DATEVALUE($B638&amp;"-01"),0)))-1)/4*100,"")</f>
        <v/>
      </c>
      <c r="Q638" t="str">
        <f>IF(H638="","",MIN(100,100*H638/Parametros!$B$4))</f>
        <v/>
      </c>
      <c r="R638" t="str">
        <f>IF(I638="","",IF(I638=0,100,MIN(100,100*Parametros!$B$5/I638)))</f>
        <v/>
      </c>
      <c r="S638" t="str">
        <f>IF(J638="","",IF(J638=0,100,MIN(100,100*Parametros!$B$6/J638)))</f>
        <v/>
      </c>
      <c r="T638" t="str">
        <f>IF(L638="","",MIN(100,100*L638/Parametros!$B$7))</f>
        <v/>
      </c>
      <c r="U638" t="str">
        <f>IF(K638="","",MIN(100,100*K638/Parametros!$B$8))</f>
        <v/>
      </c>
      <c r="V638" t="str">
        <f ca="1">IFERROR(((AVERAGEIFS(Documentacion!$C$2:$C$1000,Documentacion!$A$2:$A$1000,$A638,Documentacion!$B$2:$B$1000,"&gt;="&amp;DATEVALUE($B638&amp;"-01"),Documentacion!$B$2:$B$1000,"&lt;="&amp;EOMONTH(DATEVALUE($B638&amp;"-01"),0)))-1)/4*100,"")</f>
        <v/>
      </c>
      <c r="W638" t="str">
        <f ca="1">IFERROR(((AVERAGEIFS(Feedback_360!$D$2:$D$1000,Feedback_360!$A$2:$A$1000,$A638,Feedback_360!$B$2:$B$1000,"&gt;="&amp;DATEVALUE($B638&amp;"-01"),Feedback_360!$B$2:$B$1000,"&lt;="&amp;EOMONTH(DATEVALUE($B638&amp;"-01"),0)))-1)/4*100,"")</f>
        <v/>
      </c>
      <c r="X638" t="str">
        <f ca="1">IFERROR(((AVERAGEIFS(Observacion_Directa!$D$2:$D$1000,Observacion_Directa!$A$2:$A$1000,$A638,Observacion_Directa!$B$2:$B$1000,"&gt;="&amp;DATEVALUE($B638&amp;"-01"),Observacion_Directa!$B$2:$B$1000,"&lt;="&amp;EOMONTH(DATEVALUE($B638&amp;"-01"),0)))-1)/4*100,"")</f>
        <v/>
      </c>
      <c r="Y638" t="e">
        <f t="shared" ca="1" si="19"/>
        <v>#DIV/0!</v>
      </c>
    </row>
    <row r="639" spans="12:25" x14ac:dyDescent="0.2">
      <c r="L639" t="str">
        <f t="shared" si="18"/>
        <v/>
      </c>
      <c r="M639" t="str">
        <f>IFERROR(AVERAGEIFS(Prod_5dias!$H$2:$H$1000,Prod_5dias!$A$2:$A$1000,$A639,Prod_5dias!$B$2:$B$1000,$B639),"")</f>
        <v/>
      </c>
      <c r="N639" t="str">
        <f>IF(M639="","",MIN(100,100*M639/Parametros!$B$7))</f>
        <v/>
      </c>
      <c r="O639" t="str">
        <f>IF(F639="","",IF(F639=0,100,MIN(100,100*Parametros!$B$3/F639)))</f>
        <v/>
      </c>
      <c r="P639" t="str">
        <f ca="1">IFERROR(((AVERAGEIFS(Observacion_Directa!$E$2:$E$1000,Observacion_Directa!$A$2:$A$1000,$A639,Observacion_Directa!$B$2:$B$1000,"&gt;="&amp;DATEVALUE($B639&amp;"-01"),Observacion_Directa!$B$2:$B$1000,"&lt;="&amp;EOMONTH(DATEVALUE($B639&amp;"-01"),0)))-1)/4*100,"")</f>
        <v/>
      </c>
      <c r="Q639" t="str">
        <f>IF(H639="","",MIN(100,100*H639/Parametros!$B$4))</f>
        <v/>
      </c>
      <c r="R639" t="str">
        <f>IF(I639="","",IF(I639=0,100,MIN(100,100*Parametros!$B$5/I639)))</f>
        <v/>
      </c>
      <c r="S639" t="str">
        <f>IF(J639="","",IF(J639=0,100,MIN(100,100*Parametros!$B$6/J639)))</f>
        <v/>
      </c>
      <c r="T639" t="str">
        <f>IF(L639="","",MIN(100,100*L639/Parametros!$B$7))</f>
        <v/>
      </c>
      <c r="U639" t="str">
        <f>IF(K639="","",MIN(100,100*K639/Parametros!$B$8))</f>
        <v/>
      </c>
      <c r="V639" t="str">
        <f ca="1">IFERROR(((AVERAGEIFS(Documentacion!$C$2:$C$1000,Documentacion!$A$2:$A$1000,$A639,Documentacion!$B$2:$B$1000,"&gt;="&amp;DATEVALUE($B639&amp;"-01"),Documentacion!$B$2:$B$1000,"&lt;="&amp;EOMONTH(DATEVALUE($B639&amp;"-01"),0)))-1)/4*100,"")</f>
        <v/>
      </c>
      <c r="W639" t="str">
        <f ca="1">IFERROR(((AVERAGEIFS(Feedback_360!$D$2:$D$1000,Feedback_360!$A$2:$A$1000,$A639,Feedback_360!$B$2:$B$1000,"&gt;="&amp;DATEVALUE($B639&amp;"-01"),Feedback_360!$B$2:$B$1000,"&lt;="&amp;EOMONTH(DATEVALUE($B639&amp;"-01"),0)))-1)/4*100,"")</f>
        <v/>
      </c>
      <c r="X639" t="str">
        <f ca="1">IFERROR(((AVERAGEIFS(Observacion_Directa!$D$2:$D$1000,Observacion_Directa!$A$2:$A$1000,$A639,Observacion_Directa!$B$2:$B$1000,"&gt;="&amp;DATEVALUE($B639&amp;"-01"),Observacion_Directa!$B$2:$B$1000,"&lt;="&amp;EOMONTH(DATEVALUE($B639&amp;"-01"),0)))-1)/4*100,"")</f>
        <v/>
      </c>
      <c r="Y639" t="e">
        <f t="shared" ca="1" si="19"/>
        <v>#DIV/0!</v>
      </c>
    </row>
    <row r="640" spans="12:25" x14ac:dyDescent="0.2">
      <c r="L640" t="str">
        <f t="shared" si="18"/>
        <v/>
      </c>
      <c r="M640" t="str">
        <f>IFERROR(AVERAGEIFS(Prod_5dias!$H$2:$H$1000,Prod_5dias!$A$2:$A$1000,$A640,Prod_5dias!$B$2:$B$1000,$B640),"")</f>
        <v/>
      </c>
      <c r="N640" t="str">
        <f>IF(M640="","",MIN(100,100*M640/Parametros!$B$7))</f>
        <v/>
      </c>
      <c r="O640" t="str">
        <f>IF(F640="","",IF(F640=0,100,MIN(100,100*Parametros!$B$3/F640)))</f>
        <v/>
      </c>
      <c r="P640" t="str">
        <f ca="1">IFERROR(((AVERAGEIFS(Observacion_Directa!$E$2:$E$1000,Observacion_Directa!$A$2:$A$1000,$A640,Observacion_Directa!$B$2:$B$1000,"&gt;="&amp;DATEVALUE($B640&amp;"-01"),Observacion_Directa!$B$2:$B$1000,"&lt;="&amp;EOMONTH(DATEVALUE($B640&amp;"-01"),0)))-1)/4*100,"")</f>
        <v/>
      </c>
      <c r="Q640" t="str">
        <f>IF(H640="","",MIN(100,100*H640/Parametros!$B$4))</f>
        <v/>
      </c>
      <c r="R640" t="str">
        <f>IF(I640="","",IF(I640=0,100,MIN(100,100*Parametros!$B$5/I640)))</f>
        <v/>
      </c>
      <c r="S640" t="str">
        <f>IF(J640="","",IF(J640=0,100,MIN(100,100*Parametros!$B$6/J640)))</f>
        <v/>
      </c>
      <c r="T640" t="str">
        <f>IF(L640="","",MIN(100,100*L640/Parametros!$B$7))</f>
        <v/>
      </c>
      <c r="U640" t="str">
        <f>IF(K640="","",MIN(100,100*K640/Parametros!$B$8))</f>
        <v/>
      </c>
      <c r="V640" t="str">
        <f ca="1">IFERROR(((AVERAGEIFS(Documentacion!$C$2:$C$1000,Documentacion!$A$2:$A$1000,$A640,Documentacion!$B$2:$B$1000,"&gt;="&amp;DATEVALUE($B640&amp;"-01"),Documentacion!$B$2:$B$1000,"&lt;="&amp;EOMONTH(DATEVALUE($B640&amp;"-01"),0)))-1)/4*100,"")</f>
        <v/>
      </c>
      <c r="W640" t="str">
        <f ca="1">IFERROR(((AVERAGEIFS(Feedback_360!$D$2:$D$1000,Feedback_360!$A$2:$A$1000,$A640,Feedback_360!$B$2:$B$1000,"&gt;="&amp;DATEVALUE($B640&amp;"-01"),Feedback_360!$B$2:$B$1000,"&lt;="&amp;EOMONTH(DATEVALUE($B640&amp;"-01"),0)))-1)/4*100,"")</f>
        <v/>
      </c>
      <c r="X640" t="str">
        <f ca="1">IFERROR(((AVERAGEIFS(Observacion_Directa!$D$2:$D$1000,Observacion_Directa!$A$2:$A$1000,$A640,Observacion_Directa!$B$2:$B$1000,"&gt;="&amp;DATEVALUE($B640&amp;"-01"),Observacion_Directa!$B$2:$B$1000,"&lt;="&amp;EOMONTH(DATEVALUE($B640&amp;"-01"),0)))-1)/4*100,"")</f>
        <v/>
      </c>
      <c r="Y640" t="e">
        <f t="shared" ca="1" si="19"/>
        <v>#DIV/0!</v>
      </c>
    </row>
    <row r="641" spans="12:25" x14ac:dyDescent="0.2">
      <c r="L641" t="str">
        <f t="shared" si="18"/>
        <v/>
      </c>
      <c r="M641" t="str">
        <f>IFERROR(AVERAGEIFS(Prod_5dias!$H$2:$H$1000,Prod_5dias!$A$2:$A$1000,$A641,Prod_5dias!$B$2:$B$1000,$B641),"")</f>
        <v/>
      </c>
      <c r="N641" t="str">
        <f>IF(M641="","",MIN(100,100*M641/Parametros!$B$7))</f>
        <v/>
      </c>
      <c r="O641" t="str">
        <f>IF(F641="","",IF(F641=0,100,MIN(100,100*Parametros!$B$3/F641)))</f>
        <v/>
      </c>
      <c r="P641" t="str">
        <f ca="1">IFERROR(((AVERAGEIFS(Observacion_Directa!$E$2:$E$1000,Observacion_Directa!$A$2:$A$1000,$A641,Observacion_Directa!$B$2:$B$1000,"&gt;="&amp;DATEVALUE($B641&amp;"-01"),Observacion_Directa!$B$2:$B$1000,"&lt;="&amp;EOMONTH(DATEVALUE($B641&amp;"-01"),0)))-1)/4*100,"")</f>
        <v/>
      </c>
      <c r="Q641" t="str">
        <f>IF(H641="","",MIN(100,100*H641/Parametros!$B$4))</f>
        <v/>
      </c>
      <c r="R641" t="str">
        <f>IF(I641="","",IF(I641=0,100,MIN(100,100*Parametros!$B$5/I641)))</f>
        <v/>
      </c>
      <c r="S641" t="str">
        <f>IF(J641="","",IF(J641=0,100,MIN(100,100*Parametros!$B$6/J641)))</f>
        <v/>
      </c>
      <c r="T641" t="str">
        <f>IF(L641="","",MIN(100,100*L641/Parametros!$B$7))</f>
        <v/>
      </c>
      <c r="U641" t="str">
        <f>IF(K641="","",MIN(100,100*K641/Parametros!$B$8))</f>
        <v/>
      </c>
      <c r="V641" t="str">
        <f ca="1">IFERROR(((AVERAGEIFS(Documentacion!$C$2:$C$1000,Documentacion!$A$2:$A$1000,$A641,Documentacion!$B$2:$B$1000,"&gt;="&amp;DATEVALUE($B641&amp;"-01"),Documentacion!$B$2:$B$1000,"&lt;="&amp;EOMONTH(DATEVALUE($B641&amp;"-01"),0)))-1)/4*100,"")</f>
        <v/>
      </c>
      <c r="W641" t="str">
        <f ca="1">IFERROR(((AVERAGEIFS(Feedback_360!$D$2:$D$1000,Feedback_360!$A$2:$A$1000,$A641,Feedback_360!$B$2:$B$1000,"&gt;="&amp;DATEVALUE($B641&amp;"-01"),Feedback_360!$B$2:$B$1000,"&lt;="&amp;EOMONTH(DATEVALUE($B641&amp;"-01"),0)))-1)/4*100,"")</f>
        <v/>
      </c>
      <c r="X641" t="str">
        <f ca="1">IFERROR(((AVERAGEIFS(Observacion_Directa!$D$2:$D$1000,Observacion_Directa!$A$2:$A$1000,$A641,Observacion_Directa!$B$2:$B$1000,"&gt;="&amp;DATEVALUE($B641&amp;"-01"),Observacion_Directa!$B$2:$B$1000,"&lt;="&amp;EOMONTH(DATEVALUE($B641&amp;"-01"),0)))-1)/4*100,"")</f>
        <v/>
      </c>
      <c r="Y641" t="e">
        <f t="shared" ca="1" si="19"/>
        <v>#DIV/0!</v>
      </c>
    </row>
    <row r="642" spans="12:25" x14ac:dyDescent="0.2">
      <c r="L642" t="str">
        <f t="shared" ref="L642:L705" si="20">IF(OR(C642="",D642=""),"",C642/D642)</f>
        <v/>
      </c>
      <c r="M642" t="str">
        <f>IFERROR(AVERAGEIFS(Prod_5dias!$H$2:$H$1000,Prod_5dias!$A$2:$A$1000,$A642,Prod_5dias!$B$2:$B$1000,$B642),"")</f>
        <v/>
      </c>
      <c r="N642" t="str">
        <f>IF(M642="","",MIN(100,100*M642/Parametros!$B$7))</f>
        <v/>
      </c>
      <c r="O642" t="str">
        <f>IF(F642="","",IF(F642=0,100,MIN(100,100*Parametros!$B$3/F642)))</f>
        <v/>
      </c>
      <c r="P642" t="str">
        <f ca="1">IFERROR(((AVERAGEIFS(Observacion_Directa!$E$2:$E$1000,Observacion_Directa!$A$2:$A$1000,$A642,Observacion_Directa!$B$2:$B$1000,"&gt;="&amp;DATEVALUE($B642&amp;"-01"),Observacion_Directa!$B$2:$B$1000,"&lt;="&amp;EOMONTH(DATEVALUE($B642&amp;"-01"),0)))-1)/4*100,"")</f>
        <v/>
      </c>
      <c r="Q642" t="str">
        <f>IF(H642="","",MIN(100,100*H642/Parametros!$B$4))</f>
        <v/>
      </c>
      <c r="R642" t="str">
        <f>IF(I642="","",IF(I642=0,100,MIN(100,100*Parametros!$B$5/I642)))</f>
        <v/>
      </c>
      <c r="S642" t="str">
        <f>IF(J642="","",IF(J642=0,100,MIN(100,100*Parametros!$B$6/J642)))</f>
        <v/>
      </c>
      <c r="T642" t="str">
        <f>IF(L642="","",MIN(100,100*L642/Parametros!$B$7))</f>
        <v/>
      </c>
      <c r="U642" t="str">
        <f>IF(K642="","",MIN(100,100*K642/Parametros!$B$8))</f>
        <v/>
      </c>
      <c r="V642" t="str">
        <f ca="1">IFERROR(((AVERAGEIFS(Documentacion!$C$2:$C$1000,Documentacion!$A$2:$A$1000,$A642,Documentacion!$B$2:$B$1000,"&gt;="&amp;DATEVALUE($B642&amp;"-01"),Documentacion!$B$2:$B$1000,"&lt;="&amp;EOMONTH(DATEVALUE($B642&amp;"-01"),0)))-1)/4*100,"")</f>
        <v/>
      </c>
      <c r="W642" t="str">
        <f ca="1">IFERROR(((AVERAGEIFS(Feedback_360!$D$2:$D$1000,Feedback_360!$A$2:$A$1000,$A642,Feedback_360!$B$2:$B$1000,"&gt;="&amp;DATEVALUE($B642&amp;"-01"),Feedback_360!$B$2:$B$1000,"&lt;="&amp;EOMONTH(DATEVALUE($B642&amp;"-01"),0)))-1)/4*100,"")</f>
        <v/>
      </c>
      <c r="X642" t="str">
        <f ca="1">IFERROR(((AVERAGEIFS(Observacion_Directa!$D$2:$D$1000,Observacion_Directa!$A$2:$A$1000,$A642,Observacion_Directa!$B$2:$B$1000,"&gt;="&amp;DATEVALUE($B642&amp;"-01"),Observacion_Directa!$B$2:$B$1000,"&lt;="&amp;EOMONTH(DATEVALUE($B642&amp;"-01"),0)))-1)/4*100,"")</f>
        <v/>
      </c>
      <c r="Y642" t="e">
        <f t="shared" ref="Y642:Y705" ca="1" si="21">IF(COUNTA(N642:X642)=0,"",AVERAGE(N642:X642))</f>
        <v>#DIV/0!</v>
      </c>
    </row>
    <row r="643" spans="12:25" x14ac:dyDescent="0.2">
      <c r="L643" t="str">
        <f t="shared" si="20"/>
        <v/>
      </c>
      <c r="M643" t="str">
        <f>IFERROR(AVERAGEIFS(Prod_5dias!$H$2:$H$1000,Prod_5dias!$A$2:$A$1000,$A643,Prod_5dias!$B$2:$B$1000,$B643),"")</f>
        <v/>
      </c>
      <c r="N643" t="str">
        <f>IF(M643="","",MIN(100,100*M643/Parametros!$B$7))</f>
        <v/>
      </c>
      <c r="O643" t="str">
        <f>IF(F643="","",IF(F643=0,100,MIN(100,100*Parametros!$B$3/F643)))</f>
        <v/>
      </c>
      <c r="P643" t="str">
        <f ca="1">IFERROR(((AVERAGEIFS(Observacion_Directa!$E$2:$E$1000,Observacion_Directa!$A$2:$A$1000,$A643,Observacion_Directa!$B$2:$B$1000,"&gt;="&amp;DATEVALUE($B643&amp;"-01"),Observacion_Directa!$B$2:$B$1000,"&lt;="&amp;EOMONTH(DATEVALUE($B643&amp;"-01"),0)))-1)/4*100,"")</f>
        <v/>
      </c>
      <c r="Q643" t="str">
        <f>IF(H643="","",MIN(100,100*H643/Parametros!$B$4))</f>
        <v/>
      </c>
      <c r="R643" t="str">
        <f>IF(I643="","",IF(I643=0,100,MIN(100,100*Parametros!$B$5/I643)))</f>
        <v/>
      </c>
      <c r="S643" t="str">
        <f>IF(J643="","",IF(J643=0,100,MIN(100,100*Parametros!$B$6/J643)))</f>
        <v/>
      </c>
      <c r="T643" t="str">
        <f>IF(L643="","",MIN(100,100*L643/Parametros!$B$7))</f>
        <v/>
      </c>
      <c r="U643" t="str">
        <f>IF(K643="","",MIN(100,100*K643/Parametros!$B$8))</f>
        <v/>
      </c>
      <c r="V643" t="str">
        <f ca="1">IFERROR(((AVERAGEIFS(Documentacion!$C$2:$C$1000,Documentacion!$A$2:$A$1000,$A643,Documentacion!$B$2:$B$1000,"&gt;="&amp;DATEVALUE($B643&amp;"-01"),Documentacion!$B$2:$B$1000,"&lt;="&amp;EOMONTH(DATEVALUE($B643&amp;"-01"),0)))-1)/4*100,"")</f>
        <v/>
      </c>
      <c r="W643" t="str">
        <f ca="1">IFERROR(((AVERAGEIFS(Feedback_360!$D$2:$D$1000,Feedback_360!$A$2:$A$1000,$A643,Feedback_360!$B$2:$B$1000,"&gt;="&amp;DATEVALUE($B643&amp;"-01"),Feedback_360!$B$2:$B$1000,"&lt;="&amp;EOMONTH(DATEVALUE($B643&amp;"-01"),0)))-1)/4*100,"")</f>
        <v/>
      </c>
      <c r="X643" t="str">
        <f ca="1">IFERROR(((AVERAGEIFS(Observacion_Directa!$D$2:$D$1000,Observacion_Directa!$A$2:$A$1000,$A643,Observacion_Directa!$B$2:$B$1000,"&gt;="&amp;DATEVALUE($B643&amp;"-01"),Observacion_Directa!$B$2:$B$1000,"&lt;="&amp;EOMONTH(DATEVALUE($B643&amp;"-01"),0)))-1)/4*100,"")</f>
        <v/>
      </c>
      <c r="Y643" t="e">
        <f t="shared" ca="1" si="21"/>
        <v>#DIV/0!</v>
      </c>
    </row>
    <row r="644" spans="12:25" x14ac:dyDescent="0.2">
      <c r="L644" t="str">
        <f t="shared" si="20"/>
        <v/>
      </c>
      <c r="M644" t="str">
        <f>IFERROR(AVERAGEIFS(Prod_5dias!$H$2:$H$1000,Prod_5dias!$A$2:$A$1000,$A644,Prod_5dias!$B$2:$B$1000,$B644),"")</f>
        <v/>
      </c>
      <c r="N644" t="str">
        <f>IF(M644="","",MIN(100,100*M644/Parametros!$B$7))</f>
        <v/>
      </c>
      <c r="O644" t="str">
        <f>IF(F644="","",IF(F644=0,100,MIN(100,100*Parametros!$B$3/F644)))</f>
        <v/>
      </c>
      <c r="P644" t="str">
        <f ca="1">IFERROR(((AVERAGEIFS(Observacion_Directa!$E$2:$E$1000,Observacion_Directa!$A$2:$A$1000,$A644,Observacion_Directa!$B$2:$B$1000,"&gt;="&amp;DATEVALUE($B644&amp;"-01"),Observacion_Directa!$B$2:$B$1000,"&lt;="&amp;EOMONTH(DATEVALUE($B644&amp;"-01"),0)))-1)/4*100,"")</f>
        <v/>
      </c>
      <c r="Q644" t="str">
        <f>IF(H644="","",MIN(100,100*H644/Parametros!$B$4))</f>
        <v/>
      </c>
      <c r="R644" t="str">
        <f>IF(I644="","",IF(I644=0,100,MIN(100,100*Parametros!$B$5/I644)))</f>
        <v/>
      </c>
      <c r="S644" t="str">
        <f>IF(J644="","",IF(J644=0,100,MIN(100,100*Parametros!$B$6/J644)))</f>
        <v/>
      </c>
      <c r="T644" t="str">
        <f>IF(L644="","",MIN(100,100*L644/Parametros!$B$7))</f>
        <v/>
      </c>
      <c r="U644" t="str">
        <f>IF(K644="","",MIN(100,100*K644/Parametros!$B$8))</f>
        <v/>
      </c>
      <c r="V644" t="str">
        <f ca="1">IFERROR(((AVERAGEIFS(Documentacion!$C$2:$C$1000,Documentacion!$A$2:$A$1000,$A644,Documentacion!$B$2:$B$1000,"&gt;="&amp;DATEVALUE($B644&amp;"-01"),Documentacion!$B$2:$B$1000,"&lt;="&amp;EOMONTH(DATEVALUE($B644&amp;"-01"),0)))-1)/4*100,"")</f>
        <v/>
      </c>
      <c r="W644" t="str">
        <f ca="1">IFERROR(((AVERAGEIFS(Feedback_360!$D$2:$D$1000,Feedback_360!$A$2:$A$1000,$A644,Feedback_360!$B$2:$B$1000,"&gt;="&amp;DATEVALUE($B644&amp;"-01"),Feedback_360!$B$2:$B$1000,"&lt;="&amp;EOMONTH(DATEVALUE($B644&amp;"-01"),0)))-1)/4*100,"")</f>
        <v/>
      </c>
      <c r="X644" t="str">
        <f ca="1">IFERROR(((AVERAGEIFS(Observacion_Directa!$D$2:$D$1000,Observacion_Directa!$A$2:$A$1000,$A644,Observacion_Directa!$B$2:$B$1000,"&gt;="&amp;DATEVALUE($B644&amp;"-01"),Observacion_Directa!$B$2:$B$1000,"&lt;="&amp;EOMONTH(DATEVALUE($B644&amp;"-01"),0)))-1)/4*100,"")</f>
        <v/>
      </c>
      <c r="Y644" t="e">
        <f t="shared" ca="1" si="21"/>
        <v>#DIV/0!</v>
      </c>
    </row>
    <row r="645" spans="12:25" x14ac:dyDescent="0.2">
      <c r="L645" t="str">
        <f t="shared" si="20"/>
        <v/>
      </c>
      <c r="M645" t="str">
        <f>IFERROR(AVERAGEIFS(Prod_5dias!$H$2:$H$1000,Prod_5dias!$A$2:$A$1000,$A645,Prod_5dias!$B$2:$B$1000,$B645),"")</f>
        <v/>
      </c>
      <c r="N645" t="str">
        <f>IF(M645="","",MIN(100,100*M645/Parametros!$B$7))</f>
        <v/>
      </c>
      <c r="O645" t="str">
        <f>IF(F645="","",IF(F645=0,100,MIN(100,100*Parametros!$B$3/F645)))</f>
        <v/>
      </c>
      <c r="P645" t="str">
        <f ca="1">IFERROR(((AVERAGEIFS(Observacion_Directa!$E$2:$E$1000,Observacion_Directa!$A$2:$A$1000,$A645,Observacion_Directa!$B$2:$B$1000,"&gt;="&amp;DATEVALUE($B645&amp;"-01"),Observacion_Directa!$B$2:$B$1000,"&lt;="&amp;EOMONTH(DATEVALUE($B645&amp;"-01"),0)))-1)/4*100,"")</f>
        <v/>
      </c>
      <c r="Q645" t="str">
        <f>IF(H645="","",MIN(100,100*H645/Parametros!$B$4))</f>
        <v/>
      </c>
      <c r="R645" t="str">
        <f>IF(I645="","",IF(I645=0,100,MIN(100,100*Parametros!$B$5/I645)))</f>
        <v/>
      </c>
      <c r="S645" t="str">
        <f>IF(J645="","",IF(J645=0,100,MIN(100,100*Parametros!$B$6/J645)))</f>
        <v/>
      </c>
      <c r="T645" t="str">
        <f>IF(L645="","",MIN(100,100*L645/Parametros!$B$7))</f>
        <v/>
      </c>
      <c r="U645" t="str">
        <f>IF(K645="","",MIN(100,100*K645/Parametros!$B$8))</f>
        <v/>
      </c>
      <c r="V645" t="str">
        <f ca="1">IFERROR(((AVERAGEIFS(Documentacion!$C$2:$C$1000,Documentacion!$A$2:$A$1000,$A645,Documentacion!$B$2:$B$1000,"&gt;="&amp;DATEVALUE($B645&amp;"-01"),Documentacion!$B$2:$B$1000,"&lt;="&amp;EOMONTH(DATEVALUE($B645&amp;"-01"),0)))-1)/4*100,"")</f>
        <v/>
      </c>
      <c r="W645" t="str">
        <f ca="1">IFERROR(((AVERAGEIFS(Feedback_360!$D$2:$D$1000,Feedback_360!$A$2:$A$1000,$A645,Feedback_360!$B$2:$B$1000,"&gt;="&amp;DATEVALUE($B645&amp;"-01"),Feedback_360!$B$2:$B$1000,"&lt;="&amp;EOMONTH(DATEVALUE($B645&amp;"-01"),0)))-1)/4*100,"")</f>
        <v/>
      </c>
      <c r="X645" t="str">
        <f ca="1">IFERROR(((AVERAGEIFS(Observacion_Directa!$D$2:$D$1000,Observacion_Directa!$A$2:$A$1000,$A645,Observacion_Directa!$B$2:$B$1000,"&gt;="&amp;DATEVALUE($B645&amp;"-01"),Observacion_Directa!$B$2:$B$1000,"&lt;="&amp;EOMONTH(DATEVALUE($B645&amp;"-01"),0)))-1)/4*100,"")</f>
        <v/>
      </c>
      <c r="Y645" t="e">
        <f t="shared" ca="1" si="21"/>
        <v>#DIV/0!</v>
      </c>
    </row>
    <row r="646" spans="12:25" x14ac:dyDescent="0.2">
      <c r="L646" t="str">
        <f t="shared" si="20"/>
        <v/>
      </c>
      <c r="M646" t="str">
        <f>IFERROR(AVERAGEIFS(Prod_5dias!$H$2:$H$1000,Prod_5dias!$A$2:$A$1000,$A646,Prod_5dias!$B$2:$B$1000,$B646),"")</f>
        <v/>
      </c>
      <c r="N646" t="str">
        <f>IF(M646="","",MIN(100,100*M646/Parametros!$B$7))</f>
        <v/>
      </c>
      <c r="O646" t="str">
        <f>IF(F646="","",IF(F646=0,100,MIN(100,100*Parametros!$B$3/F646)))</f>
        <v/>
      </c>
      <c r="P646" t="str">
        <f ca="1">IFERROR(((AVERAGEIFS(Observacion_Directa!$E$2:$E$1000,Observacion_Directa!$A$2:$A$1000,$A646,Observacion_Directa!$B$2:$B$1000,"&gt;="&amp;DATEVALUE($B646&amp;"-01"),Observacion_Directa!$B$2:$B$1000,"&lt;="&amp;EOMONTH(DATEVALUE($B646&amp;"-01"),0)))-1)/4*100,"")</f>
        <v/>
      </c>
      <c r="Q646" t="str">
        <f>IF(H646="","",MIN(100,100*H646/Parametros!$B$4))</f>
        <v/>
      </c>
      <c r="R646" t="str">
        <f>IF(I646="","",IF(I646=0,100,MIN(100,100*Parametros!$B$5/I646)))</f>
        <v/>
      </c>
      <c r="S646" t="str">
        <f>IF(J646="","",IF(J646=0,100,MIN(100,100*Parametros!$B$6/J646)))</f>
        <v/>
      </c>
      <c r="T646" t="str">
        <f>IF(L646="","",MIN(100,100*L646/Parametros!$B$7))</f>
        <v/>
      </c>
      <c r="U646" t="str">
        <f>IF(K646="","",MIN(100,100*K646/Parametros!$B$8))</f>
        <v/>
      </c>
      <c r="V646" t="str">
        <f ca="1">IFERROR(((AVERAGEIFS(Documentacion!$C$2:$C$1000,Documentacion!$A$2:$A$1000,$A646,Documentacion!$B$2:$B$1000,"&gt;="&amp;DATEVALUE($B646&amp;"-01"),Documentacion!$B$2:$B$1000,"&lt;="&amp;EOMONTH(DATEVALUE($B646&amp;"-01"),0)))-1)/4*100,"")</f>
        <v/>
      </c>
      <c r="W646" t="str">
        <f ca="1">IFERROR(((AVERAGEIFS(Feedback_360!$D$2:$D$1000,Feedback_360!$A$2:$A$1000,$A646,Feedback_360!$B$2:$B$1000,"&gt;="&amp;DATEVALUE($B646&amp;"-01"),Feedback_360!$B$2:$B$1000,"&lt;="&amp;EOMONTH(DATEVALUE($B646&amp;"-01"),0)))-1)/4*100,"")</f>
        <v/>
      </c>
      <c r="X646" t="str">
        <f ca="1">IFERROR(((AVERAGEIFS(Observacion_Directa!$D$2:$D$1000,Observacion_Directa!$A$2:$A$1000,$A646,Observacion_Directa!$B$2:$B$1000,"&gt;="&amp;DATEVALUE($B646&amp;"-01"),Observacion_Directa!$B$2:$B$1000,"&lt;="&amp;EOMONTH(DATEVALUE($B646&amp;"-01"),0)))-1)/4*100,"")</f>
        <v/>
      </c>
      <c r="Y646" t="e">
        <f t="shared" ca="1" si="21"/>
        <v>#DIV/0!</v>
      </c>
    </row>
    <row r="647" spans="12:25" x14ac:dyDescent="0.2">
      <c r="L647" t="str">
        <f t="shared" si="20"/>
        <v/>
      </c>
      <c r="M647" t="str">
        <f>IFERROR(AVERAGEIFS(Prod_5dias!$H$2:$H$1000,Prod_5dias!$A$2:$A$1000,$A647,Prod_5dias!$B$2:$B$1000,$B647),"")</f>
        <v/>
      </c>
      <c r="N647" t="str">
        <f>IF(M647="","",MIN(100,100*M647/Parametros!$B$7))</f>
        <v/>
      </c>
      <c r="O647" t="str">
        <f>IF(F647="","",IF(F647=0,100,MIN(100,100*Parametros!$B$3/F647)))</f>
        <v/>
      </c>
      <c r="P647" t="str">
        <f ca="1">IFERROR(((AVERAGEIFS(Observacion_Directa!$E$2:$E$1000,Observacion_Directa!$A$2:$A$1000,$A647,Observacion_Directa!$B$2:$B$1000,"&gt;="&amp;DATEVALUE($B647&amp;"-01"),Observacion_Directa!$B$2:$B$1000,"&lt;="&amp;EOMONTH(DATEVALUE($B647&amp;"-01"),0)))-1)/4*100,"")</f>
        <v/>
      </c>
      <c r="Q647" t="str">
        <f>IF(H647="","",MIN(100,100*H647/Parametros!$B$4))</f>
        <v/>
      </c>
      <c r="R647" t="str">
        <f>IF(I647="","",IF(I647=0,100,MIN(100,100*Parametros!$B$5/I647)))</f>
        <v/>
      </c>
      <c r="S647" t="str">
        <f>IF(J647="","",IF(J647=0,100,MIN(100,100*Parametros!$B$6/J647)))</f>
        <v/>
      </c>
      <c r="T647" t="str">
        <f>IF(L647="","",MIN(100,100*L647/Parametros!$B$7))</f>
        <v/>
      </c>
      <c r="U647" t="str">
        <f>IF(K647="","",MIN(100,100*K647/Parametros!$B$8))</f>
        <v/>
      </c>
      <c r="V647" t="str">
        <f ca="1">IFERROR(((AVERAGEIFS(Documentacion!$C$2:$C$1000,Documentacion!$A$2:$A$1000,$A647,Documentacion!$B$2:$B$1000,"&gt;="&amp;DATEVALUE($B647&amp;"-01"),Documentacion!$B$2:$B$1000,"&lt;="&amp;EOMONTH(DATEVALUE($B647&amp;"-01"),0)))-1)/4*100,"")</f>
        <v/>
      </c>
      <c r="W647" t="str">
        <f ca="1">IFERROR(((AVERAGEIFS(Feedback_360!$D$2:$D$1000,Feedback_360!$A$2:$A$1000,$A647,Feedback_360!$B$2:$B$1000,"&gt;="&amp;DATEVALUE($B647&amp;"-01"),Feedback_360!$B$2:$B$1000,"&lt;="&amp;EOMONTH(DATEVALUE($B647&amp;"-01"),0)))-1)/4*100,"")</f>
        <v/>
      </c>
      <c r="X647" t="str">
        <f ca="1">IFERROR(((AVERAGEIFS(Observacion_Directa!$D$2:$D$1000,Observacion_Directa!$A$2:$A$1000,$A647,Observacion_Directa!$B$2:$B$1000,"&gt;="&amp;DATEVALUE($B647&amp;"-01"),Observacion_Directa!$B$2:$B$1000,"&lt;="&amp;EOMONTH(DATEVALUE($B647&amp;"-01"),0)))-1)/4*100,"")</f>
        <v/>
      </c>
      <c r="Y647" t="e">
        <f t="shared" ca="1" si="21"/>
        <v>#DIV/0!</v>
      </c>
    </row>
    <row r="648" spans="12:25" x14ac:dyDescent="0.2">
      <c r="L648" t="str">
        <f t="shared" si="20"/>
        <v/>
      </c>
      <c r="M648" t="str">
        <f>IFERROR(AVERAGEIFS(Prod_5dias!$H$2:$H$1000,Prod_5dias!$A$2:$A$1000,$A648,Prod_5dias!$B$2:$B$1000,$B648),"")</f>
        <v/>
      </c>
      <c r="N648" t="str">
        <f>IF(M648="","",MIN(100,100*M648/Parametros!$B$7))</f>
        <v/>
      </c>
      <c r="O648" t="str">
        <f>IF(F648="","",IF(F648=0,100,MIN(100,100*Parametros!$B$3/F648)))</f>
        <v/>
      </c>
      <c r="P648" t="str">
        <f ca="1">IFERROR(((AVERAGEIFS(Observacion_Directa!$E$2:$E$1000,Observacion_Directa!$A$2:$A$1000,$A648,Observacion_Directa!$B$2:$B$1000,"&gt;="&amp;DATEVALUE($B648&amp;"-01"),Observacion_Directa!$B$2:$B$1000,"&lt;="&amp;EOMONTH(DATEVALUE($B648&amp;"-01"),0)))-1)/4*100,"")</f>
        <v/>
      </c>
      <c r="Q648" t="str">
        <f>IF(H648="","",MIN(100,100*H648/Parametros!$B$4))</f>
        <v/>
      </c>
      <c r="R648" t="str">
        <f>IF(I648="","",IF(I648=0,100,MIN(100,100*Parametros!$B$5/I648)))</f>
        <v/>
      </c>
      <c r="S648" t="str">
        <f>IF(J648="","",IF(J648=0,100,MIN(100,100*Parametros!$B$6/J648)))</f>
        <v/>
      </c>
      <c r="T648" t="str">
        <f>IF(L648="","",MIN(100,100*L648/Parametros!$B$7))</f>
        <v/>
      </c>
      <c r="U648" t="str">
        <f>IF(K648="","",MIN(100,100*K648/Parametros!$B$8))</f>
        <v/>
      </c>
      <c r="V648" t="str">
        <f ca="1">IFERROR(((AVERAGEIFS(Documentacion!$C$2:$C$1000,Documentacion!$A$2:$A$1000,$A648,Documentacion!$B$2:$B$1000,"&gt;="&amp;DATEVALUE($B648&amp;"-01"),Documentacion!$B$2:$B$1000,"&lt;="&amp;EOMONTH(DATEVALUE($B648&amp;"-01"),0)))-1)/4*100,"")</f>
        <v/>
      </c>
      <c r="W648" t="str">
        <f ca="1">IFERROR(((AVERAGEIFS(Feedback_360!$D$2:$D$1000,Feedback_360!$A$2:$A$1000,$A648,Feedback_360!$B$2:$B$1000,"&gt;="&amp;DATEVALUE($B648&amp;"-01"),Feedback_360!$B$2:$B$1000,"&lt;="&amp;EOMONTH(DATEVALUE($B648&amp;"-01"),0)))-1)/4*100,"")</f>
        <v/>
      </c>
      <c r="X648" t="str">
        <f ca="1">IFERROR(((AVERAGEIFS(Observacion_Directa!$D$2:$D$1000,Observacion_Directa!$A$2:$A$1000,$A648,Observacion_Directa!$B$2:$B$1000,"&gt;="&amp;DATEVALUE($B648&amp;"-01"),Observacion_Directa!$B$2:$B$1000,"&lt;="&amp;EOMONTH(DATEVALUE($B648&amp;"-01"),0)))-1)/4*100,"")</f>
        <v/>
      </c>
      <c r="Y648" t="e">
        <f t="shared" ca="1" si="21"/>
        <v>#DIV/0!</v>
      </c>
    </row>
    <row r="649" spans="12:25" x14ac:dyDescent="0.2">
      <c r="L649" t="str">
        <f t="shared" si="20"/>
        <v/>
      </c>
      <c r="M649" t="str">
        <f>IFERROR(AVERAGEIFS(Prod_5dias!$H$2:$H$1000,Prod_5dias!$A$2:$A$1000,$A649,Prod_5dias!$B$2:$B$1000,$B649),"")</f>
        <v/>
      </c>
      <c r="N649" t="str">
        <f>IF(M649="","",MIN(100,100*M649/Parametros!$B$7))</f>
        <v/>
      </c>
      <c r="O649" t="str">
        <f>IF(F649="","",IF(F649=0,100,MIN(100,100*Parametros!$B$3/F649)))</f>
        <v/>
      </c>
      <c r="P649" t="str">
        <f ca="1">IFERROR(((AVERAGEIFS(Observacion_Directa!$E$2:$E$1000,Observacion_Directa!$A$2:$A$1000,$A649,Observacion_Directa!$B$2:$B$1000,"&gt;="&amp;DATEVALUE($B649&amp;"-01"),Observacion_Directa!$B$2:$B$1000,"&lt;="&amp;EOMONTH(DATEVALUE($B649&amp;"-01"),0)))-1)/4*100,"")</f>
        <v/>
      </c>
      <c r="Q649" t="str">
        <f>IF(H649="","",MIN(100,100*H649/Parametros!$B$4))</f>
        <v/>
      </c>
      <c r="R649" t="str">
        <f>IF(I649="","",IF(I649=0,100,MIN(100,100*Parametros!$B$5/I649)))</f>
        <v/>
      </c>
      <c r="S649" t="str">
        <f>IF(J649="","",IF(J649=0,100,MIN(100,100*Parametros!$B$6/J649)))</f>
        <v/>
      </c>
      <c r="T649" t="str">
        <f>IF(L649="","",MIN(100,100*L649/Parametros!$B$7))</f>
        <v/>
      </c>
      <c r="U649" t="str">
        <f>IF(K649="","",MIN(100,100*K649/Parametros!$B$8))</f>
        <v/>
      </c>
      <c r="V649" t="str">
        <f ca="1">IFERROR(((AVERAGEIFS(Documentacion!$C$2:$C$1000,Documentacion!$A$2:$A$1000,$A649,Documentacion!$B$2:$B$1000,"&gt;="&amp;DATEVALUE($B649&amp;"-01"),Documentacion!$B$2:$B$1000,"&lt;="&amp;EOMONTH(DATEVALUE($B649&amp;"-01"),0)))-1)/4*100,"")</f>
        <v/>
      </c>
      <c r="W649" t="str">
        <f ca="1">IFERROR(((AVERAGEIFS(Feedback_360!$D$2:$D$1000,Feedback_360!$A$2:$A$1000,$A649,Feedback_360!$B$2:$B$1000,"&gt;="&amp;DATEVALUE($B649&amp;"-01"),Feedback_360!$B$2:$B$1000,"&lt;="&amp;EOMONTH(DATEVALUE($B649&amp;"-01"),0)))-1)/4*100,"")</f>
        <v/>
      </c>
      <c r="X649" t="str">
        <f ca="1">IFERROR(((AVERAGEIFS(Observacion_Directa!$D$2:$D$1000,Observacion_Directa!$A$2:$A$1000,$A649,Observacion_Directa!$B$2:$B$1000,"&gt;="&amp;DATEVALUE($B649&amp;"-01"),Observacion_Directa!$B$2:$B$1000,"&lt;="&amp;EOMONTH(DATEVALUE($B649&amp;"-01"),0)))-1)/4*100,"")</f>
        <v/>
      </c>
      <c r="Y649" t="e">
        <f t="shared" ca="1" si="21"/>
        <v>#DIV/0!</v>
      </c>
    </row>
    <row r="650" spans="12:25" x14ac:dyDescent="0.2">
      <c r="L650" t="str">
        <f t="shared" si="20"/>
        <v/>
      </c>
      <c r="M650" t="str">
        <f>IFERROR(AVERAGEIFS(Prod_5dias!$H$2:$H$1000,Prod_5dias!$A$2:$A$1000,$A650,Prod_5dias!$B$2:$B$1000,$B650),"")</f>
        <v/>
      </c>
      <c r="N650" t="str">
        <f>IF(M650="","",MIN(100,100*M650/Parametros!$B$7))</f>
        <v/>
      </c>
      <c r="O650" t="str">
        <f>IF(F650="","",IF(F650=0,100,MIN(100,100*Parametros!$B$3/F650)))</f>
        <v/>
      </c>
      <c r="P650" t="str">
        <f ca="1">IFERROR(((AVERAGEIFS(Observacion_Directa!$E$2:$E$1000,Observacion_Directa!$A$2:$A$1000,$A650,Observacion_Directa!$B$2:$B$1000,"&gt;="&amp;DATEVALUE($B650&amp;"-01"),Observacion_Directa!$B$2:$B$1000,"&lt;="&amp;EOMONTH(DATEVALUE($B650&amp;"-01"),0)))-1)/4*100,"")</f>
        <v/>
      </c>
      <c r="Q650" t="str">
        <f>IF(H650="","",MIN(100,100*H650/Parametros!$B$4))</f>
        <v/>
      </c>
      <c r="R650" t="str">
        <f>IF(I650="","",IF(I650=0,100,MIN(100,100*Parametros!$B$5/I650)))</f>
        <v/>
      </c>
      <c r="S650" t="str">
        <f>IF(J650="","",IF(J650=0,100,MIN(100,100*Parametros!$B$6/J650)))</f>
        <v/>
      </c>
      <c r="T650" t="str">
        <f>IF(L650="","",MIN(100,100*L650/Parametros!$B$7))</f>
        <v/>
      </c>
      <c r="U650" t="str">
        <f>IF(K650="","",MIN(100,100*K650/Parametros!$B$8))</f>
        <v/>
      </c>
      <c r="V650" t="str">
        <f ca="1">IFERROR(((AVERAGEIFS(Documentacion!$C$2:$C$1000,Documentacion!$A$2:$A$1000,$A650,Documentacion!$B$2:$B$1000,"&gt;="&amp;DATEVALUE($B650&amp;"-01"),Documentacion!$B$2:$B$1000,"&lt;="&amp;EOMONTH(DATEVALUE($B650&amp;"-01"),0)))-1)/4*100,"")</f>
        <v/>
      </c>
      <c r="W650" t="str">
        <f ca="1">IFERROR(((AVERAGEIFS(Feedback_360!$D$2:$D$1000,Feedback_360!$A$2:$A$1000,$A650,Feedback_360!$B$2:$B$1000,"&gt;="&amp;DATEVALUE($B650&amp;"-01"),Feedback_360!$B$2:$B$1000,"&lt;="&amp;EOMONTH(DATEVALUE($B650&amp;"-01"),0)))-1)/4*100,"")</f>
        <v/>
      </c>
      <c r="X650" t="str">
        <f ca="1">IFERROR(((AVERAGEIFS(Observacion_Directa!$D$2:$D$1000,Observacion_Directa!$A$2:$A$1000,$A650,Observacion_Directa!$B$2:$B$1000,"&gt;="&amp;DATEVALUE($B650&amp;"-01"),Observacion_Directa!$B$2:$B$1000,"&lt;="&amp;EOMONTH(DATEVALUE($B650&amp;"-01"),0)))-1)/4*100,"")</f>
        <v/>
      </c>
      <c r="Y650" t="e">
        <f t="shared" ca="1" si="21"/>
        <v>#DIV/0!</v>
      </c>
    </row>
    <row r="651" spans="12:25" x14ac:dyDescent="0.2">
      <c r="L651" t="str">
        <f t="shared" si="20"/>
        <v/>
      </c>
      <c r="M651" t="str">
        <f>IFERROR(AVERAGEIFS(Prod_5dias!$H$2:$H$1000,Prod_5dias!$A$2:$A$1000,$A651,Prod_5dias!$B$2:$B$1000,$B651),"")</f>
        <v/>
      </c>
      <c r="N651" t="str">
        <f>IF(M651="","",MIN(100,100*M651/Parametros!$B$7))</f>
        <v/>
      </c>
      <c r="O651" t="str">
        <f>IF(F651="","",IF(F651=0,100,MIN(100,100*Parametros!$B$3/F651)))</f>
        <v/>
      </c>
      <c r="P651" t="str">
        <f ca="1">IFERROR(((AVERAGEIFS(Observacion_Directa!$E$2:$E$1000,Observacion_Directa!$A$2:$A$1000,$A651,Observacion_Directa!$B$2:$B$1000,"&gt;="&amp;DATEVALUE($B651&amp;"-01"),Observacion_Directa!$B$2:$B$1000,"&lt;="&amp;EOMONTH(DATEVALUE($B651&amp;"-01"),0)))-1)/4*100,"")</f>
        <v/>
      </c>
      <c r="Q651" t="str">
        <f>IF(H651="","",MIN(100,100*H651/Parametros!$B$4))</f>
        <v/>
      </c>
      <c r="R651" t="str">
        <f>IF(I651="","",IF(I651=0,100,MIN(100,100*Parametros!$B$5/I651)))</f>
        <v/>
      </c>
      <c r="S651" t="str">
        <f>IF(J651="","",IF(J651=0,100,MIN(100,100*Parametros!$B$6/J651)))</f>
        <v/>
      </c>
      <c r="T651" t="str">
        <f>IF(L651="","",MIN(100,100*L651/Parametros!$B$7))</f>
        <v/>
      </c>
      <c r="U651" t="str">
        <f>IF(K651="","",MIN(100,100*K651/Parametros!$B$8))</f>
        <v/>
      </c>
      <c r="V651" t="str">
        <f ca="1">IFERROR(((AVERAGEIFS(Documentacion!$C$2:$C$1000,Documentacion!$A$2:$A$1000,$A651,Documentacion!$B$2:$B$1000,"&gt;="&amp;DATEVALUE($B651&amp;"-01"),Documentacion!$B$2:$B$1000,"&lt;="&amp;EOMONTH(DATEVALUE($B651&amp;"-01"),0)))-1)/4*100,"")</f>
        <v/>
      </c>
      <c r="W651" t="str">
        <f ca="1">IFERROR(((AVERAGEIFS(Feedback_360!$D$2:$D$1000,Feedback_360!$A$2:$A$1000,$A651,Feedback_360!$B$2:$B$1000,"&gt;="&amp;DATEVALUE($B651&amp;"-01"),Feedback_360!$B$2:$B$1000,"&lt;="&amp;EOMONTH(DATEVALUE($B651&amp;"-01"),0)))-1)/4*100,"")</f>
        <v/>
      </c>
      <c r="X651" t="str">
        <f ca="1">IFERROR(((AVERAGEIFS(Observacion_Directa!$D$2:$D$1000,Observacion_Directa!$A$2:$A$1000,$A651,Observacion_Directa!$B$2:$B$1000,"&gt;="&amp;DATEVALUE($B651&amp;"-01"),Observacion_Directa!$B$2:$B$1000,"&lt;="&amp;EOMONTH(DATEVALUE($B651&amp;"-01"),0)))-1)/4*100,"")</f>
        <v/>
      </c>
      <c r="Y651" t="e">
        <f t="shared" ca="1" si="21"/>
        <v>#DIV/0!</v>
      </c>
    </row>
    <row r="652" spans="12:25" x14ac:dyDescent="0.2">
      <c r="L652" t="str">
        <f t="shared" si="20"/>
        <v/>
      </c>
      <c r="M652" t="str">
        <f>IFERROR(AVERAGEIFS(Prod_5dias!$H$2:$H$1000,Prod_5dias!$A$2:$A$1000,$A652,Prod_5dias!$B$2:$B$1000,$B652),"")</f>
        <v/>
      </c>
      <c r="N652" t="str">
        <f>IF(M652="","",MIN(100,100*M652/Parametros!$B$7))</f>
        <v/>
      </c>
      <c r="O652" t="str">
        <f>IF(F652="","",IF(F652=0,100,MIN(100,100*Parametros!$B$3/F652)))</f>
        <v/>
      </c>
      <c r="P652" t="str">
        <f ca="1">IFERROR(((AVERAGEIFS(Observacion_Directa!$E$2:$E$1000,Observacion_Directa!$A$2:$A$1000,$A652,Observacion_Directa!$B$2:$B$1000,"&gt;="&amp;DATEVALUE($B652&amp;"-01"),Observacion_Directa!$B$2:$B$1000,"&lt;="&amp;EOMONTH(DATEVALUE($B652&amp;"-01"),0)))-1)/4*100,"")</f>
        <v/>
      </c>
      <c r="Q652" t="str">
        <f>IF(H652="","",MIN(100,100*H652/Parametros!$B$4))</f>
        <v/>
      </c>
      <c r="R652" t="str">
        <f>IF(I652="","",IF(I652=0,100,MIN(100,100*Parametros!$B$5/I652)))</f>
        <v/>
      </c>
      <c r="S652" t="str">
        <f>IF(J652="","",IF(J652=0,100,MIN(100,100*Parametros!$B$6/J652)))</f>
        <v/>
      </c>
      <c r="T652" t="str">
        <f>IF(L652="","",MIN(100,100*L652/Parametros!$B$7))</f>
        <v/>
      </c>
      <c r="U652" t="str">
        <f>IF(K652="","",MIN(100,100*K652/Parametros!$B$8))</f>
        <v/>
      </c>
      <c r="V652" t="str">
        <f ca="1">IFERROR(((AVERAGEIFS(Documentacion!$C$2:$C$1000,Documentacion!$A$2:$A$1000,$A652,Documentacion!$B$2:$B$1000,"&gt;="&amp;DATEVALUE($B652&amp;"-01"),Documentacion!$B$2:$B$1000,"&lt;="&amp;EOMONTH(DATEVALUE($B652&amp;"-01"),0)))-1)/4*100,"")</f>
        <v/>
      </c>
      <c r="W652" t="str">
        <f ca="1">IFERROR(((AVERAGEIFS(Feedback_360!$D$2:$D$1000,Feedback_360!$A$2:$A$1000,$A652,Feedback_360!$B$2:$B$1000,"&gt;="&amp;DATEVALUE($B652&amp;"-01"),Feedback_360!$B$2:$B$1000,"&lt;="&amp;EOMONTH(DATEVALUE($B652&amp;"-01"),0)))-1)/4*100,"")</f>
        <v/>
      </c>
      <c r="X652" t="str">
        <f ca="1">IFERROR(((AVERAGEIFS(Observacion_Directa!$D$2:$D$1000,Observacion_Directa!$A$2:$A$1000,$A652,Observacion_Directa!$B$2:$B$1000,"&gt;="&amp;DATEVALUE($B652&amp;"-01"),Observacion_Directa!$B$2:$B$1000,"&lt;="&amp;EOMONTH(DATEVALUE($B652&amp;"-01"),0)))-1)/4*100,"")</f>
        <v/>
      </c>
      <c r="Y652" t="e">
        <f t="shared" ca="1" si="21"/>
        <v>#DIV/0!</v>
      </c>
    </row>
    <row r="653" spans="12:25" x14ac:dyDescent="0.2">
      <c r="L653" t="str">
        <f t="shared" si="20"/>
        <v/>
      </c>
      <c r="M653" t="str">
        <f>IFERROR(AVERAGEIFS(Prod_5dias!$H$2:$H$1000,Prod_5dias!$A$2:$A$1000,$A653,Prod_5dias!$B$2:$B$1000,$B653),"")</f>
        <v/>
      </c>
      <c r="N653" t="str">
        <f>IF(M653="","",MIN(100,100*M653/Parametros!$B$7))</f>
        <v/>
      </c>
      <c r="O653" t="str">
        <f>IF(F653="","",IF(F653=0,100,MIN(100,100*Parametros!$B$3/F653)))</f>
        <v/>
      </c>
      <c r="P653" t="str">
        <f ca="1">IFERROR(((AVERAGEIFS(Observacion_Directa!$E$2:$E$1000,Observacion_Directa!$A$2:$A$1000,$A653,Observacion_Directa!$B$2:$B$1000,"&gt;="&amp;DATEVALUE($B653&amp;"-01"),Observacion_Directa!$B$2:$B$1000,"&lt;="&amp;EOMONTH(DATEVALUE($B653&amp;"-01"),0)))-1)/4*100,"")</f>
        <v/>
      </c>
      <c r="Q653" t="str">
        <f>IF(H653="","",MIN(100,100*H653/Parametros!$B$4))</f>
        <v/>
      </c>
      <c r="R653" t="str">
        <f>IF(I653="","",IF(I653=0,100,MIN(100,100*Parametros!$B$5/I653)))</f>
        <v/>
      </c>
      <c r="S653" t="str">
        <f>IF(J653="","",IF(J653=0,100,MIN(100,100*Parametros!$B$6/J653)))</f>
        <v/>
      </c>
      <c r="T653" t="str">
        <f>IF(L653="","",MIN(100,100*L653/Parametros!$B$7))</f>
        <v/>
      </c>
      <c r="U653" t="str">
        <f>IF(K653="","",MIN(100,100*K653/Parametros!$B$8))</f>
        <v/>
      </c>
      <c r="V653" t="str">
        <f ca="1">IFERROR(((AVERAGEIFS(Documentacion!$C$2:$C$1000,Documentacion!$A$2:$A$1000,$A653,Documentacion!$B$2:$B$1000,"&gt;="&amp;DATEVALUE($B653&amp;"-01"),Documentacion!$B$2:$B$1000,"&lt;="&amp;EOMONTH(DATEVALUE($B653&amp;"-01"),0)))-1)/4*100,"")</f>
        <v/>
      </c>
      <c r="W653" t="str">
        <f ca="1">IFERROR(((AVERAGEIFS(Feedback_360!$D$2:$D$1000,Feedback_360!$A$2:$A$1000,$A653,Feedback_360!$B$2:$B$1000,"&gt;="&amp;DATEVALUE($B653&amp;"-01"),Feedback_360!$B$2:$B$1000,"&lt;="&amp;EOMONTH(DATEVALUE($B653&amp;"-01"),0)))-1)/4*100,"")</f>
        <v/>
      </c>
      <c r="X653" t="str">
        <f ca="1">IFERROR(((AVERAGEIFS(Observacion_Directa!$D$2:$D$1000,Observacion_Directa!$A$2:$A$1000,$A653,Observacion_Directa!$B$2:$B$1000,"&gt;="&amp;DATEVALUE($B653&amp;"-01"),Observacion_Directa!$B$2:$B$1000,"&lt;="&amp;EOMONTH(DATEVALUE($B653&amp;"-01"),0)))-1)/4*100,"")</f>
        <v/>
      </c>
      <c r="Y653" t="e">
        <f t="shared" ca="1" si="21"/>
        <v>#DIV/0!</v>
      </c>
    </row>
    <row r="654" spans="12:25" x14ac:dyDescent="0.2">
      <c r="L654" t="str">
        <f t="shared" si="20"/>
        <v/>
      </c>
      <c r="M654" t="str">
        <f>IFERROR(AVERAGEIFS(Prod_5dias!$H$2:$H$1000,Prod_5dias!$A$2:$A$1000,$A654,Prod_5dias!$B$2:$B$1000,$B654),"")</f>
        <v/>
      </c>
      <c r="N654" t="str">
        <f>IF(M654="","",MIN(100,100*M654/Parametros!$B$7))</f>
        <v/>
      </c>
      <c r="O654" t="str">
        <f>IF(F654="","",IF(F654=0,100,MIN(100,100*Parametros!$B$3/F654)))</f>
        <v/>
      </c>
      <c r="P654" t="str">
        <f ca="1">IFERROR(((AVERAGEIFS(Observacion_Directa!$E$2:$E$1000,Observacion_Directa!$A$2:$A$1000,$A654,Observacion_Directa!$B$2:$B$1000,"&gt;="&amp;DATEVALUE($B654&amp;"-01"),Observacion_Directa!$B$2:$B$1000,"&lt;="&amp;EOMONTH(DATEVALUE($B654&amp;"-01"),0)))-1)/4*100,"")</f>
        <v/>
      </c>
      <c r="Q654" t="str">
        <f>IF(H654="","",MIN(100,100*H654/Parametros!$B$4))</f>
        <v/>
      </c>
      <c r="R654" t="str">
        <f>IF(I654="","",IF(I654=0,100,MIN(100,100*Parametros!$B$5/I654)))</f>
        <v/>
      </c>
      <c r="S654" t="str">
        <f>IF(J654="","",IF(J654=0,100,MIN(100,100*Parametros!$B$6/J654)))</f>
        <v/>
      </c>
      <c r="T654" t="str">
        <f>IF(L654="","",MIN(100,100*L654/Parametros!$B$7))</f>
        <v/>
      </c>
      <c r="U654" t="str">
        <f>IF(K654="","",MIN(100,100*K654/Parametros!$B$8))</f>
        <v/>
      </c>
      <c r="V654" t="str">
        <f ca="1">IFERROR(((AVERAGEIFS(Documentacion!$C$2:$C$1000,Documentacion!$A$2:$A$1000,$A654,Documentacion!$B$2:$B$1000,"&gt;="&amp;DATEVALUE($B654&amp;"-01"),Documentacion!$B$2:$B$1000,"&lt;="&amp;EOMONTH(DATEVALUE($B654&amp;"-01"),0)))-1)/4*100,"")</f>
        <v/>
      </c>
      <c r="W654" t="str">
        <f ca="1">IFERROR(((AVERAGEIFS(Feedback_360!$D$2:$D$1000,Feedback_360!$A$2:$A$1000,$A654,Feedback_360!$B$2:$B$1000,"&gt;="&amp;DATEVALUE($B654&amp;"-01"),Feedback_360!$B$2:$B$1000,"&lt;="&amp;EOMONTH(DATEVALUE($B654&amp;"-01"),0)))-1)/4*100,"")</f>
        <v/>
      </c>
      <c r="X654" t="str">
        <f ca="1">IFERROR(((AVERAGEIFS(Observacion_Directa!$D$2:$D$1000,Observacion_Directa!$A$2:$A$1000,$A654,Observacion_Directa!$B$2:$B$1000,"&gt;="&amp;DATEVALUE($B654&amp;"-01"),Observacion_Directa!$B$2:$B$1000,"&lt;="&amp;EOMONTH(DATEVALUE($B654&amp;"-01"),0)))-1)/4*100,"")</f>
        <v/>
      </c>
      <c r="Y654" t="e">
        <f t="shared" ca="1" si="21"/>
        <v>#DIV/0!</v>
      </c>
    </row>
    <row r="655" spans="12:25" x14ac:dyDescent="0.2">
      <c r="L655" t="str">
        <f t="shared" si="20"/>
        <v/>
      </c>
      <c r="M655" t="str">
        <f>IFERROR(AVERAGEIFS(Prod_5dias!$H$2:$H$1000,Prod_5dias!$A$2:$A$1000,$A655,Prod_5dias!$B$2:$B$1000,$B655),"")</f>
        <v/>
      </c>
      <c r="N655" t="str">
        <f>IF(M655="","",MIN(100,100*M655/Parametros!$B$7))</f>
        <v/>
      </c>
      <c r="O655" t="str">
        <f>IF(F655="","",IF(F655=0,100,MIN(100,100*Parametros!$B$3/F655)))</f>
        <v/>
      </c>
      <c r="P655" t="str">
        <f ca="1">IFERROR(((AVERAGEIFS(Observacion_Directa!$E$2:$E$1000,Observacion_Directa!$A$2:$A$1000,$A655,Observacion_Directa!$B$2:$B$1000,"&gt;="&amp;DATEVALUE($B655&amp;"-01"),Observacion_Directa!$B$2:$B$1000,"&lt;="&amp;EOMONTH(DATEVALUE($B655&amp;"-01"),0)))-1)/4*100,"")</f>
        <v/>
      </c>
      <c r="Q655" t="str">
        <f>IF(H655="","",MIN(100,100*H655/Parametros!$B$4))</f>
        <v/>
      </c>
      <c r="R655" t="str">
        <f>IF(I655="","",IF(I655=0,100,MIN(100,100*Parametros!$B$5/I655)))</f>
        <v/>
      </c>
      <c r="S655" t="str">
        <f>IF(J655="","",IF(J655=0,100,MIN(100,100*Parametros!$B$6/J655)))</f>
        <v/>
      </c>
      <c r="T655" t="str">
        <f>IF(L655="","",MIN(100,100*L655/Parametros!$B$7))</f>
        <v/>
      </c>
      <c r="U655" t="str">
        <f>IF(K655="","",MIN(100,100*K655/Parametros!$B$8))</f>
        <v/>
      </c>
      <c r="V655" t="str">
        <f ca="1">IFERROR(((AVERAGEIFS(Documentacion!$C$2:$C$1000,Documentacion!$A$2:$A$1000,$A655,Documentacion!$B$2:$B$1000,"&gt;="&amp;DATEVALUE($B655&amp;"-01"),Documentacion!$B$2:$B$1000,"&lt;="&amp;EOMONTH(DATEVALUE($B655&amp;"-01"),0)))-1)/4*100,"")</f>
        <v/>
      </c>
      <c r="W655" t="str">
        <f ca="1">IFERROR(((AVERAGEIFS(Feedback_360!$D$2:$D$1000,Feedback_360!$A$2:$A$1000,$A655,Feedback_360!$B$2:$B$1000,"&gt;="&amp;DATEVALUE($B655&amp;"-01"),Feedback_360!$B$2:$B$1000,"&lt;="&amp;EOMONTH(DATEVALUE($B655&amp;"-01"),0)))-1)/4*100,"")</f>
        <v/>
      </c>
      <c r="X655" t="str">
        <f ca="1">IFERROR(((AVERAGEIFS(Observacion_Directa!$D$2:$D$1000,Observacion_Directa!$A$2:$A$1000,$A655,Observacion_Directa!$B$2:$B$1000,"&gt;="&amp;DATEVALUE($B655&amp;"-01"),Observacion_Directa!$B$2:$B$1000,"&lt;="&amp;EOMONTH(DATEVALUE($B655&amp;"-01"),0)))-1)/4*100,"")</f>
        <v/>
      </c>
      <c r="Y655" t="e">
        <f t="shared" ca="1" si="21"/>
        <v>#DIV/0!</v>
      </c>
    </row>
    <row r="656" spans="12:25" x14ac:dyDescent="0.2">
      <c r="L656" t="str">
        <f t="shared" si="20"/>
        <v/>
      </c>
      <c r="M656" t="str">
        <f>IFERROR(AVERAGEIFS(Prod_5dias!$H$2:$H$1000,Prod_5dias!$A$2:$A$1000,$A656,Prod_5dias!$B$2:$B$1000,$B656),"")</f>
        <v/>
      </c>
      <c r="N656" t="str">
        <f>IF(M656="","",MIN(100,100*M656/Parametros!$B$7))</f>
        <v/>
      </c>
      <c r="O656" t="str">
        <f>IF(F656="","",IF(F656=0,100,MIN(100,100*Parametros!$B$3/F656)))</f>
        <v/>
      </c>
      <c r="P656" t="str">
        <f ca="1">IFERROR(((AVERAGEIFS(Observacion_Directa!$E$2:$E$1000,Observacion_Directa!$A$2:$A$1000,$A656,Observacion_Directa!$B$2:$B$1000,"&gt;="&amp;DATEVALUE($B656&amp;"-01"),Observacion_Directa!$B$2:$B$1000,"&lt;="&amp;EOMONTH(DATEVALUE($B656&amp;"-01"),0)))-1)/4*100,"")</f>
        <v/>
      </c>
      <c r="Q656" t="str">
        <f>IF(H656="","",MIN(100,100*H656/Parametros!$B$4))</f>
        <v/>
      </c>
      <c r="R656" t="str">
        <f>IF(I656="","",IF(I656=0,100,MIN(100,100*Parametros!$B$5/I656)))</f>
        <v/>
      </c>
      <c r="S656" t="str">
        <f>IF(J656="","",IF(J656=0,100,MIN(100,100*Parametros!$B$6/J656)))</f>
        <v/>
      </c>
      <c r="T656" t="str">
        <f>IF(L656="","",MIN(100,100*L656/Parametros!$B$7))</f>
        <v/>
      </c>
      <c r="U656" t="str">
        <f>IF(K656="","",MIN(100,100*K656/Parametros!$B$8))</f>
        <v/>
      </c>
      <c r="V656" t="str">
        <f ca="1">IFERROR(((AVERAGEIFS(Documentacion!$C$2:$C$1000,Documentacion!$A$2:$A$1000,$A656,Documentacion!$B$2:$B$1000,"&gt;="&amp;DATEVALUE($B656&amp;"-01"),Documentacion!$B$2:$B$1000,"&lt;="&amp;EOMONTH(DATEVALUE($B656&amp;"-01"),0)))-1)/4*100,"")</f>
        <v/>
      </c>
      <c r="W656" t="str">
        <f ca="1">IFERROR(((AVERAGEIFS(Feedback_360!$D$2:$D$1000,Feedback_360!$A$2:$A$1000,$A656,Feedback_360!$B$2:$B$1000,"&gt;="&amp;DATEVALUE($B656&amp;"-01"),Feedback_360!$B$2:$B$1000,"&lt;="&amp;EOMONTH(DATEVALUE($B656&amp;"-01"),0)))-1)/4*100,"")</f>
        <v/>
      </c>
      <c r="X656" t="str">
        <f ca="1">IFERROR(((AVERAGEIFS(Observacion_Directa!$D$2:$D$1000,Observacion_Directa!$A$2:$A$1000,$A656,Observacion_Directa!$B$2:$B$1000,"&gt;="&amp;DATEVALUE($B656&amp;"-01"),Observacion_Directa!$B$2:$B$1000,"&lt;="&amp;EOMONTH(DATEVALUE($B656&amp;"-01"),0)))-1)/4*100,"")</f>
        <v/>
      </c>
      <c r="Y656" t="e">
        <f t="shared" ca="1" si="21"/>
        <v>#DIV/0!</v>
      </c>
    </row>
    <row r="657" spans="12:25" x14ac:dyDescent="0.2">
      <c r="L657" t="str">
        <f t="shared" si="20"/>
        <v/>
      </c>
      <c r="M657" t="str">
        <f>IFERROR(AVERAGEIFS(Prod_5dias!$H$2:$H$1000,Prod_5dias!$A$2:$A$1000,$A657,Prod_5dias!$B$2:$B$1000,$B657),"")</f>
        <v/>
      </c>
      <c r="N657" t="str">
        <f>IF(M657="","",MIN(100,100*M657/Parametros!$B$7))</f>
        <v/>
      </c>
      <c r="O657" t="str">
        <f>IF(F657="","",IF(F657=0,100,MIN(100,100*Parametros!$B$3/F657)))</f>
        <v/>
      </c>
      <c r="P657" t="str">
        <f ca="1">IFERROR(((AVERAGEIFS(Observacion_Directa!$E$2:$E$1000,Observacion_Directa!$A$2:$A$1000,$A657,Observacion_Directa!$B$2:$B$1000,"&gt;="&amp;DATEVALUE($B657&amp;"-01"),Observacion_Directa!$B$2:$B$1000,"&lt;="&amp;EOMONTH(DATEVALUE($B657&amp;"-01"),0)))-1)/4*100,"")</f>
        <v/>
      </c>
      <c r="Q657" t="str">
        <f>IF(H657="","",MIN(100,100*H657/Parametros!$B$4))</f>
        <v/>
      </c>
      <c r="R657" t="str">
        <f>IF(I657="","",IF(I657=0,100,MIN(100,100*Parametros!$B$5/I657)))</f>
        <v/>
      </c>
      <c r="S657" t="str">
        <f>IF(J657="","",IF(J657=0,100,MIN(100,100*Parametros!$B$6/J657)))</f>
        <v/>
      </c>
      <c r="T657" t="str">
        <f>IF(L657="","",MIN(100,100*L657/Parametros!$B$7))</f>
        <v/>
      </c>
      <c r="U657" t="str">
        <f>IF(K657="","",MIN(100,100*K657/Parametros!$B$8))</f>
        <v/>
      </c>
      <c r="V657" t="str">
        <f ca="1">IFERROR(((AVERAGEIFS(Documentacion!$C$2:$C$1000,Documentacion!$A$2:$A$1000,$A657,Documentacion!$B$2:$B$1000,"&gt;="&amp;DATEVALUE($B657&amp;"-01"),Documentacion!$B$2:$B$1000,"&lt;="&amp;EOMONTH(DATEVALUE($B657&amp;"-01"),0)))-1)/4*100,"")</f>
        <v/>
      </c>
      <c r="W657" t="str">
        <f ca="1">IFERROR(((AVERAGEIFS(Feedback_360!$D$2:$D$1000,Feedback_360!$A$2:$A$1000,$A657,Feedback_360!$B$2:$B$1000,"&gt;="&amp;DATEVALUE($B657&amp;"-01"),Feedback_360!$B$2:$B$1000,"&lt;="&amp;EOMONTH(DATEVALUE($B657&amp;"-01"),0)))-1)/4*100,"")</f>
        <v/>
      </c>
      <c r="X657" t="str">
        <f ca="1">IFERROR(((AVERAGEIFS(Observacion_Directa!$D$2:$D$1000,Observacion_Directa!$A$2:$A$1000,$A657,Observacion_Directa!$B$2:$B$1000,"&gt;="&amp;DATEVALUE($B657&amp;"-01"),Observacion_Directa!$B$2:$B$1000,"&lt;="&amp;EOMONTH(DATEVALUE($B657&amp;"-01"),0)))-1)/4*100,"")</f>
        <v/>
      </c>
      <c r="Y657" t="e">
        <f t="shared" ca="1" si="21"/>
        <v>#DIV/0!</v>
      </c>
    </row>
    <row r="658" spans="12:25" x14ac:dyDescent="0.2">
      <c r="L658" t="str">
        <f t="shared" si="20"/>
        <v/>
      </c>
      <c r="M658" t="str">
        <f>IFERROR(AVERAGEIFS(Prod_5dias!$H$2:$H$1000,Prod_5dias!$A$2:$A$1000,$A658,Prod_5dias!$B$2:$B$1000,$B658),"")</f>
        <v/>
      </c>
      <c r="N658" t="str">
        <f>IF(M658="","",MIN(100,100*M658/Parametros!$B$7))</f>
        <v/>
      </c>
      <c r="O658" t="str">
        <f>IF(F658="","",IF(F658=0,100,MIN(100,100*Parametros!$B$3/F658)))</f>
        <v/>
      </c>
      <c r="P658" t="str">
        <f ca="1">IFERROR(((AVERAGEIFS(Observacion_Directa!$E$2:$E$1000,Observacion_Directa!$A$2:$A$1000,$A658,Observacion_Directa!$B$2:$B$1000,"&gt;="&amp;DATEVALUE($B658&amp;"-01"),Observacion_Directa!$B$2:$B$1000,"&lt;="&amp;EOMONTH(DATEVALUE($B658&amp;"-01"),0)))-1)/4*100,"")</f>
        <v/>
      </c>
      <c r="Q658" t="str">
        <f>IF(H658="","",MIN(100,100*H658/Parametros!$B$4))</f>
        <v/>
      </c>
      <c r="R658" t="str">
        <f>IF(I658="","",IF(I658=0,100,MIN(100,100*Parametros!$B$5/I658)))</f>
        <v/>
      </c>
      <c r="S658" t="str">
        <f>IF(J658="","",IF(J658=0,100,MIN(100,100*Parametros!$B$6/J658)))</f>
        <v/>
      </c>
      <c r="T658" t="str">
        <f>IF(L658="","",MIN(100,100*L658/Parametros!$B$7))</f>
        <v/>
      </c>
      <c r="U658" t="str">
        <f>IF(K658="","",MIN(100,100*K658/Parametros!$B$8))</f>
        <v/>
      </c>
      <c r="V658" t="str">
        <f ca="1">IFERROR(((AVERAGEIFS(Documentacion!$C$2:$C$1000,Documentacion!$A$2:$A$1000,$A658,Documentacion!$B$2:$B$1000,"&gt;="&amp;DATEVALUE($B658&amp;"-01"),Documentacion!$B$2:$B$1000,"&lt;="&amp;EOMONTH(DATEVALUE($B658&amp;"-01"),0)))-1)/4*100,"")</f>
        <v/>
      </c>
      <c r="W658" t="str">
        <f ca="1">IFERROR(((AVERAGEIFS(Feedback_360!$D$2:$D$1000,Feedback_360!$A$2:$A$1000,$A658,Feedback_360!$B$2:$B$1000,"&gt;="&amp;DATEVALUE($B658&amp;"-01"),Feedback_360!$B$2:$B$1000,"&lt;="&amp;EOMONTH(DATEVALUE($B658&amp;"-01"),0)))-1)/4*100,"")</f>
        <v/>
      </c>
      <c r="X658" t="str">
        <f ca="1">IFERROR(((AVERAGEIFS(Observacion_Directa!$D$2:$D$1000,Observacion_Directa!$A$2:$A$1000,$A658,Observacion_Directa!$B$2:$B$1000,"&gt;="&amp;DATEVALUE($B658&amp;"-01"),Observacion_Directa!$B$2:$B$1000,"&lt;="&amp;EOMONTH(DATEVALUE($B658&amp;"-01"),0)))-1)/4*100,"")</f>
        <v/>
      </c>
      <c r="Y658" t="e">
        <f t="shared" ca="1" si="21"/>
        <v>#DIV/0!</v>
      </c>
    </row>
    <row r="659" spans="12:25" x14ac:dyDescent="0.2">
      <c r="L659" t="str">
        <f t="shared" si="20"/>
        <v/>
      </c>
      <c r="M659" t="str">
        <f>IFERROR(AVERAGEIFS(Prod_5dias!$H$2:$H$1000,Prod_5dias!$A$2:$A$1000,$A659,Prod_5dias!$B$2:$B$1000,$B659),"")</f>
        <v/>
      </c>
      <c r="N659" t="str">
        <f>IF(M659="","",MIN(100,100*M659/Parametros!$B$7))</f>
        <v/>
      </c>
      <c r="O659" t="str">
        <f>IF(F659="","",IF(F659=0,100,MIN(100,100*Parametros!$B$3/F659)))</f>
        <v/>
      </c>
      <c r="P659" t="str">
        <f ca="1">IFERROR(((AVERAGEIFS(Observacion_Directa!$E$2:$E$1000,Observacion_Directa!$A$2:$A$1000,$A659,Observacion_Directa!$B$2:$B$1000,"&gt;="&amp;DATEVALUE($B659&amp;"-01"),Observacion_Directa!$B$2:$B$1000,"&lt;="&amp;EOMONTH(DATEVALUE($B659&amp;"-01"),0)))-1)/4*100,"")</f>
        <v/>
      </c>
      <c r="Q659" t="str">
        <f>IF(H659="","",MIN(100,100*H659/Parametros!$B$4))</f>
        <v/>
      </c>
      <c r="R659" t="str">
        <f>IF(I659="","",IF(I659=0,100,MIN(100,100*Parametros!$B$5/I659)))</f>
        <v/>
      </c>
      <c r="S659" t="str">
        <f>IF(J659="","",IF(J659=0,100,MIN(100,100*Parametros!$B$6/J659)))</f>
        <v/>
      </c>
      <c r="T659" t="str">
        <f>IF(L659="","",MIN(100,100*L659/Parametros!$B$7))</f>
        <v/>
      </c>
      <c r="U659" t="str">
        <f>IF(K659="","",MIN(100,100*K659/Parametros!$B$8))</f>
        <v/>
      </c>
      <c r="V659" t="str">
        <f ca="1">IFERROR(((AVERAGEIFS(Documentacion!$C$2:$C$1000,Documentacion!$A$2:$A$1000,$A659,Documentacion!$B$2:$B$1000,"&gt;="&amp;DATEVALUE($B659&amp;"-01"),Documentacion!$B$2:$B$1000,"&lt;="&amp;EOMONTH(DATEVALUE($B659&amp;"-01"),0)))-1)/4*100,"")</f>
        <v/>
      </c>
      <c r="W659" t="str">
        <f ca="1">IFERROR(((AVERAGEIFS(Feedback_360!$D$2:$D$1000,Feedback_360!$A$2:$A$1000,$A659,Feedback_360!$B$2:$B$1000,"&gt;="&amp;DATEVALUE($B659&amp;"-01"),Feedback_360!$B$2:$B$1000,"&lt;="&amp;EOMONTH(DATEVALUE($B659&amp;"-01"),0)))-1)/4*100,"")</f>
        <v/>
      </c>
      <c r="X659" t="str">
        <f ca="1">IFERROR(((AVERAGEIFS(Observacion_Directa!$D$2:$D$1000,Observacion_Directa!$A$2:$A$1000,$A659,Observacion_Directa!$B$2:$B$1000,"&gt;="&amp;DATEVALUE($B659&amp;"-01"),Observacion_Directa!$B$2:$B$1000,"&lt;="&amp;EOMONTH(DATEVALUE($B659&amp;"-01"),0)))-1)/4*100,"")</f>
        <v/>
      </c>
      <c r="Y659" t="e">
        <f t="shared" ca="1" si="21"/>
        <v>#DIV/0!</v>
      </c>
    </row>
    <row r="660" spans="12:25" x14ac:dyDescent="0.2">
      <c r="L660" t="str">
        <f t="shared" si="20"/>
        <v/>
      </c>
      <c r="M660" t="str">
        <f>IFERROR(AVERAGEIFS(Prod_5dias!$H$2:$H$1000,Prod_5dias!$A$2:$A$1000,$A660,Prod_5dias!$B$2:$B$1000,$B660),"")</f>
        <v/>
      </c>
      <c r="N660" t="str">
        <f>IF(M660="","",MIN(100,100*M660/Parametros!$B$7))</f>
        <v/>
      </c>
      <c r="O660" t="str">
        <f>IF(F660="","",IF(F660=0,100,MIN(100,100*Parametros!$B$3/F660)))</f>
        <v/>
      </c>
      <c r="P660" t="str">
        <f ca="1">IFERROR(((AVERAGEIFS(Observacion_Directa!$E$2:$E$1000,Observacion_Directa!$A$2:$A$1000,$A660,Observacion_Directa!$B$2:$B$1000,"&gt;="&amp;DATEVALUE($B660&amp;"-01"),Observacion_Directa!$B$2:$B$1000,"&lt;="&amp;EOMONTH(DATEVALUE($B660&amp;"-01"),0)))-1)/4*100,"")</f>
        <v/>
      </c>
      <c r="Q660" t="str">
        <f>IF(H660="","",MIN(100,100*H660/Parametros!$B$4))</f>
        <v/>
      </c>
      <c r="R660" t="str">
        <f>IF(I660="","",IF(I660=0,100,MIN(100,100*Parametros!$B$5/I660)))</f>
        <v/>
      </c>
      <c r="S660" t="str">
        <f>IF(J660="","",IF(J660=0,100,MIN(100,100*Parametros!$B$6/J660)))</f>
        <v/>
      </c>
      <c r="T660" t="str">
        <f>IF(L660="","",MIN(100,100*L660/Parametros!$B$7))</f>
        <v/>
      </c>
      <c r="U660" t="str">
        <f>IF(K660="","",MIN(100,100*K660/Parametros!$B$8))</f>
        <v/>
      </c>
      <c r="V660" t="str">
        <f ca="1">IFERROR(((AVERAGEIFS(Documentacion!$C$2:$C$1000,Documentacion!$A$2:$A$1000,$A660,Documentacion!$B$2:$B$1000,"&gt;="&amp;DATEVALUE($B660&amp;"-01"),Documentacion!$B$2:$B$1000,"&lt;="&amp;EOMONTH(DATEVALUE($B660&amp;"-01"),0)))-1)/4*100,"")</f>
        <v/>
      </c>
      <c r="W660" t="str">
        <f ca="1">IFERROR(((AVERAGEIFS(Feedback_360!$D$2:$D$1000,Feedback_360!$A$2:$A$1000,$A660,Feedback_360!$B$2:$B$1000,"&gt;="&amp;DATEVALUE($B660&amp;"-01"),Feedback_360!$B$2:$B$1000,"&lt;="&amp;EOMONTH(DATEVALUE($B660&amp;"-01"),0)))-1)/4*100,"")</f>
        <v/>
      </c>
      <c r="X660" t="str">
        <f ca="1">IFERROR(((AVERAGEIFS(Observacion_Directa!$D$2:$D$1000,Observacion_Directa!$A$2:$A$1000,$A660,Observacion_Directa!$B$2:$B$1000,"&gt;="&amp;DATEVALUE($B660&amp;"-01"),Observacion_Directa!$B$2:$B$1000,"&lt;="&amp;EOMONTH(DATEVALUE($B660&amp;"-01"),0)))-1)/4*100,"")</f>
        <v/>
      </c>
      <c r="Y660" t="e">
        <f t="shared" ca="1" si="21"/>
        <v>#DIV/0!</v>
      </c>
    </row>
    <row r="661" spans="12:25" x14ac:dyDescent="0.2">
      <c r="L661" t="str">
        <f t="shared" si="20"/>
        <v/>
      </c>
      <c r="M661" t="str">
        <f>IFERROR(AVERAGEIFS(Prod_5dias!$H$2:$H$1000,Prod_5dias!$A$2:$A$1000,$A661,Prod_5dias!$B$2:$B$1000,$B661),"")</f>
        <v/>
      </c>
      <c r="N661" t="str">
        <f>IF(M661="","",MIN(100,100*M661/Parametros!$B$7))</f>
        <v/>
      </c>
      <c r="O661" t="str">
        <f>IF(F661="","",IF(F661=0,100,MIN(100,100*Parametros!$B$3/F661)))</f>
        <v/>
      </c>
      <c r="P661" t="str">
        <f ca="1">IFERROR(((AVERAGEIFS(Observacion_Directa!$E$2:$E$1000,Observacion_Directa!$A$2:$A$1000,$A661,Observacion_Directa!$B$2:$B$1000,"&gt;="&amp;DATEVALUE($B661&amp;"-01"),Observacion_Directa!$B$2:$B$1000,"&lt;="&amp;EOMONTH(DATEVALUE($B661&amp;"-01"),0)))-1)/4*100,"")</f>
        <v/>
      </c>
      <c r="Q661" t="str">
        <f>IF(H661="","",MIN(100,100*H661/Parametros!$B$4))</f>
        <v/>
      </c>
      <c r="R661" t="str">
        <f>IF(I661="","",IF(I661=0,100,MIN(100,100*Parametros!$B$5/I661)))</f>
        <v/>
      </c>
      <c r="S661" t="str">
        <f>IF(J661="","",IF(J661=0,100,MIN(100,100*Parametros!$B$6/J661)))</f>
        <v/>
      </c>
      <c r="T661" t="str">
        <f>IF(L661="","",MIN(100,100*L661/Parametros!$B$7))</f>
        <v/>
      </c>
      <c r="U661" t="str">
        <f>IF(K661="","",MIN(100,100*K661/Parametros!$B$8))</f>
        <v/>
      </c>
      <c r="V661" t="str">
        <f ca="1">IFERROR(((AVERAGEIFS(Documentacion!$C$2:$C$1000,Documentacion!$A$2:$A$1000,$A661,Documentacion!$B$2:$B$1000,"&gt;="&amp;DATEVALUE($B661&amp;"-01"),Documentacion!$B$2:$B$1000,"&lt;="&amp;EOMONTH(DATEVALUE($B661&amp;"-01"),0)))-1)/4*100,"")</f>
        <v/>
      </c>
      <c r="W661" t="str">
        <f ca="1">IFERROR(((AVERAGEIFS(Feedback_360!$D$2:$D$1000,Feedback_360!$A$2:$A$1000,$A661,Feedback_360!$B$2:$B$1000,"&gt;="&amp;DATEVALUE($B661&amp;"-01"),Feedback_360!$B$2:$B$1000,"&lt;="&amp;EOMONTH(DATEVALUE($B661&amp;"-01"),0)))-1)/4*100,"")</f>
        <v/>
      </c>
      <c r="X661" t="str">
        <f ca="1">IFERROR(((AVERAGEIFS(Observacion_Directa!$D$2:$D$1000,Observacion_Directa!$A$2:$A$1000,$A661,Observacion_Directa!$B$2:$B$1000,"&gt;="&amp;DATEVALUE($B661&amp;"-01"),Observacion_Directa!$B$2:$B$1000,"&lt;="&amp;EOMONTH(DATEVALUE($B661&amp;"-01"),0)))-1)/4*100,"")</f>
        <v/>
      </c>
      <c r="Y661" t="e">
        <f t="shared" ca="1" si="21"/>
        <v>#DIV/0!</v>
      </c>
    </row>
    <row r="662" spans="12:25" x14ac:dyDescent="0.2">
      <c r="L662" t="str">
        <f t="shared" si="20"/>
        <v/>
      </c>
      <c r="M662" t="str">
        <f>IFERROR(AVERAGEIFS(Prod_5dias!$H$2:$H$1000,Prod_5dias!$A$2:$A$1000,$A662,Prod_5dias!$B$2:$B$1000,$B662),"")</f>
        <v/>
      </c>
      <c r="N662" t="str">
        <f>IF(M662="","",MIN(100,100*M662/Parametros!$B$7))</f>
        <v/>
      </c>
      <c r="O662" t="str">
        <f>IF(F662="","",IF(F662=0,100,MIN(100,100*Parametros!$B$3/F662)))</f>
        <v/>
      </c>
      <c r="P662" t="str">
        <f ca="1">IFERROR(((AVERAGEIFS(Observacion_Directa!$E$2:$E$1000,Observacion_Directa!$A$2:$A$1000,$A662,Observacion_Directa!$B$2:$B$1000,"&gt;="&amp;DATEVALUE($B662&amp;"-01"),Observacion_Directa!$B$2:$B$1000,"&lt;="&amp;EOMONTH(DATEVALUE($B662&amp;"-01"),0)))-1)/4*100,"")</f>
        <v/>
      </c>
      <c r="Q662" t="str">
        <f>IF(H662="","",MIN(100,100*H662/Parametros!$B$4))</f>
        <v/>
      </c>
      <c r="R662" t="str">
        <f>IF(I662="","",IF(I662=0,100,MIN(100,100*Parametros!$B$5/I662)))</f>
        <v/>
      </c>
      <c r="S662" t="str">
        <f>IF(J662="","",IF(J662=0,100,MIN(100,100*Parametros!$B$6/J662)))</f>
        <v/>
      </c>
      <c r="T662" t="str">
        <f>IF(L662="","",MIN(100,100*L662/Parametros!$B$7))</f>
        <v/>
      </c>
      <c r="U662" t="str">
        <f>IF(K662="","",MIN(100,100*K662/Parametros!$B$8))</f>
        <v/>
      </c>
      <c r="V662" t="str">
        <f ca="1">IFERROR(((AVERAGEIFS(Documentacion!$C$2:$C$1000,Documentacion!$A$2:$A$1000,$A662,Documentacion!$B$2:$B$1000,"&gt;="&amp;DATEVALUE($B662&amp;"-01"),Documentacion!$B$2:$B$1000,"&lt;="&amp;EOMONTH(DATEVALUE($B662&amp;"-01"),0)))-1)/4*100,"")</f>
        <v/>
      </c>
      <c r="W662" t="str">
        <f ca="1">IFERROR(((AVERAGEIFS(Feedback_360!$D$2:$D$1000,Feedback_360!$A$2:$A$1000,$A662,Feedback_360!$B$2:$B$1000,"&gt;="&amp;DATEVALUE($B662&amp;"-01"),Feedback_360!$B$2:$B$1000,"&lt;="&amp;EOMONTH(DATEVALUE($B662&amp;"-01"),0)))-1)/4*100,"")</f>
        <v/>
      </c>
      <c r="X662" t="str">
        <f ca="1">IFERROR(((AVERAGEIFS(Observacion_Directa!$D$2:$D$1000,Observacion_Directa!$A$2:$A$1000,$A662,Observacion_Directa!$B$2:$B$1000,"&gt;="&amp;DATEVALUE($B662&amp;"-01"),Observacion_Directa!$B$2:$B$1000,"&lt;="&amp;EOMONTH(DATEVALUE($B662&amp;"-01"),0)))-1)/4*100,"")</f>
        <v/>
      </c>
      <c r="Y662" t="e">
        <f t="shared" ca="1" si="21"/>
        <v>#DIV/0!</v>
      </c>
    </row>
    <row r="663" spans="12:25" x14ac:dyDescent="0.2">
      <c r="L663" t="str">
        <f t="shared" si="20"/>
        <v/>
      </c>
      <c r="M663" t="str">
        <f>IFERROR(AVERAGEIFS(Prod_5dias!$H$2:$H$1000,Prod_5dias!$A$2:$A$1000,$A663,Prod_5dias!$B$2:$B$1000,$B663),"")</f>
        <v/>
      </c>
      <c r="N663" t="str">
        <f>IF(M663="","",MIN(100,100*M663/Parametros!$B$7))</f>
        <v/>
      </c>
      <c r="O663" t="str">
        <f>IF(F663="","",IF(F663=0,100,MIN(100,100*Parametros!$B$3/F663)))</f>
        <v/>
      </c>
      <c r="P663" t="str">
        <f ca="1">IFERROR(((AVERAGEIFS(Observacion_Directa!$E$2:$E$1000,Observacion_Directa!$A$2:$A$1000,$A663,Observacion_Directa!$B$2:$B$1000,"&gt;="&amp;DATEVALUE($B663&amp;"-01"),Observacion_Directa!$B$2:$B$1000,"&lt;="&amp;EOMONTH(DATEVALUE($B663&amp;"-01"),0)))-1)/4*100,"")</f>
        <v/>
      </c>
      <c r="Q663" t="str">
        <f>IF(H663="","",MIN(100,100*H663/Parametros!$B$4))</f>
        <v/>
      </c>
      <c r="R663" t="str">
        <f>IF(I663="","",IF(I663=0,100,MIN(100,100*Parametros!$B$5/I663)))</f>
        <v/>
      </c>
      <c r="S663" t="str">
        <f>IF(J663="","",IF(J663=0,100,MIN(100,100*Parametros!$B$6/J663)))</f>
        <v/>
      </c>
      <c r="T663" t="str">
        <f>IF(L663="","",MIN(100,100*L663/Parametros!$B$7))</f>
        <v/>
      </c>
      <c r="U663" t="str">
        <f>IF(K663="","",MIN(100,100*K663/Parametros!$B$8))</f>
        <v/>
      </c>
      <c r="V663" t="str">
        <f ca="1">IFERROR(((AVERAGEIFS(Documentacion!$C$2:$C$1000,Documentacion!$A$2:$A$1000,$A663,Documentacion!$B$2:$B$1000,"&gt;="&amp;DATEVALUE($B663&amp;"-01"),Documentacion!$B$2:$B$1000,"&lt;="&amp;EOMONTH(DATEVALUE($B663&amp;"-01"),0)))-1)/4*100,"")</f>
        <v/>
      </c>
      <c r="W663" t="str">
        <f ca="1">IFERROR(((AVERAGEIFS(Feedback_360!$D$2:$D$1000,Feedback_360!$A$2:$A$1000,$A663,Feedback_360!$B$2:$B$1000,"&gt;="&amp;DATEVALUE($B663&amp;"-01"),Feedback_360!$B$2:$B$1000,"&lt;="&amp;EOMONTH(DATEVALUE($B663&amp;"-01"),0)))-1)/4*100,"")</f>
        <v/>
      </c>
      <c r="X663" t="str">
        <f ca="1">IFERROR(((AVERAGEIFS(Observacion_Directa!$D$2:$D$1000,Observacion_Directa!$A$2:$A$1000,$A663,Observacion_Directa!$B$2:$B$1000,"&gt;="&amp;DATEVALUE($B663&amp;"-01"),Observacion_Directa!$B$2:$B$1000,"&lt;="&amp;EOMONTH(DATEVALUE($B663&amp;"-01"),0)))-1)/4*100,"")</f>
        <v/>
      </c>
      <c r="Y663" t="e">
        <f t="shared" ca="1" si="21"/>
        <v>#DIV/0!</v>
      </c>
    </row>
    <row r="664" spans="12:25" x14ac:dyDescent="0.2">
      <c r="L664" t="str">
        <f t="shared" si="20"/>
        <v/>
      </c>
      <c r="M664" t="str">
        <f>IFERROR(AVERAGEIFS(Prod_5dias!$H$2:$H$1000,Prod_5dias!$A$2:$A$1000,$A664,Prod_5dias!$B$2:$B$1000,$B664),"")</f>
        <v/>
      </c>
      <c r="N664" t="str">
        <f>IF(M664="","",MIN(100,100*M664/Parametros!$B$7))</f>
        <v/>
      </c>
      <c r="O664" t="str">
        <f>IF(F664="","",IF(F664=0,100,MIN(100,100*Parametros!$B$3/F664)))</f>
        <v/>
      </c>
      <c r="P664" t="str">
        <f ca="1">IFERROR(((AVERAGEIFS(Observacion_Directa!$E$2:$E$1000,Observacion_Directa!$A$2:$A$1000,$A664,Observacion_Directa!$B$2:$B$1000,"&gt;="&amp;DATEVALUE($B664&amp;"-01"),Observacion_Directa!$B$2:$B$1000,"&lt;="&amp;EOMONTH(DATEVALUE($B664&amp;"-01"),0)))-1)/4*100,"")</f>
        <v/>
      </c>
      <c r="Q664" t="str">
        <f>IF(H664="","",MIN(100,100*H664/Parametros!$B$4))</f>
        <v/>
      </c>
      <c r="R664" t="str">
        <f>IF(I664="","",IF(I664=0,100,MIN(100,100*Parametros!$B$5/I664)))</f>
        <v/>
      </c>
      <c r="S664" t="str">
        <f>IF(J664="","",IF(J664=0,100,MIN(100,100*Parametros!$B$6/J664)))</f>
        <v/>
      </c>
      <c r="T664" t="str">
        <f>IF(L664="","",MIN(100,100*L664/Parametros!$B$7))</f>
        <v/>
      </c>
      <c r="U664" t="str">
        <f>IF(K664="","",MIN(100,100*K664/Parametros!$B$8))</f>
        <v/>
      </c>
      <c r="V664" t="str">
        <f ca="1">IFERROR(((AVERAGEIFS(Documentacion!$C$2:$C$1000,Documentacion!$A$2:$A$1000,$A664,Documentacion!$B$2:$B$1000,"&gt;="&amp;DATEVALUE($B664&amp;"-01"),Documentacion!$B$2:$B$1000,"&lt;="&amp;EOMONTH(DATEVALUE($B664&amp;"-01"),0)))-1)/4*100,"")</f>
        <v/>
      </c>
      <c r="W664" t="str">
        <f ca="1">IFERROR(((AVERAGEIFS(Feedback_360!$D$2:$D$1000,Feedback_360!$A$2:$A$1000,$A664,Feedback_360!$B$2:$B$1000,"&gt;="&amp;DATEVALUE($B664&amp;"-01"),Feedback_360!$B$2:$B$1000,"&lt;="&amp;EOMONTH(DATEVALUE($B664&amp;"-01"),0)))-1)/4*100,"")</f>
        <v/>
      </c>
      <c r="X664" t="str">
        <f ca="1">IFERROR(((AVERAGEIFS(Observacion_Directa!$D$2:$D$1000,Observacion_Directa!$A$2:$A$1000,$A664,Observacion_Directa!$B$2:$B$1000,"&gt;="&amp;DATEVALUE($B664&amp;"-01"),Observacion_Directa!$B$2:$B$1000,"&lt;="&amp;EOMONTH(DATEVALUE($B664&amp;"-01"),0)))-1)/4*100,"")</f>
        <v/>
      </c>
      <c r="Y664" t="e">
        <f t="shared" ca="1" si="21"/>
        <v>#DIV/0!</v>
      </c>
    </row>
    <row r="665" spans="12:25" x14ac:dyDescent="0.2">
      <c r="L665" t="str">
        <f t="shared" si="20"/>
        <v/>
      </c>
      <c r="M665" t="str">
        <f>IFERROR(AVERAGEIFS(Prod_5dias!$H$2:$H$1000,Prod_5dias!$A$2:$A$1000,$A665,Prod_5dias!$B$2:$B$1000,$B665),"")</f>
        <v/>
      </c>
      <c r="N665" t="str">
        <f>IF(M665="","",MIN(100,100*M665/Parametros!$B$7))</f>
        <v/>
      </c>
      <c r="O665" t="str">
        <f>IF(F665="","",IF(F665=0,100,MIN(100,100*Parametros!$B$3/F665)))</f>
        <v/>
      </c>
      <c r="P665" t="str">
        <f ca="1">IFERROR(((AVERAGEIFS(Observacion_Directa!$E$2:$E$1000,Observacion_Directa!$A$2:$A$1000,$A665,Observacion_Directa!$B$2:$B$1000,"&gt;="&amp;DATEVALUE($B665&amp;"-01"),Observacion_Directa!$B$2:$B$1000,"&lt;="&amp;EOMONTH(DATEVALUE($B665&amp;"-01"),0)))-1)/4*100,"")</f>
        <v/>
      </c>
      <c r="Q665" t="str">
        <f>IF(H665="","",MIN(100,100*H665/Parametros!$B$4))</f>
        <v/>
      </c>
      <c r="R665" t="str">
        <f>IF(I665="","",IF(I665=0,100,MIN(100,100*Parametros!$B$5/I665)))</f>
        <v/>
      </c>
      <c r="S665" t="str">
        <f>IF(J665="","",IF(J665=0,100,MIN(100,100*Parametros!$B$6/J665)))</f>
        <v/>
      </c>
      <c r="T665" t="str">
        <f>IF(L665="","",MIN(100,100*L665/Parametros!$B$7))</f>
        <v/>
      </c>
      <c r="U665" t="str">
        <f>IF(K665="","",MIN(100,100*K665/Parametros!$B$8))</f>
        <v/>
      </c>
      <c r="V665" t="str">
        <f ca="1">IFERROR(((AVERAGEIFS(Documentacion!$C$2:$C$1000,Documentacion!$A$2:$A$1000,$A665,Documentacion!$B$2:$B$1000,"&gt;="&amp;DATEVALUE($B665&amp;"-01"),Documentacion!$B$2:$B$1000,"&lt;="&amp;EOMONTH(DATEVALUE($B665&amp;"-01"),0)))-1)/4*100,"")</f>
        <v/>
      </c>
      <c r="W665" t="str">
        <f ca="1">IFERROR(((AVERAGEIFS(Feedback_360!$D$2:$D$1000,Feedback_360!$A$2:$A$1000,$A665,Feedback_360!$B$2:$B$1000,"&gt;="&amp;DATEVALUE($B665&amp;"-01"),Feedback_360!$B$2:$B$1000,"&lt;="&amp;EOMONTH(DATEVALUE($B665&amp;"-01"),0)))-1)/4*100,"")</f>
        <v/>
      </c>
      <c r="X665" t="str">
        <f ca="1">IFERROR(((AVERAGEIFS(Observacion_Directa!$D$2:$D$1000,Observacion_Directa!$A$2:$A$1000,$A665,Observacion_Directa!$B$2:$B$1000,"&gt;="&amp;DATEVALUE($B665&amp;"-01"),Observacion_Directa!$B$2:$B$1000,"&lt;="&amp;EOMONTH(DATEVALUE($B665&amp;"-01"),0)))-1)/4*100,"")</f>
        <v/>
      </c>
      <c r="Y665" t="e">
        <f t="shared" ca="1" si="21"/>
        <v>#DIV/0!</v>
      </c>
    </row>
    <row r="666" spans="12:25" x14ac:dyDescent="0.2">
      <c r="L666" t="str">
        <f t="shared" si="20"/>
        <v/>
      </c>
      <c r="M666" t="str">
        <f>IFERROR(AVERAGEIFS(Prod_5dias!$H$2:$H$1000,Prod_5dias!$A$2:$A$1000,$A666,Prod_5dias!$B$2:$B$1000,$B666),"")</f>
        <v/>
      </c>
      <c r="N666" t="str">
        <f>IF(M666="","",MIN(100,100*M666/Parametros!$B$7))</f>
        <v/>
      </c>
      <c r="O666" t="str">
        <f>IF(F666="","",IF(F666=0,100,MIN(100,100*Parametros!$B$3/F666)))</f>
        <v/>
      </c>
      <c r="P666" t="str">
        <f ca="1">IFERROR(((AVERAGEIFS(Observacion_Directa!$E$2:$E$1000,Observacion_Directa!$A$2:$A$1000,$A666,Observacion_Directa!$B$2:$B$1000,"&gt;="&amp;DATEVALUE($B666&amp;"-01"),Observacion_Directa!$B$2:$B$1000,"&lt;="&amp;EOMONTH(DATEVALUE($B666&amp;"-01"),0)))-1)/4*100,"")</f>
        <v/>
      </c>
      <c r="Q666" t="str">
        <f>IF(H666="","",MIN(100,100*H666/Parametros!$B$4))</f>
        <v/>
      </c>
      <c r="R666" t="str">
        <f>IF(I666="","",IF(I666=0,100,MIN(100,100*Parametros!$B$5/I666)))</f>
        <v/>
      </c>
      <c r="S666" t="str">
        <f>IF(J666="","",IF(J666=0,100,MIN(100,100*Parametros!$B$6/J666)))</f>
        <v/>
      </c>
      <c r="T666" t="str">
        <f>IF(L666="","",MIN(100,100*L666/Parametros!$B$7))</f>
        <v/>
      </c>
      <c r="U666" t="str">
        <f>IF(K666="","",MIN(100,100*K666/Parametros!$B$8))</f>
        <v/>
      </c>
      <c r="V666" t="str">
        <f ca="1">IFERROR(((AVERAGEIFS(Documentacion!$C$2:$C$1000,Documentacion!$A$2:$A$1000,$A666,Documentacion!$B$2:$B$1000,"&gt;="&amp;DATEVALUE($B666&amp;"-01"),Documentacion!$B$2:$B$1000,"&lt;="&amp;EOMONTH(DATEVALUE($B666&amp;"-01"),0)))-1)/4*100,"")</f>
        <v/>
      </c>
      <c r="W666" t="str">
        <f ca="1">IFERROR(((AVERAGEIFS(Feedback_360!$D$2:$D$1000,Feedback_360!$A$2:$A$1000,$A666,Feedback_360!$B$2:$B$1000,"&gt;="&amp;DATEVALUE($B666&amp;"-01"),Feedback_360!$B$2:$B$1000,"&lt;="&amp;EOMONTH(DATEVALUE($B666&amp;"-01"),0)))-1)/4*100,"")</f>
        <v/>
      </c>
      <c r="X666" t="str">
        <f ca="1">IFERROR(((AVERAGEIFS(Observacion_Directa!$D$2:$D$1000,Observacion_Directa!$A$2:$A$1000,$A666,Observacion_Directa!$B$2:$B$1000,"&gt;="&amp;DATEVALUE($B666&amp;"-01"),Observacion_Directa!$B$2:$B$1000,"&lt;="&amp;EOMONTH(DATEVALUE($B666&amp;"-01"),0)))-1)/4*100,"")</f>
        <v/>
      </c>
      <c r="Y666" t="e">
        <f t="shared" ca="1" si="21"/>
        <v>#DIV/0!</v>
      </c>
    </row>
    <row r="667" spans="12:25" x14ac:dyDescent="0.2">
      <c r="L667" t="str">
        <f t="shared" si="20"/>
        <v/>
      </c>
      <c r="M667" t="str">
        <f>IFERROR(AVERAGEIFS(Prod_5dias!$H$2:$H$1000,Prod_5dias!$A$2:$A$1000,$A667,Prod_5dias!$B$2:$B$1000,$B667),"")</f>
        <v/>
      </c>
      <c r="N667" t="str">
        <f>IF(M667="","",MIN(100,100*M667/Parametros!$B$7))</f>
        <v/>
      </c>
      <c r="O667" t="str">
        <f>IF(F667="","",IF(F667=0,100,MIN(100,100*Parametros!$B$3/F667)))</f>
        <v/>
      </c>
      <c r="P667" t="str">
        <f ca="1">IFERROR(((AVERAGEIFS(Observacion_Directa!$E$2:$E$1000,Observacion_Directa!$A$2:$A$1000,$A667,Observacion_Directa!$B$2:$B$1000,"&gt;="&amp;DATEVALUE($B667&amp;"-01"),Observacion_Directa!$B$2:$B$1000,"&lt;="&amp;EOMONTH(DATEVALUE($B667&amp;"-01"),0)))-1)/4*100,"")</f>
        <v/>
      </c>
      <c r="Q667" t="str">
        <f>IF(H667="","",MIN(100,100*H667/Parametros!$B$4))</f>
        <v/>
      </c>
      <c r="R667" t="str">
        <f>IF(I667="","",IF(I667=0,100,MIN(100,100*Parametros!$B$5/I667)))</f>
        <v/>
      </c>
      <c r="S667" t="str">
        <f>IF(J667="","",IF(J667=0,100,MIN(100,100*Parametros!$B$6/J667)))</f>
        <v/>
      </c>
      <c r="T667" t="str">
        <f>IF(L667="","",MIN(100,100*L667/Parametros!$B$7))</f>
        <v/>
      </c>
      <c r="U667" t="str">
        <f>IF(K667="","",MIN(100,100*K667/Parametros!$B$8))</f>
        <v/>
      </c>
      <c r="V667" t="str">
        <f ca="1">IFERROR(((AVERAGEIFS(Documentacion!$C$2:$C$1000,Documentacion!$A$2:$A$1000,$A667,Documentacion!$B$2:$B$1000,"&gt;="&amp;DATEVALUE($B667&amp;"-01"),Documentacion!$B$2:$B$1000,"&lt;="&amp;EOMONTH(DATEVALUE($B667&amp;"-01"),0)))-1)/4*100,"")</f>
        <v/>
      </c>
      <c r="W667" t="str">
        <f ca="1">IFERROR(((AVERAGEIFS(Feedback_360!$D$2:$D$1000,Feedback_360!$A$2:$A$1000,$A667,Feedback_360!$B$2:$B$1000,"&gt;="&amp;DATEVALUE($B667&amp;"-01"),Feedback_360!$B$2:$B$1000,"&lt;="&amp;EOMONTH(DATEVALUE($B667&amp;"-01"),0)))-1)/4*100,"")</f>
        <v/>
      </c>
      <c r="X667" t="str">
        <f ca="1">IFERROR(((AVERAGEIFS(Observacion_Directa!$D$2:$D$1000,Observacion_Directa!$A$2:$A$1000,$A667,Observacion_Directa!$B$2:$B$1000,"&gt;="&amp;DATEVALUE($B667&amp;"-01"),Observacion_Directa!$B$2:$B$1000,"&lt;="&amp;EOMONTH(DATEVALUE($B667&amp;"-01"),0)))-1)/4*100,"")</f>
        <v/>
      </c>
      <c r="Y667" t="e">
        <f t="shared" ca="1" si="21"/>
        <v>#DIV/0!</v>
      </c>
    </row>
    <row r="668" spans="12:25" x14ac:dyDescent="0.2">
      <c r="L668" t="str">
        <f t="shared" si="20"/>
        <v/>
      </c>
      <c r="M668" t="str">
        <f>IFERROR(AVERAGEIFS(Prod_5dias!$H$2:$H$1000,Prod_5dias!$A$2:$A$1000,$A668,Prod_5dias!$B$2:$B$1000,$B668),"")</f>
        <v/>
      </c>
      <c r="N668" t="str">
        <f>IF(M668="","",MIN(100,100*M668/Parametros!$B$7))</f>
        <v/>
      </c>
      <c r="O668" t="str">
        <f>IF(F668="","",IF(F668=0,100,MIN(100,100*Parametros!$B$3/F668)))</f>
        <v/>
      </c>
      <c r="P668" t="str">
        <f ca="1">IFERROR(((AVERAGEIFS(Observacion_Directa!$E$2:$E$1000,Observacion_Directa!$A$2:$A$1000,$A668,Observacion_Directa!$B$2:$B$1000,"&gt;="&amp;DATEVALUE($B668&amp;"-01"),Observacion_Directa!$B$2:$B$1000,"&lt;="&amp;EOMONTH(DATEVALUE($B668&amp;"-01"),0)))-1)/4*100,"")</f>
        <v/>
      </c>
      <c r="Q668" t="str">
        <f>IF(H668="","",MIN(100,100*H668/Parametros!$B$4))</f>
        <v/>
      </c>
      <c r="R668" t="str">
        <f>IF(I668="","",IF(I668=0,100,MIN(100,100*Parametros!$B$5/I668)))</f>
        <v/>
      </c>
      <c r="S668" t="str">
        <f>IF(J668="","",IF(J668=0,100,MIN(100,100*Parametros!$B$6/J668)))</f>
        <v/>
      </c>
      <c r="T668" t="str">
        <f>IF(L668="","",MIN(100,100*L668/Parametros!$B$7))</f>
        <v/>
      </c>
      <c r="U668" t="str">
        <f>IF(K668="","",MIN(100,100*K668/Parametros!$B$8))</f>
        <v/>
      </c>
      <c r="V668" t="str">
        <f ca="1">IFERROR(((AVERAGEIFS(Documentacion!$C$2:$C$1000,Documentacion!$A$2:$A$1000,$A668,Documentacion!$B$2:$B$1000,"&gt;="&amp;DATEVALUE($B668&amp;"-01"),Documentacion!$B$2:$B$1000,"&lt;="&amp;EOMONTH(DATEVALUE($B668&amp;"-01"),0)))-1)/4*100,"")</f>
        <v/>
      </c>
      <c r="W668" t="str">
        <f ca="1">IFERROR(((AVERAGEIFS(Feedback_360!$D$2:$D$1000,Feedback_360!$A$2:$A$1000,$A668,Feedback_360!$B$2:$B$1000,"&gt;="&amp;DATEVALUE($B668&amp;"-01"),Feedback_360!$B$2:$B$1000,"&lt;="&amp;EOMONTH(DATEVALUE($B668&amp;"-01"),0)))-1)/4*100,"")</f>
        <v/>
      </c>
      <c r="X668" t="str">
        <f ca="1">IFERROR(((AVERAGEIFS(Observacion_Directa!$D$2:$D$1000,Observacion_Directa!$A$2:$A$1000,$A668,Observacion_Directa!$B$2:$B$1000,"&gt;="&amp;DATEVALUE($B668&amp;"-01"),Observacion_Directa!$B$2:$B$1000,"&lt;="&amp;EOMONTH(DATEVALUE($B668&amp;"-01"),0)))-1)/4*100,"")</f>
        <v/>
      </c>
      <c r="Y668" t="e">
        <f t="shared" ca="1" si="21"/>
        <v>#DIV/0!</v>
      </c>
    </row>
    <row r="669" spans="12:25" x14ac:dyDescent="0.2">
      <c r="L669" t="str">
        <f t="shared" si="20"/>
        <v/>
      </c>
      <c r="M669" t="str">
        <f>IFERROR(AVERAGEIFS(Prod_5dias!$H$2:$H$1000,Prod_5dias!$A$2:$A$1000,$A669,Prod_5dias!$B$2:$B$1000,$B669),"")</f>
        <v/>
      </c>
      <c r="N669" t="str">
        <f>IF(M669="","",MIN(100,100*M669/Parametros!$B$7))</f>
        <v/>
      </c>
      <c r="O669" t="str">
        <f>IF(F669="","",IF(F669=0,100,MIN(100,100*Parametros!$B$3/F669)))</f>
        <v/>
      </c>
      <c r="P669" t="str">
        <f ca="1">IFERROR(((AVERAGEIFS(Observacion_Directa!$E$2:$E$1000,Observacion_Directa!$A$2:$A$1000,$A669,Observacion_Directa!$B$2:$B$1000,"&gt;="&amp;DATEVALUE($B669&amp;"-01"),Observacion_Directa!$B$2:$B$1000,"&lt;="&amp;EOMONTH(DATEVALUE($B669&amp;"-01"),0)))-1)/4*100,"")</f>
        <v/>
      </c>
      <c r="Q669" t="str">
        <f>IF(H669="","",MIN(100,100*H669/Parametros!$B$4))</f>
        <v/>
      </c>
      <c r="R669" t="str">
        <f>IF(I669="","",IF(I669=0,100,MIN(100,100*Parametros!$B$5/I669)))</f>
        <v/>
      </c>
      <c r="S669" t="str">
        <f>IF(J669="","",IF(J669=0,100,MIN(100,100*Parametros!$B$6/J669)))</f>
        <v/>
      </c>
      <c r="T669" t="str">
        <f>IF(L669="","",MIN(100,100*L669/Parametros!$B$7))</f>
        <v/>
      </c>
      <c r="U669" t="str">
        <f>IF(K669="","",MIN(100,100*K669/Parametros!$B$8))</f>
        <v/>
      </c>
      <c r="V669" t="str">
        <f ca="1">IFERROR(((AVERAGEIFS(Documentacion!$C$2:$C$1000,Documentacion!$A$2:$A$1000,$A669,Documentacion!$B$2:$B$1000,"&gt;="&amp;DATEVALUE($B669&amp;"-01"),Documentacion!$B$2:$B$1000,"&lt;="&amp;EOMONTH(DATEVALUE($B669&amp;"-01"),0)))-1)/4*100,"")</f>
        <v/>
      </c>
      <c r="W669" t="str">
        <f ca="1">IFERROR(((AVERAGEIFS(Feedback_360!$D$2:$D$1000,Feedback_360!$A$2:$A$1000,$A669,Feedback_360!$B$2:$B$1000,"&gt;="&amp;DATEVALUE($B669&amp;"-01"),Feedback_360!$B$2:$B$1000,"&lt;="&amp;EOMONTH(DATEVALUE($B669&amp;"-01"),0)))-1)/4*100,"")</f>
        <v/>
      </c>
      <c r="X669" t="str">
        <f ca="1">IFERROR(((AVERAGEIFS(Observacion_Directa!$D$2:$D$1000,Observacion_Directa!$A$2:$A$1000,$A669,Observacion_Directa!$B$2:$B$1000,"&gt;="&amp;DATEVALUE($B669&amp;"-01"),Observacion_Directa!$B$2:$B$1000,"&lt;="&amp;EOMONTH(DATEVALUE($B669&amp;"-01"),0)))-1)/4*100,"")</f>
        <v/>
      </c>
      <c r="Y669" t="e">
        <f t="shared" ca="1" si="21"/>
        <v>#DIV/0!</v>
      </c>
    </row>
    <row r="670" spans="12:25" x14ac:dyDescent="0.2">
      <c r="L670" t="str">
        <f t="shared" si="20"/>
        <v/>
      </c>
      <c r="M670" t="str">
        <f>IFERROR(AVERAGEIFS(Prod_5dias!$H$2:$H$1000,Prod_5dias!$A$2:$A$1000,$A670,Prod_5dias!$B$2:$B$1000,$B670),"")</f>
        <v/>
      </c>
      <c r="N670" t="str">
        <f>IF(M670="","",MIN(100,100*M670/Parametros!$B$7))</f>
        <v/>
      </c>
      <c r="O670" t="str">
        <f>IF(F670="","",IF(F670=0,100,MIN(100,100*Parametros!$B$3/F670)))</f>
        <v/>
      </c>
      <c r="P670" t="str">
        <f ca="1">IFERROR(((AVERAGEIFS(Observacion_Directa!$E$2:$E$1000,Observacion_Directa!$A$2:$A$1000,$A670,Observacion_Directa!$B$2:$B$1000,"&gt;="&amp;DATEVALUE($B670&amp;"-01"),Observacion_Directa!$B$2:$B$1000,"&lt;="&amp;EOMONTH(DATEVALUE($B670&amp;"-01"),0)))-1)/4*100,"")</f>
        <v/>
      </c>
      <c r="Q670" t="str">
        <f>IF(H670="","",MIN(100,100*H670/Parametros!$B$4))</f>
        <v/>
      </c>
      <c r="R670" t="str">
        <f>IF(I670="","",IF(I670=0,100,MIN(100,100*Parametros!$B$5/I670)))</f>
        <v/>
      </c>
      <c r="S670" t="str">
        <f>IF(J670="","",IF(J670=0,100,MIN(100,100*Parametros!$B$6/J670)))</f>
        <v/>
      </c>
      <c r="T670" t="str">
        <f>IF(L670="","",MIN(100,100*L670/Parametros!$B$7))</f>
        <v/>
      </c>
      <c r="U670" t="str">
        <f>IF(K670="","",MIN(100,100*K670/Parametros!$B$8))</f>
        <v/>
      </c>
      <c r="V670" t="str">
        <f ca="1">IFERROR(((AVERAGEIFS(Documentacion!$C$2:$C$1000,Documentacion!$A$2:$A$1000,$A670,Documentacion!$B$2:$B$1000,"&gt;="&amp;DATEVALUE($B670&amp;"-01"),Documentacion!$B$2:$B$1000,"&lt;="&amp;EOMONTH(DATEVALUE($B670&amp;"-01"),0)))-1)/4*100,"")</f>
        <v/>
      </c>
      <c r="W670" t="str">
        <f ca="1">IFERROR(((AVERAGEIFS(Feedback_360!$D$2:$D$1000,Feedback_360!$A$2:$A$1000,$A670,Feedback_360!$B$2:$B$1000,"&gt;="&amp;DATEVALUE($B670&amp;"-01"),Feedback_360!$B$2:$B$1000,"&lt;="&amp;EOMONTH(DATEVALUE($B670&amp;"-01"),0)))-1)/4*100,"")</f>
        <v/>
      </c>
      <c r="X670" t="str">
        <f ca="1">IFERROR(((AVERAGEIFS(Observacion_Directa!$D$2:$D$1000,Observacion_Directa!$A$2:$A$1000,$A670,Observacion_Directa!$B$2:$B$1000,"&gt;="&amp;DATEVALUE($B670&amp;"-01"),Observacion_Directa!$B$2:$B$1000,"&lt;="&amp;EOMONTH(DATEVALUE($B670&amp;"-01"),0)))-1)/4*100,"")</f>
        <v/>
      </c>
      <c r="Y670" t="e">
        <f t="shared" ca="1" si="21"/>
        <v>#DIV/0!</v>
      </c>
    </row>
    <row r="671" spans="12:25" x14ac:dyDescent="0.2">
      <c r="L671" t="str">
        <f t="shared" si="20"/>
        <v/>
      </c>
      <c r="M671" t="str">
        <f>IFERROR(AVERAGEIFS(Prod_5dias!$H$2:$H$1000,Prod_5dias!$A$2:$A$1000,$A671,Prod_5dias!$B$2:$B$1000,$B671),"")</f>
        <v/>
      </c>
      <c r="N671" t="str">
        <f>IF(M671="","",MIN(100,100*M671/Parametros!$B$7))</f>
        <v/>
      </c>
      <c r="O671" t="str">
        <f>IF(F671="","",IF(F671=0,100,MIN(100,100*Parametros!$B$3/F671)))</f>
        <v/>
      </c>
      <c r="P671" t="str">
        <f ca="1">IFERROR(((AVERAGEIFS(Observacion_Directa!$E$2:$E$1000,Observacion_Directa!$A$2:$A$1000,$A671,Observacion_Directa!$B$2:$B$1000,"&gt;="&amp;DATEVALUE($B671&amp;"-01"),Observacion_Directa!$B$2:$B$1000,"&lt;="&amp;EOMONTH(DATEVALUE($B671&amp;"-01"),0)))-1)/4*100,"")</f>
        <v/>
      </c>
      <c r="Q671" t="str">
        <f>IF(H671="","",MIN(100,100*H671/Parametros!$B$4))</f>
        <v/>
      </c>
      <c r="R671" t="str">
        <f>IF(I671="","",IF(I671=0,100,MIN(100,100*Parametros!$B$5/I671)))</f>
        <v/>
      </c>
      <c r="S671" t="str">
        <f>IF(J671="","",IF(J671=0,100,MIN(100,100*Parametros!$B$6/J671)))</f>
        <v/>
      </c>
      <c r="T671" t="str">
        <f>IF(L671="","",MIN(100,100*L671/Parametros!$B$7))</f>
        <v/>
      </c>
      <c r="U671" t="str">
        <f>IF(K671="","",MIN(100,100*K671/Parametros!$B$8))</f>
        <v/>
      </c>
      <c r="V671" t="str">
        <f ca="1">IFERROR(((AVERAGEIFS(Documentacion!$C$2:$C$1000,Documentacion!$A$2:$A$1000,$A671,Documentacion!$B$2:$B$1000,"&gt;="&amp;DATEVALUE($B671&amp;"-01"),Documentacion!$B$2:$B$1000,"&lt;="&amp;EOMONTH(DATEVALUE($B671&amp;"-01"),0)))-1)/4*100,"")</f>
        <v/>
      </c>
      <c r="W671" t="str">
        <f ca="1">IFERROR(((AVERAGEIFS(Feedback_360!$D$2:$D$1000,Feedback_360!$A$2:$A$1000,$A671,Feedback_360!$B$2:$B$1000,"&gt;="&amp;DATEVALUE($B671&amp;"-01"),Feedback_360!$B$2:$B$1000,"&lt;="&amp;EOMONTH(DATEVALUE($B671&amp;"-01"),0)))-1)/4*100,"")</f>
        <v/>
      </c>
      <c r="X671" t="str">
        <f ca="1">IFERROR(((AVERAGEIFS(Observacion_Directa!$D$2:$D$1000,Observacion_Directa!$A$2:$A$1000,$A671,Observacion_Directa!$B$2:$B$1000,"&gt;="&amp;DATEVALUE($B671&amp;"-01"),Observacion_Directa!$B$2:$B$1000,"&lt;="&amp;EOMONTH(DATEVALUE($B671&amp;"-01"),0)))-1)/4*100,"")</f>
        <v/>
      </c>
      <c r="Y671" t="e">
        <f t="shared" ca="1" si="21"/>
        <v>#DIV/0!</v>
      </c>
    </row>
    <row r="672" spans="12:25" x14ac:dyDescent="0.2">
      <c r="L672" t="str">
        <f t="shared" si="20"/>
        <v/>
      </c>
      <c r="M672" t="str">
        <f>IFERROR(AVERAGEIFS(Prod_5dias!$H$2:$H$1000,Prod_5dias!$A$2:$A$1000,$A672,Prod_5dias!$B$2:$B$1000,$B672),"")</f>
        <v/>
      </c>
      <c r="N672" t="str">
        <f>IF(M672="","",MIN(100,100*M672/Parametros!$B$7))</f>
        <v/>
      </c>
      <c r="O672" t="str">
        <f>IF(F672="","",IF(F672=0,100,MIN(100,100*Parametros!$B$3/F672)))</f>
        <v/>
      </c>
      <c r="P672" t="str">
        <f ca="1">IFERROR(((AVERAGEIFS(Observacion_Directa!$E$2:$E$1000,Observacion_Directa!$A$2:$A$1000,$A672,Observacion_Directa!$B$2:$B$1000,"&gt;="&amp;DATEVALUE($B672&amp;"-01"),Observacion_Directa!$B$2:$B$1000,"&lt;="&amp;EOMONTH(DATEVALUE($B672&amp;"-01"),0)))-1)/4*100,"")</f>
        <v/>
      </c>
      <c r="Q672" t="str">
        <f>IF(H672="","",MIN(100,100*H672/Parametros!$B$4))</f>
        <v/>
      </c>
      <c r="R672" t="str">
        <f>IF(I672="","",IF(I672=0,100,MIN(100,100*Parametros!$B$5/I672)))</f>
        <v/>
      </c>
      <c r="S672" t="str">
        <f>IF(J672="","",IF(J672=0,100,MIN(100,100*Parametros!$B$6/J672)))</f>
        <v/>
      </c>
      <c r="T672" t="str">
        <f>IF(L672="","",MIN(100,100*L672/Parametros!$B$7))</f>
        <v/>
      </c>
      <c r="U672" t="str">
        <f>IF(K672="","",MIN(100,100*K672/Parametros!$B$8))</f>
        <v/>
      </c>
      <c r="V672" t="str">
        <f ca="1">IFERROR(((AVERAGEIFS(Documentacion!$C$2:$C$1000,Documentacion!$A$2:$A$1000,$A672,Documentacion!$B$2:$B$1000,"&gt;="&amp;DATEVALUE($B672&amp;"-01"),Documentacion!$B$2:$B$1000,"&lt;="&amp;EOMONTH(DATEVALUE($B672&amp;"-01"),0)))-1)/4*100,"")</f>
        <v/>
      </c>
      <c r="W672" t="str">
        <f ca="1">IFERROR(((AVERAGEIFS(Feedback_360!$D$2:$D$1000,Feedback_360!$A$2:$A$1000,$A672,Feedback_360!$B$2:$B$1000,"&gt;="&amp;DATEVALUE($B672&amp;"-01"),Feedback_360!$B$2:$B$1000,"&lt;="&amp;EOMONTH(DATEVALUE($B672&amp;"-01"),0)))-1)/4*100,"")</f>
        <v/>
      </c>
      <c r="X672" t="str">
        <f ca="1">IFERROR(((AVERAGEIFS(Observacion_Directa!$D$2:$D$1000,Observacion_Directa!$A$2:$A$1000,$A672,Observacion_Directa!$B$2:$B$1000,"&gt;="&amp;DATEVALUE($B672&amp;"-01"),Observacion_Directa!$B$2:$B$1000,"&lt;="&amp;EOMONTH(DATEVALUE($B672&amp;"-01"),0)))-1)/4*100,"")</f>
        <v/>
      </c>
      <c r="Y672" t="e">
        <f t="shared" ca="1" si="21"/>
        <v>#DIV/0!</v>
      </c>
    </row>
    <row r="673" spans="12:25" x14ac:dyDescent="0.2">
      <c r="L673" t="str">
        <f t="shared" si="20"/>
        <v/>
      </c>
      <c r="M673" t="str">
        <f>IFERROR(AVERAGEIFS(Prod_5dias!$H$2:$H$1000,Prod_5dias!$A$2:$A$1000,$A673,Prod_5dias!$B$2:$B$1000,$B673),"")</f>
        <v/>
      </c>
      <c r="N673" t="str">
        <f>IF(M673="","",MIN(100,100*M673/Parametros!$B$7))</f>
        <v/>
      </c>
      <c r="O673" t="str">
        <f>IF(F673="","",IF(F673=0,100,MIN(100,100*Parametros!$B$3/F673)))</f>
        <v/>
      </c>
      <c r="P673" t="str">
        <f ca="1">IFERROR(((AVERAGEIFS(Observacion_Directa!$E$2:$E$1000,Observacion_Directa!$A$2:$A$1000,$A673,Observacion_Directa!$B$2:$B$1000,"&gt;="&amp;DATEVALUE($B673&amp;"-01"),Observacion_Directa!$B$2:$B$1000,"&lt;="&amp;EOMONTH(DATEVALUE($B673&amp;"-01"),0)))-1)/4*100,"")</f>
        <v/>
      </c>
      <c r="Q673" t="str">
        <f>IF(H673="","",MIN(100,100*H673/Parametros!$B$4))</f>
        <v/>
      </c>
      <c r="R673" t="str">
        <f>IF(I673="","",IF(I673=0,100,MIN(100,100*Parametros!$B$5/I673)))</f>
        <v/>
      </c>
      <c r="S673" t="str">
        <f>IF(J673="","",IF(J673=0,100,MIN(100,100*Parametros!$B$6/J673)))</f>
        <v/>
      </c>
      <c r="T673" t="str">
        <f>IF(L673="","",MIN(100,100*L673/Parametros!$B$7))</f>
        <v/>
      </c>
      <c r="U673" t="str">
        <f>IF(K673="","",MIN(100,100*K673/Parametros!$B$8))</f>
        <v/>
      </c>
      <c r="V673" t="str">
        <f ca="1">IFERROR(((AVERAGEIFS(Documentacion!$C$2:$C$1000,Documentacion!$A$2:$A$1000,$A673,Documentacion!$B$2:$B$1000,"&gt;="&amp;DATEVALUE($B673&amp;"-01"),Documentacion!$B$2:$B$1000,"&lt;="&amp;EOMONTH(DATEVALUE($B673&amp;"-01"),0)))-1)/4*100,"")</f>
        <v/>
      </c>
      <c r="W673" t="str">
        <f ca="1">IFERROR(((AVERAGEIFS(Feedback_360!$D$2:$D$1000,Feedback_360!$A$2:$A$1000,$A673,Feedback_360!$B$2:$B$1000,"&gt;="&amp;DATEVALUE($B673&amp;"-01"),Feedback_360!$B$2:$B$1000,"&lt;="&amp;EOMONTH(DATEVALUE($B673&amp;"-01"),0)))-1)/4*100,"")</f>
        <v/>
      </c>
      <c r="X673" t="str">
        <f ca="1">IFERROR(((AVERAGEIFS(Observacion_Directa!$D$2:$D$1000,Observacion_Directa!$A$2:$A$1000,$A673,Observacion_Directa!$B$2:$B$1000,"&gt;="&amp;DATEVALUE($B673&amp;"-01"),Observacion_Directa!$B$2:$B$1000,"&lt;="&amp;EOMONTH(DATEVALUE($B673&amp;"-01"),0)))-1)/4*100,"")</f>
        <v/>
      </c>
      <c r="Y673" t="e">
        <f t="shared" ca="1" si="21"/>
        <v>#DIV/0!</v>
      </c>
    </row>
    <row r="674" spans="12:25" x14ac:dyDescent="0.2">
      <c r="L674" t="str">
        <f t="shared" si="20"/>
        <v/>
      </c>
      <c r="M674" t="str">
        <f>IFERROR(AVERAGEIFS(Prod_5dias!$H$2:$H$1000,Prod_5dias!$A$2:$A$1000,$A674,Prod_5dias!$B$2:$B$1000,$B674),"")</f>
        <v/>
      </c>
      <c r="N674" t="str">
        <f>IF(M674="","",MIN(100,100*M674/Parametros!$B$7))</f>
        <v/>
      </c>
      <c r="O674" t="str">
        <f>IF(F674="","",IF(F674=0,100,MIN(100,100*Parametros!$B$3/F674)))</f>
        <v/>
      </c>
      <c r="P674" t="str">
        <f ca="1">IFERROR(((AVERAGEIFS(Observacion_Directa!$E$2:$E$1000,Observacion_Directa!$A$2:$A$1000,$A674,Observacion_Directa!$B$2:$B$1000,"&gt;="&amp;DATEVALUE($B674&amp;"-01"),Observacion_Directa!$B$2:$B$1000,"&lt;="&amp;EOMONTH(DATEVALUE($B674&amp;"-01"),0)))-1)/4*100,"")</f>
        <v/>
      </c>
      <c r="Q674" t="str">
        <f>IF(H674="","",MIN(100,100*H674/Parametros!$B$4))</f>
        <v/>
      </c>
      <c r="R674" t="str">
        <f>IF(I674="","",IF(I674=0,100,MIN(100,100*Parametros!$B$5/I674)))</f>
        <v/>
      </c>
      <c r="S674" t="str">
        <f>IF(J674="","",IF(J674=0,100,MIN(100,100*Parametros!$B$6/J674)))</f>
        <v/>
      </c>
      <c r="T674" t="str">
        <f>IF(L674="","",MIN(100,100*L674/Parametros!$B$7))</f>
        <v/>
      </c>
      <c r="U674" t="str">
        <f>IF(K674="","",MIN(100,100*K674/Parametros!$B$8))</f>
        <v/>
      </c>
      <c r="V674" t="str">
        <f ca="1">IFERROR(((AVERAGEIFS(Documentacion!$C$2:$C$1000,Documentacion!$A$2:$A$1000,$A674,Documentacion!$B$2:$B$1000,"&gt;="&amp;DATEVALUE($B674&amp;"-01"),Documentacion!$B$2:$B$1000,"&lt;="&amp;EOMONTH(DATEVALUE($B674&amp;"-01"),0)))-1)/4*100,"")</f>
        <v/>
      </c>
      <c r="W674" t="str">
        <f ca="1">IFERROR(((AVERAGEIFS(Feedback_360!$D$2:$D$1000,Feedback_360!$A$2:$A$1000,$A674,Feedback_360!$B$2:$B$1000,"&gt;="&amp;DATEVALUE($B674&amp;"-01"),Feedback_360!$B$2:$B$1000,"&lt;="&amp;EOMONTH(DATEVALUE($B674&amp;"-01"),0)))-1)/4*100,"")</f>
        <v/>
      </c>
      <c r="X674" t="str">
        <f ca="1">IFERROR(((AVERAGEIFS(Observacion_Directa!$D$2:$D$1000,Observacion_Directa!$A$2:$A$1000,$A674,Observacion_Directa!$B$2:$B$1000,"&gt;="&amp;DATEVALUE($B674&amp;"-01"),Observacion_Directa!$B$2:$B$1000,"&lt;="&amp;EOMONTH(DATEVALUE($B674&amp;"-01"),0)))-1)/4*100,"")</f>
        <v/>
      </c>
      <c r="Y674" t="e">
        <f t="shared" ca="1" si="21"/>
        <v>#DIV/0!</v>
      </c>
    </row>
    <row r="675" spans="12:25" x14ac:dyDescent="0.2">
      <c r="L675" t="str">
        <f t="shared" si="20"/>
        <v/>
      </c>
      <c r="M675" t="str">
        <f>IFERROR(AVERAGEIFS(Prod_5dias!$H$2:$H$1000,Prod_5dias!$A$2:$A$1000,$A675,Prod_5dias!$B$2:$B$1000,$B675),"")</f>
        <v/>
      </c>
      <c r="N675" t="str">
        <f>IF(M675="","",MIN(100,100*M675/Parametros!$B$7))</f>
        <v/>
      </c>
      <c r="O675" t="str">
        <f>IF(F675="","",IF(F675=0,100,MIN(100,100*Parametros!$B$3/F675)))</f>
        <v/>
      </c>
      <c r="P675" t="str">
        <f ca="1">IFERROR(((AVERAGEIFS(Observacion_Directa!$E$2:$E$1000,Observacion_Directa!$A$2:$A$1000,$A675,Observacion_Directa!$B$2:$B$1000,"&gt;="&amp;DATEVALUE($B675&amp;"-01"),Observacion_Directa!$B$2:$B$1000,"&lt;="&amp;EOMONTH(DATEVALUE($B675&amp;"-01"),0)))-1)/4*100,"")</f>
        <v/>
      </c>
      <c r="Q675" t="str">
        <f>IF(H675="","",MIN(100,100*H675/Parametros!$B$4))</f>
        <v/>
      </c>
      <c r="R675" t="str">
        <f>IF(I675="","",IF(I675=0,100,MIN(100,100*Parametros!$B$5/I675)))</f>
        <v/>
      </c>
      <c r="S675" t="str">
        <f>IF(J675="","",IF(J675=0,100,MIN(100,100*Parametros!$B$6/J675)))</f>
        <v/>
      </c>
      <c r="T675" t="str">
        <f>IF(L675="","",MIN(100,100*L675/Parametros!$B$7))</f>
        <v/>
      </c>
      <c r="U675" t="str">
        <f>IF(K675="","",MIN(100,100*K675/Parametros!$B$8))</f>
        <v/>
      </c>
      <c r="V675" t="str">
        <f ca="1">IFERROR(((AVERAGEIFS(Documentacion!$C$2:$C$1000,Documentacion!$A$2:$A$1000,$A675,Documentacion!$B$2:$B$1000,"&gt;="&amp;DATEVALUE($B675&amp;"-01"),Documentacion!$B$2:$B$1000,"&lt;="&amp;EOMONTH(DATEVALUE($B675&amp;"-01"),0)))-1)/4*100,"")</f>
        <v/>
      </c>
      <c r="W675" t="str">
        <f ca="1">IFERROR(((AVERAGEIFS(Feedback_360!$D$2:$D$1000,Feedback_360!$A$2:$A$1000,$A675,Feedback_360!$B$2:$B$1000,"&gt;="&amp;DATEVALUE($B675&amp;"-01"),Feedback_360!$B$2:$B$1000,"&lt;="&amp;EOMONTH(DATEVALUE($B675&amp;"-01"),0)))-1)/4*100,"")</f>
        <v/>
      </c>
      <c r="X675" t="str">
        <f ca="1">IFERROR(((AVERAGEIFS(Observacion_Directa!$D$2:$D$1000,Observacion_Directa!$A$2:$A$1000,$A675,Observacion_Directa!$B$2:$B$1000,"&gt;="&amp;DATEVALUE($B675&amp;"-01"),Observacion_Directa!$B$2:$B$1000,"&lt;="&amp;EOMONTH(DATEVALUE($B675&amp;"-01"),0)))-1)/4*100,"")</f>
        <v/>
      </c>
      <c r="Y675" t="e">
        <f t="shared" ca="1" si="21"/>
        <v>#DIV/0!</v>
      </c>
    </row>
    <row r="676" spans="12:25" x14ac:dyDescent="0.2">
      <c r="L676" t="str">
        <f t="shared" si="20"/>
        <v/>
      </c>
      <c r="M676" t="str">
        <f>IFERROR(AVERAGEIFS(Prod_5dias!$H$2:$H$1000,Prod_5dias!$A$2:$A$1000,$A676,Prod_5dias!$B$2:$B$1000,$B676),"")</f>
        <v/>
      </c>
      <c r="N676" t="str">
        <f>IF(M676="","",MIN(100,100*M676/Parametros!$B$7))</f>
        <v/>
      </c>
      <c r="O676" t="str">
        <f>IF(F676="","",IF(F676=0,100,MIN(100,100*Parametros!$B$3/F676)))</f>
        <v/>
      </c>
      <c r="P676" t="str">
        <f ca="1">IFERROR(((AVERAGEIFS(Observacion_Directa!$E$2:$E$1000,Observacion_Directa!$A$2:$A$1000,$A676,Observacion_Directa!$B$2:$B$1000,"&gt;="&amp;DATEVALUE($B676&amp;"-01"),Observacion_Directa!$B$2:$B$1000,"&lt;="&amp;EOMONTH(DATEVALUE($B676&amp;"-01"),0)))-1)/4*100,"")</f>
        <v/>
      </c>
      <c r="Q676" t="str">
        <f>IF(H676="","",MIN(100,100*H676/Parametros!$B$4))</f>
        <v/>
      </c>
      <c r="R676" t="str">
        <f>IF(I676="","",IF(I676=0,100,MIN(100,100*Parametros!$B$5/I676)))</f>
        <v/>
      </c>
      <c r="S676" t="str">
        <f>IF(J676="","",IF(J676=0,100,MIN(100,100*Parametros!$B$6/J676)))</f>
        <v/>
      </c>
      <c r="T676" t="str">
        <f>IF(L676="","",MIN(100,100*L676/Parametros!$B$7))</f>
        <v/>
      </c>
      <c r="U676" t="str">
        <f>IF(K676="","",MIN(100,100*K676/Parametros!$B$8))</f>
        <v/>
      </c>
      <c r="V676" t="str">
        <f ca="1">IFERROR(((AVERAGEIFS(Documentacion!$C$2:$C$1000,Documentacion!$A$2:$A$1000,$A676,Documentacion!$B$2:$B$1000,"&gt;="&amp;DATEVALUE($B676&amp;"-01"),Documentacion!$B$2:$B$1000,"&lt;="&amp;EOMONTH(DATEVALUE($B676&amp;"-01"),0)))-1)/4*100,"")</f>
        <v/>
      </c>
      <c r="W676" t="str">
        <f ca="1">IFERROR(((AVERAGEIFS(Feedback_360!$D$2:$D$1000,Feedback_360!$A$2:$A$1000,$A676,Feedback_360!$B$2:$B$1000,"&gt;="&amp;DATEVALUE($B676&amp;"-01"),Feedback_360!$B$2:$B$1000,"&lt;="&amp;EOMONTH(DATEVALUE($B676&amp;"-01"),0)))-1)/4*100,"")</f>
        <v/>
      </c>
      <c r="X676" t="str">
        <f ca="1">IFERROR(((AVERAGEIFS(Observacion_Directa!$D$2:$D$1000,Observacion_Directa!$A$2:$A$1000,$A676,Observacion_Directa!$B$2:$B$1000,"&gt;="&amp;DATEVALUE($B676&amp;"-01"),Observacion_Directa!$B$2:$B$1000,"&lt;="&amp;EOMONTH(DATEVALUE($B676&amp;"-01"),0)))-1)/4*100,"")</f>
        <v/>
      </c>
      <c r="Y676" t="e">
        <f t="shared" ca="1" si="21"/>
        <v>#DIV/0!</v>
      </c>
    </row>
    <row r="677" spans="12:25" x14ac:dyDescent="0.2">
      <c r="L677" t="str">
        <f t="shared" si="20"/>
        <v/>
      </c>
      <c r="M677" t="str">
        <f>IFERROR(AVERAGEIFS(Prod_5dias!$H$2:$H$1000,Prod_5dias!$A$2:$A$1000,$A677,Prod_5dias!$B$2:$B$1000,$B677),"")</f>
        <v/>
      </c>
      <c r="N677" t="str">
        <f>IF(M677="","",MIN(100,100*M677/Parametros!$B$7))</f>
        <v/>
      </c>
      <c r="O677" t="str">
        <f>IF(F677="","",IF(F677=0,100,MIN(100,100*Parametros!$B$3/F677)))</f>
        <v/>
      </c>
      <c r="P677" t="str">
        <f ca="1">IFERROR(((AVERAGEIFS(Observacion_Directa!$E$2:$E$1000,Observacion_Directa!$A$2:$A$1000,$A677,Observacion_Directa!$B$2:$B$1000,"&gt;="&amp;DATEVALUE($B677&amp;"-01"),Observacion_Directa!$B$2:$B$1000,"&lt;="&amp;EOMONTH(DATEVALUE($B677&amp;"-01"),0)))-1)/4*100,"")</f>
        <v/>
      </c>
      <c r="Q677" t="str">
        <f>IF(H677="","",MIN(100,100*H677/Parametros!$B$4))</f>
        <v/>
      </c>
      <c r="R677" t="str">
        <f>IF(I677="","",IF(I677=0,100,MIN(100,100*Parametros!$B$5/I677)))</f>
        <v/>
      </c>
      <c r="S677" t="str">
        <f>IF(J677="","",IF(J677=0,100,MIN(100,100*Parametros!$B$6/J677)))</f>
        <v/>
      </c>
      <c r="T677" t="str">
        <f>IF(L677="","",MIN(100,100*L677/Parametros!$B$7))</f>
        <v/>
      </c>
      <c r="U677" t="str">
        <f>IF(K677="","",MIN(100,100*K677/Parametros!$B$8))</f>
        <v/>
      </c>
      <c r="V677" t="str">
        <f ca="1">IFERROR(((AVERAGEIFS(Documentacion!$C$2:$C$1000,Documentacion!$A$2:$A$1000,$A677,Documentacion!$B$2:$B$1000,"&gt;="&amp;DATEVALUE($B677&amp;"-01"),Documentacion!$B$2:$B$1000,"&lt;="&amp;EOMONTH(DATEVALUE($B677&amp;"-01"),0)))-1)/4*100,"")</f>
        <v/>
      </c>
      <c r="W677" t="str">
        <f ca="1">IFERROR(((AVERAGEIFS(Feedback_360!$D$2:$D$1000,Feedback_360!$A$2:$A$1000,$A677,Feedback_360!$B$2:$B$1000,"&gt;="&amp;DATEVALUE($B677&amp;"-01"),Feedback_360!$B$2:$B$1000,"&lt;="&amp;EOMONTH(DATEVALUE($B677&amp;"-01"),0)))-1)/4*100,"")</f>
        <v/>
      </c>
      <c r="X677" t="str">
        <f ca="1">IFERROR(((AVERAGEIFS(Observacion_Directa!$D$2:$D$1000,Observacion_Directa!$A$2:$A$1000,$A677,Observacion_Directa!$B$2:$B$1000,"&gt;="&amp;DATEVALUE($B677&amp;"-01"),Observacion_Directa!$B$2:$B$1000,"&lt;="&amp;EOMONTH(DATEVALUE($B677&amp;"-01"),0)))-1)/4*100,"")</f>
        <v/>
      </c>
      <c r="Y677" t="e">
        <f t="shared" ca="1" si="21"/>
        <v>#DIV/0!</v>
      </c>
    </row>
    <row r="678" spans="12:25" x14ac:dyDescent="0.2">
      <c r="L678" t="str">
        <f t="shared" si="20"/>
        <v/>
      </c>
      <c r="M678" t="str">
        <f>IFERROR(AVERAGEIFS(Prod_5dias!$H$2:$H$1000,Prod_5dias!$A$2:$A$1000,$A678,Prod_5dias!$B$2:$B$1000,$B678),"")</f>
        <v/>
      </c>
      <c r="N678" t="str">
        <f>IF(M678="","",MIN(100,100*M678/Parametros!$B$7))</f>
        <v/>
      </c>
      <c r="O678" t="str">
        <f>IF(F678="","",IF(F678=0,100,MIN(100,100*Parametros!$B$3/F678)))</f>
        <v/>
      </c>
      <c r="P678" t="str">
        <f ca="1">IFERROR(((AVERAGEIFS(Observacion_Directa!$E$2:$E$1000,Observacion_Directa!$A$2:$A$1000,$A678,Observacion_Directa!$B$2:$B$1000,"&gt;="&amp;DATEVALUE($B678&amp;"-01"),Observacion_Directa!$B$2:$B$1000,"&lt;="&amp;EOMONTH(DATEVALUE($B678&amp;"-01"),0)))-1)/4*100,"")</f>
        <v/>
      </c>
      <c r="Q678" t="str">
        <f>IF(H678="","",MIN(100,100*H678/Parametros!$B$4))</f>
        <v/>
      </c>
      <c r="R678" t="str">
        <f>IF(I678="","",IF(I678=0,100,MIN(100,100*Parametros!$B$5/I678)))</f>
        <v/>
      </c>
      <c r="S678" t="str">
        <f>IF(J678="","",IF(J678=0,100,MIN(100,100*Parametros!$B$6/J678)))</f>
        <v/>
      </c>
      <c r="T678" t="str">
        <f>IF(L678="","",MIN(100,100*L678/Parametros!$B$7))</f>
        <v/>
      </c>
      <c r="U678" t="str">
        <f>IF(K678="","",MIN(100,100*K678/Parametros!$B$8))</f>
        <v/>
      </c>
      <c r="V678" t="str">
        <f ca="1">IFERROR(((AVERAGEIFS(Documentacion!$C$2:$C$1000,Documentacion!$A$2:$A$1000,$A678,Documentacion!$B$2:$B$1000,"&gt;="&amp;DATEVALUE($B678&amp;"-01"),Documentacion!$B$2:$B$1000,"&lt;="&amp;EOMONTH(DATEVALUE($B678&amp;"-01"),0)))-1)/4*100,"")</f>
        <v/>
      </c>
      <c r="W678" t="str">
        <f ca="1">IFERROR(((AVERAGEIFS(Feedback_360!$D$2:$D$1000,Feedback_360!$A$2:$A$1000,$A678,Feedback_360!$B$2:$B$1000,"&gt;="&amp;DATEVALUE($B678&amp;"-01"),Feedback_360!$B$2:$B$1000,"&lt;="&amp;EOMONTH(DATEVALUE($B678&amp;"-01"),0)))-1)/4*100,"")</f>
        <v/>
      </c>
      <c r="X678" t="str">
        <f ca="1">IFERROR(((AVERAGEIFS(Observacion_Directa!$D$2:$D$1000,Observacion_Directa!$A$2:$A$1000,$A678,Observacion_Directa!$B$2:$B$1000,"&gt;="&amp;DATEVALUE($B678&amp;"-01"),Observacion_Directa!$B$2:$B$1000,"&lt;="&amp;EOMONTH(DATEVALUE($B678&amp;"-01"),0)))-1)/4*100,"")</f>
        <v/>
      </c>
      <c r="Y678" t="e">
        <f t="shared" ca="1" si="21"/>
        <v>#DIV/0!</v>
      </c>
    </row>
    <row r="679" spans="12:25" x14ac:dyDescent="0.2">
      <c r="L679" t="str">
        <f t="shared" si="20"/>
        <v/>
      </c>
      <c r="M679" t="str">
        <f>IFERROR(AVERAGEIFS(Prod_5dias!$H$2:$H$1000,Prod_5dias!$A$2:$A$1000,$A679,Prod_5dias!$B$2:$B$1000,$B679),"")</f>
        <v/>
      </c>
      <c r="N679" t="str">
        <f>IF(M679="","",MIN(100,100*M679/Parametros!$B$7))</f>
        <v/>
      </c>
      <c r="O679" t="str">
        <f>IF(F679="","",IF(F679=0,100,MIN(100,100*Parametros!$B$3/F679)))</f>
        <v/>
      </c>
      <c r="P679" t="str">
        <f ca="1">IFERROR(((AVERAGEIFS(Observacion_Directa!$E$2:$E$1000,Observacion_Directa!$A$2:$A$1000,$A679,Observacion_Directa!$B$2:$B$1000,"&gt;="&amp;DATEVALUE($B679&amp;"-01"),Observacion_Directa!$B$2:$B$1000,"&lt;="&amp;EOMONTH(DATEVALUE($B679&amp;"-01"),0)))-1)/4*100,"")</f>
        <v/>
      </c>
      <c r="Q679" t="str">
        <f>IF(H679="","",MIN(100,100*H679/Parametros!$B$4))</f>
        <v/>
      </c>
      <c r="R679" t="str">
        <f>IF(I679="","",IF(I679=0,100,MIN(100,100*Parametros!$B$5/I679)))</f>
        <v/>
      </c>
      <c r="S679" t="str">
        <f>IF(J679="","",IF(J679=0,100,MIN(100,100*Parametros!$B$6/J679)))</f>
        <v/>
      </c>
      <c r="T679" t="str">
        <f>IF(L679="","",MIN(100,100*L679/Parametros!$B$7))</f>
        <v/>
      </c>
      <c r="U679" t="str">
        <f>IF(K679="","",MIN(100,100*K679/Parametros!$B$8))</f>
        <v/>
      </c>
      <c r="V679" t="str">
        <f ca="1">IFERROR(((AVERAGEIFS(Documentacion!$C$2:$C$1000,Documentacion!$A$2:$A$1000,$A679,Documentacion!$B$2:$B$1000,"&gt;="&amp;DATEVALUE($B679&amp;"-01"),Documentacion!$B$2:$B$1000,"&lt;="&amp;EOMONTH(DATEVALUE($B679&amp;"-01"),0)))-1)/4*100,"")</f>
        <v/>
      </c>
      <c r="W679" t="str">
        <f ca="1">IFERROR(((AVERAGEIFS(Feedback_360!$D$2:$D$1000,Feedback_360!$A$2:$A$1000,$A679,Feedback_360!$B$2:$B$1000,"&gt;="&amp;DATEVALUE($B679&amp;"-01"),Feedback_360!$B$2:$B$1000,"&lt;="&amp;EOMONTH(DATEVALUE($B679&amp;"-01"),0)))-1)/4*100,"")</f>
        <v/>
      </c>
      <c r="X679" t="str">
        <f ca="1">IFERROR(((AVERAGEIFS(Observacion_Directa!$D$2:$D$1000,Observacion_Directa!$A$2:$A$1000,$A679,Observacion_Directa!$B$2:$B$1000,"&gt;="&amp;DATEVALUE($B679&amp;"-01"),Observacion_Directa!$B$2:$B$1000,"&lt;="&amp;EOMONTH(DATEVALUE($B679&amp;"-01"),0)))-1)/4*100,"")</f>
        <v/>
      </c>
      <c r="Y679" t="e">
        <f t="shared" ca="1" si="21"/>
        <v>#DIV/0!</v>
      </c>
    </row>
    <row r="680" spans="12:25" x14ac:dyDescent="0.2">
      <c r="L680" t="str">
        <f t="shared" si="20"/>
        <v/>
      </c>
      <c r="M680" t="str">
        <f>IFERROR(AVERAGEIFS(Prod_5dias!$H$2:$H$1000,Prod_5dias!$A$2:$A$1000,$A680,Prod_5dias!$B$2:$B$1000,$B680),"")</f>
        <v/>
      </c>
      <c r="N680" t="str">
        <f>IF(M680="","",MIN(100,100*M680/Parametros!$B$7))</f>
        <v/>
      </c>
      <c r="O680" t="str">
        <f>IF(F680="","",IF(F680=0,100,MIN(100,100*Parametros!$B$3/F680)))</f>
        <v/>
      </c>
      <c r="P680" t="str">
        <f ca="1">IFERROR(((AVERAGEIFS(Observacion_Directa!$E$2:$E$1000,Observacion_Directa!$A$2:$A$1000,$A680,Observacion_Directa!$B$2:$B$1000,"&gt;="&amp;DATEVALUE($B680&amp;"-01"),Observacion_Directa!$B$2:$B$1000,"&lt;="&amp;EOMONTH(DATEVALUE($B680&amp;"-01"),0)))-1)/4*100,"")</f>
        <v/>
      </c>
      <c r="Q680" t="str">
        <f>IF(H680="","",MIN(100,100*H680/Parametros!$B$4))</f>
        <v/>
      </c>
      <c r="R680" t="str">
        <f>IF(I680="","",IF(I680=0,100,MIN(100,100*Parametros!$B$5/I680)))</f>
        <v/>
      </c>
      <c r="S680" t="str">
        <f>IF(J680="","",IF(J680=0,100,MIN(100,100*Parametros!$B$6/J680)))</f>
        <v/>
      </c>
      <c r="T680" t="str">
        <f>IF(L680="","",MIN(100,100*L680/Parametros!$B$7))</f>
        <v/>
      </c>
      <c r="U680" t="str">
        <f>IF(K680="","",MIN(100,100*K680/Parametros!$B$8))</f>
        <v/>
      </c>
      <c r="V680" t="str">
        <f ca="1">IFERROR(((AVERAGEIFS(Documentacion!$C$2:$C$1000,Documentacion!$A$2:$A$1000,$A680,Documentacion!$B$2:$B$1000,"&gt;="&amp;DATEVALUE($B680&amp;"-01"),Documentacion!$B$2:$B$1000,"&lt;="&amp;EOMONTH(DATEVALUE($B680&amp;"-01"),0)))-1)/4*100,"")</f>
        <v/>
      </c>
      <c r="W680" t="str">
        <f ca="1">IFERROR(((AVERAGEIFS(Feedback_360!$D$2:$D$1000,Feedback_360!$A$2:$A$1000,$A680,Feedback_360!$B$2:$B$1000,"&gt;="&amp;DATEVALUE($B680&amp;"-01"),Feedback_360!$B$2:$B$1000,"&lt;="&amp;EOMONTH(DATEVALUE($B680&amp;"-01"),0)))-1)/4*100,"")</f>
        <v/>
      </c>
      <c r="X680" t="str">
        <f ca="1">IFERROR(((AVERAGEIFS(Observacion_Directa!$D$2:$D$1000,Observacion_Directa!$A$2:$A$1000,$A680,Observacion_Directa!$B$2:$B$1000,"&gt;="&amp;DATEVALUE($B680&amp;"-01"),Observacion_Directa!$B$2:$B$1000,"&lt;="&amp;EOMONTH(DATEVALUE($B680&amp;"-01"),0)))-1)/4*100,"")</f>
        <v/>
      </c>
      <c r="Y680" t="e">
        <f t="shared" ca="1" si="21"/>
        <v>#DIV/0!</v>
      </c>
    </row>
    <row r="681" spans="12:25" x14ac:dyDescent="0.2">
      <c r="L681" t="str">
        <f t="shared" si="20"/>
        <v/>
      </c>
      <c r="M681" t="str">
        <f>IFERROR(AVERAGEIFS(Prod_5dias!$H$2:$H$1000,Prod_5dias!$A$2:$A$1000,$A681,Prod_5dias!$B$2:$B$1000,$B681),"")</f>
        <v/>
      </c>
      <c r="N681" t="str">
        <f>IF(M681="","",MIN(100,100*M681/Parametros!$B$7))</f>
        <v/>
      </c>
      <c r="O681" t="str">
        <f>IF(F681="","",IF(F681=0,100,MIN(100,100*Parametros!$B$3/F681)))</f>
        <v/>
      </c>
      <c r="P681" t="str">
        <f ca="1">IFERROR(((AVERAGEIFS(Observacion_Directa!$E$2:$E$1000,Observacion_Directa!$A$2:$A$1000,$A681,Observacion_Directa!$B$2:$B$1000,"&gt;="&amp;DATEVALUE($B681&amp;"-01"),Observacion_Directa!$B$2:$B$1000,"&lt;="&amp;EOMONTH(DATEVALUE($B681&amp;"-01"),0)))-1)/4*100,"")</f>
        <v/>
      </c>
      <c r="Q681" t="str">
        <f>IF(H681="","",MIN(100,100*H681/Parametros!$B$4))</f>
        <v/>
      </c>
      <c r="R681" t="str">
        <f>IF(I681="","",IF(I681=0,100,MIN(100,100*Parametros!$B$5/I681)))</f>
        <v/>
      </c>
      <c r="S681" t="str">
        <f>IF(J681="","",IF(J681=0,100,MIN(100,100*Parametros!$B$6/J681)))</f>
        <v/>
      </c>
      <c r="T681" t="str">
        <f>IF(L681="","",MIN(100,100*L681/Parametros!$B$7))</f>
        <v/>
      </c>
      <c r="U681" t="str">
        <f>IF(K681="","",MIN(100,100*K681/Parametros!$B$8))</f>
        <v/>
      </c>
      <c r="V681" t="str">
        <f ca="1">IFERROR(((AVERAGEIFS(Documentacion!$C$2:$C$1000,Documentacion!$A$2:$A$1000,$A681,Documentacion!$B$2:$B$1000,"&gt;="&amp;DATEVALUE($B681&amp;"-01"),Documentacion!$B$2:$B$1000,"&lt;="&amp;EOMONTH(DATEVALUE($B681&amp;"-01"),0)))-1)/4*100,"")</f>
        <v/>
      </c>
      <c r="W681" t="str">
        <f ca="1">IFERROR(((AVERAGEIFS(Feedback_360!$D$2:$D$1000,Feedback_360!$A$2:$A$1000,$A681,Feedback_360!$B$2:$B$1000,"&gt;="&amp;DATEVALUE($B681&amp;"-01"),Feedback_360!$B$2:$B$1000,"&lt;="&amp;EOMONTH(DATEVALUE($B681&amp;"-01"),0)))-1)/4*100,"")</f>
        <v/>
      </c>
      <c r="X681" t="str">
        <f ca="1">IFERROR(((AVERAGEIFS(Observacion_Directa!$D$2:$D$1000,Observacion_Directa!$A$2:$A$1000,$A681,Observacion_Directa!$B$2:$B$1000,"&gt;="&amp;DATEVALUE($B681&amp;"-01"),Observacion_Directa!$B$2:$B$1000,"&lt;="&amp;EOMONTH(DATEVALUE($B681&amp;"-01"),0)))-1)/4*100,"")</f>
        <v/>
      </c>
      <c r="Y681" t="e">
        <f t="shared" ca="1" si="21"/>
        <v>#DIV/0!</v>
      </c>
    </row>
    <row r="682" spans="12:25" x14ac:dyDescent="0.2">
      <c r="L682" t="str">
        <f t="shared" si="20"/>
        <v/>
      </c>
      <c r="M682" t="str">
        <f>IFERROR(AVERAGEIFS(Prod_5dias!$H$2:$H$1000,Prod_5dias!$A$2:$A$1000,$A682,Prod_5dias!$B$2:$B$1000,$B682),"")</f>
        <v/>
      </c>
      <c r="N682" t="str">
        <f>IF(M682="","",MIN(100,100*M682/Parametros!$B$7))</f>
        <v/>
      </c>
      <c r="O682" t="str">
        <f>IF(F682="","",IF(F682=0,100,MIN(100,100*Parametros!$B$3/F682)))</f>
        <v/>
      </c>
      <c r="P682" t="str">
        <f ca="1">IFERROR(((AVERAGEIFS(Observacion_Directa!$E$2:$E$1000,Observacion_Directa!$A$2:$A$1000,$A682,Observacion_Directa!$B$2:$B$1000,"&gt;="&amp;DATEVALUE($B682&amp;"-01"),Observacion_Directa!$B$2:$B$1000,"&lt;="&amp;EOMONTH(DATEVALUE($B682&amp;"-01"),0)))-1)/4*100,"")</f>
        <v/>
      </c>
      <c r="Q682" t="str">
        <f>IF(H682="","",MIN(100,100*H682/Parametros!$B$4))</f>
        <v/>
      </c>
      <c r="R682" t="str">
        <f>IF(I682="","",IF(I682=0,100,MIN(100,100*Parametros!$B$5/I682)))</f>
        <v/>
      </c>
      <c r="S682" t="str">
        <f>IF(J682="","",IF(J682=0,100,MIN(100,100*Parametros!$B$6/J682)))</f>
        <v/>
      </c>
      <c r="T682" t="str">
        <f>IF(L682="","",MIN(100,100*L682/Parametros!$B$7))</f>
        <v/>
      </c>
      <c r="U682" t="str">
        <f>IF(K682="","",MIN(100,100*K682/Parametros!$B$8))</f>
        <v/>
      </c>
      <c r="V682" t="str">
        <f ca="1">IFERROR(((AVERAGEIFS(Documentacion!$C$2:$C$1000,Documentacion!$A$2:$A$1000,$A682,Documentacion!$B$2:$B$1000,"&gt;="&amp;DATEVALUE($B682&amp;"-01"),Documentacion!$B$2:$B$1000,"&lt;="&amp;EOMONTH(DATEVALUE($B682&amp;"-01"),0)))-1)/4*100,"")</f>
        <v/>
      </c>
      <c r="W682" t="str">
        <f ca="1">IFERROR(((AVERAGEIFS(Feedback_360!$D$2:$D$1000,Feedback_360!$A$2:$A$1000,$A682,Feedback_360!$B$2:$B$1000,"&gt;="&amp;DATEVALUE($B682&amp;"-01"),Feedback_360!$B$2:$B$1000,"&lt;="&amp;EOMONTH(DATEVALUE($B682&amp;"-01"),0)))-1)/4*100,"")</f>
        <v/>
      </c>
      <c r="X682" t="str">
        <f ca="1">IFERROR(((AVERAGEIFS(Observacion_Directa!$D$2:$D$1000,Observacion_Directa!$A$2:$A$1000,$A682,Observacion_Directa!$B$2:$B$1000,"&gt;="&amp;DATEVALUE($B682&amp;"-01"),Observacion_Directa!$B$2:$B$1000,"&lt;="&amp;EOMONTH(DATEVALUE($B682&amp;"-01"),0)))-1)/4*100,"")</f>
        <v/>
      </c>
      <c r="Y682" t="e">
        <f t="shared" ca="1" si="21"/>
        <v>#DIV/0!</v>
      </c>
    </row>
    <row r="683" spans="12:25" x14ac:dyDescent="0.2">
      <c r="L683" t="str">
        <f t="shared" si="20"/>
        <v/>
      </c>
      <c r="M683" t="str">
        <f>IFERROR(AVERAGEIFS(Prod_5dias!$H$2:$H$1000,Prod_5dias!$A$2:$A$1000,$A683,Prod_5dias!$B$2:$B$1000,$B683),"")</f>
        <v/>
      </c>
      <c r="N683" t="str">
        <f>IF(M683="","",MIN(100,100*M683/Parametros!$B$7))</f>
        <v/>
      </c>
      <c r="O683" t="str">
        <f>IF(F683="","",IF(F683=0,100,MIN(100,100*Parametros!$B$3/F683)))</f>
        <v/>
      </c>
      <c r="P683" t="str">
        <f ca="1">IFERROR(((AVERAGEIFS(Observacion_Directa!$E$2:$E$1000,Observacion_Directa!$A$2:$A$1000,$A683,Observacion_Directa!$B$2:$B$1000,"&gt;="&amp;DATEVALUE($B683&amp;"-01"),Observacion_Directa!$B$2:$B$1000,"&lt;="&amp;EOMONTH(DATEVALUE($B683&amp;"-01"),0)))-1)/4*100,"")</f>
        <v/>
      </c>
      <c r="Q683" t="str">
        <f>IF(H683="","",MIN(100,100*H683/Parametros!$B$4))</f>
        <v/>
      </c>
      <c r="R683" t="str">
        <f>IF(I683="","",IF(I683=0,100,MIN(100,100*Parametros!$B$5/I683)))</f>
        <v/>
      </c>
      <c r="S683" t="str">
        <f>IF(J683="","",IF(J683=0,100,MIN(100,100*Parametros!$B$6/J683)))</f>
        <v/>
      </c>
      <c r="T683" t="str">
        <f>IF(L683="","",MIN(100,100*L683/Parametros!$B$7))</f>
        <v/>
      </c>
      <c r="U683" t="str">
        <f>IF(K683="","",MIN(100,100*K683/Parametros!$B$8))</f>
        <v/>
      </c>
      <c r="V683" t="str">
        <f ca="1">IFERROR(((AVERAGEIFS(Documentacion!$C$2:$C$1000,Documentacion!$A$2:$A$1000,$A683,Documentacion!$B$2:$B$1000,"&gt;="&amp;DATEVALUE($B683&amp;"-01"),Documentacion!$B$2:$B$1000,"&lt;="&amp;EOMONTH(DATEVALUE($B683&amp;"-01"),0)))-1)/4*100,"")</f>
        <v/>
      </c>
      <c r="W683" t="str">
        <f ca="1">IFERROR(((AVERAGEIFS(Feedback_360!$D$2:$D$1000,Feedback_360!$A$2:$A$1000,$A683,Feedback_360!$B$2:$B$1000,"&gt;="&amp;DATEVALUE($B683&amp;"-01"),Feedback_360!$B$2:$B$1000,"&lt;="&amp;EOMONTH(DATEVALUE($B683&amp;"-01"),0)))-1)/4*100,"")</f>
        <v/>
      </c>
      <c r="X683" t="str">
        <f ca="1">IFERROR(((AVERAGEIFS(Observacion_Directa!$D$2:$D$1000,Observacion_Directa!$A$2:$A$1000,$A683,Observacion_Directa!$B$2:$B$1000,"&gt;="&amp;DATEVALUE($B683&amp;"-01"),Observacion_Directa!$B$2:$B$1000,"&lt;="&amp;EOMONTH(DATEVALUE($B683&amp;"-01"),0)))-1)/4*100,"")</f>
        <v/>
      </c>
      <c r="Y683" t="e">
        <f t="shared" ca="1" si="21"/>
        <v>#DIV/0!</v>
      </c>
    </row>
    <row r="684" spans="12:25" x14ac:dyDescent="0.2">
      <c r="L684" t="str">
        <f t="shared" si="20"/>
        <v/>
      </c>
      <c r="M684" t="str">
        <f>IFERROR(AVERAGEIFS(Prod_5dias!$H$2:$H$1000,Prod_5dias!$A$2:$A$1000,$A684,Prod_5dias!$B$2:$B$1000,$B684),"")</f>
        <v/>
      </c>
      <c r="N684" t="str">
        <f>IF(M684="","",MIN(100,100*M684/Parametros!$B$7))</f>
        <v/>
      </c>
      <c r="O684" t="str">
        <f>IF(F684="","",IF(F684=0,100,MIN(100,100*Parametros!$B$3/F684)))</f>
        <v/>
      </c>
      <c r="P684" t="str">
        <f ca="1">IFERROR(((AVERAGEIFS(Observacion_Directa!$E$2:$E$1000,Observacion_Directa!$A$2:$A$1000,$A684,Observacion_Directa!$B$2:$B$1000,"&gt;="&amp;DATEVALUE($B684&amp;"-01"),Observacion_Directa!$B$2:$B$1000,"&lt;="&amp;EOMONTH(DATEVALUE($B684&amp;"-01"),0)))-1)/4*100,"")</f>
        <v/>
      </c>
      <c r="Q684" t="str">
        <f>IF(H684="","",MIN(100,100*H684/Parametros!$B$4))</f>
        <v/>
      </c>
      <c r="R684" t="str">
        <f>IF(I684="","",IF(I684=0,100,MIN(100,100*Parametros!$B$5/I684)))</f>
        <v/>
      </c>
      <c r="S684" t="str">
        <f>IF(J684="","",IF(J684=0,100,MIN(100,100*Parametros!$B$6/J684)))</f>
        <v/>
      </c>
      <c r="T684" t="str">
        <f>IF(L684="","",MIN(100,100*L684/Parametros!$B$7))</f>
        <v/>
      </c>
      <c r="U684" t="str">
        <f>IF(K684="","",MIN(100,100*K684/Parametros!$B$8))</f>
        <v/>
      </c>
      <c r="V684" t="str">
        <f ca="1">IFERROR(((AVERAGEIFS(Documentacion!$C$2:$C$1000,Documentacion!$A$2:$A$1000,$A684,Documentacion!$B$2:$B$1000,"&gt;="&amp;DATEVALUE($B684&amp;"-01"),Documentacion!$B$2:$B$1000,"&lt;="&amp;EOMONTH(DATEVALUE($B684&amp;"-01"),0)))-1)/4*100,"")</f>
        <v/>
      </c>
      <c r="W684" t="str">
        <f ca="1">IFERROR(((AVERAGEIFS(Feedback_360!$D$2:$D$1000,Feedback_360!$A$2:$A$1000,$A684,Feedback_360!$B$2:$B$1000,"&gt;="&amp;DATEVALUE($B684&amp;"-01"),Feedback_360!$B$2:$B$1000,"&lt;="&amp;EOMONTH(DATEVALUE($B684&amp;"-01"),0)))-1)/4*100,"")</f>
        <v/>
      </c>
      <c r="X684" t="str">
        <f ca="1">IFERROR(((AVERAGEIFS(Observacion_Directa!$D$2:$D$1000,Observacion_Directa!$A$2:$A$1000,$A684,Observacion_Directa!$B$2:$B$1000,"&gt;="&amp;DATEVALUE($B684&amp;"-01"),Observacion_Directa!$B$2:$B$1000,"&lt;="&amp;EOMONTH(DATEVALUE($B684&amp;"-01"),0)))-1)/4*100,"")</f>
        <v/>
      </c>
      <c r="Y684" t="e">
        <f t="shared" ca="1" si="21"/>
        <v>#DIV/0!</v>
      </c>
    </row>
    <row r="685" spans="12:25" x14ac:dyDescent="0.2">
      <c r="L685" t="str">
        <f t="shared" si="20"/>
        <v/>
      </c>
      <c r="M685" t="str">
        <f>IFERROR(AVERAGEIFS(Prod_5dias!$H$2:$H$1000,Prod_5dias!$A$2:$A$1000,$A685,Prod_5dias!$B$2:$B$1000,$B685),"")</f>
        <v/>
      </c>
      <c r="N685" t="str">
        <f>IF(M685="","",MIN(100,100*M685/Parametros!$B$7))</f>
        <v/>
      </c>
      <c r="O685" t="str">
        <f>IF(F685="","",IF(F685=0,100,MIN(100,100*Parametros!$B$3/F685)))</f>
        <v/>
      </c>
      <c r="P685" t="str">
        <f ca="1">IFERROR(((AVERAGEIFS(Observacion_Directa!$E$2:$E$1000,Observacion_Directa!$A$2:$A$1000,$A685,Observacion_Directa!$B$2:$B$1000,"&gt;="&amp;DATEVALUE($B685&amp;"-01"),Observacion_Directa!$B$2:$B$1000,"&lt;="&amp;EOMONTH(DATEVALUE($B685&amp;"-01"),0)))-1)/4*100,"")</f>
        <v/>
      </c>
      <c r="Q685" t="str">
        <f>IF(H685="","",MIN(100,100*H685/Parametros!$B$4))</f>
        <v/>
      </c>
      <c r="R685" t="str">
        <f>IF(I685="","",IF(I685=0,100,MIN(100,100*Parametros!$B$5/I685)))</f>
        <v/>
      </c>
      <c r="S685" t="str">
        <f>IF(J685="","",IF(J685=0,100,MIN(100,100*Parametros!$B$6/J685)))</f>
        <v/>
      </c>
      <c r="T685" t="str">
        <f>IF(L685="","",MIN(100,100*L685/Parametros!$B$7))</f>
        <v/>
      </c>
      <c r="U685" t="str">
        <f>IF(K685="","",MIN(100,100*K685/Parametros!$B$8))</f>
        <v/>
      </c>
      <c r="V685" t="str">
        <f ca="1">IFERROR(((AVERAGEIFS(Documentacion!$C$2:$C$1000,Documentacion!$A$2:$A$1000,$A685,Documentacion!$B$2:$B$1000,"&gt;="&amp;DATEVALUE($B685&amp;"-01"),Documentacion!$B$2:$B$1000,"&lt;="&amp;EOMONTH(DATEVALUE($B685&amp;"-01"),0)))-1)/4*100,"")</f>
        <v/>
      </c>
      <c r="W685" t="str">
        <f ca="1">IFERROR(((AVERAGEIFS(Feedback_360!$D$2:$D$1000,Feedback_360!$A$2:$A$1000,$A685,Feedback_360!$B$2:$B$1000,"&gt;="&amp;DATEVALUE($B685&amp;"-01"),Feedback_360!$B$2:$B$1000,"&lt;="&amp;EOMONTH(DATEVALUE($B685&amp;"-01"),0)))-1)/4*100,"")</f>
        <v/>
      </c>
      <c r="X685" t="str">
        <f ca="1">IFERROR(((AVERAGEIFS(Observacion_Directa!$D$2:$D$1000,Observacion_Directa!$A$2:$A$1000,$A685,Observacion_Directa!$B$2:$B$1000,"&gt;="&amp;DATEVALUE($B685&amp;"-01"),Observacion_Directa!$B$2:$B$1000,"&lt;="&amp;EOMONTH(DATEVALUE($B685&amp;"-01"),0)))-1)/4*100,"")</f>
        <v/>
      </c>
      <c r="Y685" t="e">
        <f t="shared" ca="1" si="21"/>
        <v>#DIV/0!</v>
      </c>
    </row>
    <row r="686" spans="12:25" x14ac:dyDescent="0.2">
      <c r="L686" t="str">
        <f t="shared" si="20"/>
        <v/>
      </c>
      <c r="M686" t="str">
        <f>IFERROR(AVERAGEIFS(Prod_5dias!$H$2:$H$1000,Prod_5dias!$A$2:$A$1000,$A686,Prod_5dias!$B$2:$B$1000,$B686),"")</f>
        <v/>
      </c>
      <c r="N686" t="str">
        <f>IF(M686="","",MIN(100,100*M686/Parametros!$B$7))</f>
        <v/>
      </c>
      <c r="O686" t="str">
        <f>IF(F686="","",IF(F686=0,100,MIN(100,100*Parametros!$B$3/F686)))</f>
        <v/>
      </c>
      <c r="P686" t="str">
        <f ca="1">IFERROR(((AVERAGEIFS(Observacion_Directa!$E$2:$E$1000,Observacion_Directa!$A$2:$A$1000,$A686,Observacion_Directa!$B$2:$B$1000,"&gt;="&amp;DATEVALUE($B686&amp;"-01"),Observacion_Directa!$B$2:$B$1000,"&lt;="&amp;EOMONTH(DATEVALUE($B686&amp;"-01"),0)))-1)/4*100,"")</f>
        <v/>
      </c>
      <c r="Q686" t="str">
        <f>IF(H686="","",MIN(100,100*H686/Parametros!$B$4))</f>
        <v/>
      </c>
      <c r="R686" t="str">
        <f>IF(I686="","",IF(I686=0,100,MIN(100,100*Parametros!$B$5/I686)))</f>
        <v/>
      </c>
      <c r="S686" t="str">
        <f>IF(J686="","",IF(J686=0,100,MIN(100,100*Parametros!$B$6/J686)))</f>
        <v/>
      </c>
      <c r="T686" t="str">
        <f>IF(L686="","",MIN(100,100*L686/Parametros!$B$7))</f>
        <v/>
      </c>
      <c r="U686" t="str">
        <f>IF(K686="","",MIN(100,100*K686/Parametros!$B$8))</f>
        <v/>
      </c>
      <c r="V686" t="str">
        <f ca="1">IFERROR(((AVERAGEIFS(Documentacion!$C$2:$C$1000,Documentacion!$A$2:$A$1000,$A686,Documentacion!$B$2:$B$1000,"&gt;="&amp;DATEVALUE($B686&amp;"-01"),Documentacion!$B$2:$B$1000,"&lt;="&amp;EOMONTH(DATEVALUE($B686&amp;"-01"),0)))-1)/4*100,"")</f>
        <v/>
      </c>
      <c r="W686" t="str">
        <f ca="1">IFERROR(((AVERAGEIFS(Feedback_360!$D$2:$D$1000,Feedback_360!$A$2:$A$1000,$A686,Feedback_360!$B$2:$B$1000,"&gt;="&amp;DATEVALUE($B686&amp;"-01"),Feedback_360!$B$2:$B$1000,"&lt;="&amp;EOMONTH(DATEVALUE($B686&amp;"-01"),0)))-1)/4*100,"")</f>
        <v/>
      </c>
      <c r="X686" t="str">
        <f ca="1">IFERROR(((AVERAGEIFS(Observacion_Directa!$D$2:$D$1000,Observacion_Directa!$A$2:$A$1000,$A686,Observacion_Directa!$B$2:$B$1000,"&gt;="&amp;DATEVALUE($B686&amp;"-01"),Observacion_Directa!$B$2:$B$1000,"&lt;="&amp;EOMONTH(DATEVALUE($B686&amp;"-01"),0)))-1)/4*100,"")</f>
        <v/>
      </c>
      <c r="Y686" t="e">
        <f t="shared" ca="1" si="21"/>
        <v>#DIV/0!</v>
      </c>
    </row>
    <row r="687" spans="12:25" x14ac:dyDescent="0.2">
      <c r="L687" t="str">
        <f t="shared" si="20"/>
        <v/>
      </c>
      <c r="M687" t="str">
        <f>IFERROR(AVERAGEIFS(Prod_5dias!$H$2:$H$1000,Prod_5dias!$A$2:$A$1000,$A687,Prod_5dias!$B$2:$B$1000,$B687),"")</f>
        <v/>
      </c>
      <c r="N687" t="str">
        <f>IF(M687="","",MIN(100,100*M687/Parametros!$B$7))</f>
        <v/>
      </c>
      <c r="O687" t="str">
        <f>IF(F687="","",IF(F687=0,100,MIN(100,100*Parametros!$B$3/F687)))</f>
        <v/>
      </c>
      <c r="P687" t="str">
        <f ca="1">IFERROR(((AVERAGEIFS(Observacion_Directa!$E$2:$E$1000,Observacion_Directa!$A$2:$A$1000,$A687,Observacion_Directa!$B$2:$B$1000,"&gt;="&amp;DATEVALUE($B687&amp;"-01"),Observacion_Directa!$B$2:$B$1000,"&lt;="&amp;EOMONTH(DATEVALUE($B687&amp;"-01"),0)))-1)/4*100,"")</f>
        <v/>
      </c>
      <c r="Q687" t="str">
        <f>IF(H687="","",MIN(100,100*H687/Parametros!$B$4))</f>
        <v/>
      </c>
      <c r="R687" t="str">
        <f>IF(I687="","",IF(I687=0,100,MIN(100,100*Parametros!$B$5/I687)))</f>
        <v/>
      </c>
      <c r="S687" t="str">
        <f>IF(J687="","",IF(J687=0,100,MIN(100,100*Parametros!$B$6/J687)))</f>
        <v/>
      </c>
      <c r="T687" t="str">
        <f>IF(L687="","",MIN(100,100*L687/Parametros!$B$7))</f>
        <v/>
      </c>
      <c r="U687" t="str">
        <f>IF(K687="","",MIN(100,100*K687/Parametros!$B$8))</f>
        <v/>
      </c>
      <c r="V687" t="str">
        <f ca="1">IFERROR(((AVERAGEIFS(Documentacion!$C$2:$C$1000,Documentacion!$A$2:$A$1000,$A687,Documentacion!$B$2:$B$1000,"&gt;="&amp;DATEVALUE($B687&amp;"-01"),Documentacion!$B$2:$B$1000,"&lt;="&amp;EOMONTH(DATEVALUE($B687&amp;"-01"),0)))-1)/4*100,"")</f>
        <v/>
      </c>
      <c r="W687" t="str">
        <f ca="1">IFERROR(((AVERAGEIFS(Feedback_360!$D$2:$D$1000,Feedback_360!$A$2:$A$1000,$A687,Feedback_360!$B$2:$B$1000,"&gt;="&amp;DATEVALUE($B687&amp;"-01"),Feedback_360!$B$2:$B$1000,"&lt;="&amp;EOMONTH(DATEVALUE($B687&amp;"-01"),0)))-1)/4*100,"")</f>
        <v/>
      </c>
      <c r="X687" t="str">
        <f ca="1">IFERROR(((AVERAGEIFS(Observacion_Directa!$D$2:$D$1000,Observacion_Directa!$A$2:$A$1000,$A687,Observacion_Directa!$B$2:$B$1000,"&gt;="&amp;DATEVALUE($B687&amp;"-01"),Observacion_Directa!$B$2:$B$1000,"&lt;="&amp;EOMONTH(DATEVALUE($B687&amp;"-01"),0)))-1)/4*100,"")</f>
        <v/>
      </c>
      <c r="Y687" t="e">
        <f t="shared" ca="1" si="21"/>
        <v>#DIV/0!</v>
      </c>
    </row>
    <row r="688" spans="12:25" x14ac:dyDescent="0.2">
      <c r="L688" t="str">
        <f t="shared" si="20"/>
        <v/>
      </c>
      <c r="M688" t="str">
        <f>IFERROR(AVERAGEIFS(Prod_5dias!$H$2:$H$1000,Prod_5dias!$A$2:$A$1000,$A688,Prod_5dias!$B$2:$B$1000,$B688),"")</f>
        <v/>
      </c>
      <c r="N688" t="str">
        <f>IF(M688="","",MIN(100,100*M688/Parametros!$B$7))</f>
        <v/>
      </c>
      <c r="O688" t="str">
        <f>IF(F688="","",IF(F688=0,100,MIN(100,100*Parametros!$B$3/F688)))</f>
        <v/>
      </c>
      <c r="P688" t="str">
        <f ca="1">IFERROR(((AVERAGEIFS(Observacion_Directa!$E$2:$E$1000,Observacion_Directa!$A$2:$A$1000,$A688,Observacion_Directa!$B$2:$B$1000,"&gt;="&amp;DATEVALUE($B688&amp;"-01"),Observacion_Directa!$B$2:$B$1000,"&lt;="&amp;EOMONTH(DATEVALUE($B688&amp;"-01"),0)))-1)/4*100,"")</f>
        <v/>
      </c>
      <c r="Q688" t="str">
        <f>IF(H688="","",MIN(100,100*H688/Parametros!$B$4))</f>
        <v/>
      </c>
      <c r="R688" t="str">
        <f>IF(I688="","",IF(I688=0,100,MIN(100,100*Parametros!$B$5/I688)))</f>
        <v/>
      </c>
      <c r="S688" t="str">
        <f>IF(J688="","",IF(J688=0,100,MIN(100,100*Parametros!$B$6/J688)))</f>
        <v/>
      </c>
      <c r="T688" t="str">
        <f>IF(L688="","",MIN(100,100*L688/Parametros!$B$7))</f>
        <v/>
      </c>
      <c r="U688" t="str">
        <f>IF(K688="","",MIN(100,100*K688/Parametros!$B$8))</f>
        <v/>
      </c>
      <c r="V688" t="str">
        <f ca="1">IFERROR(((AVERAGEIFS(Documentacion!$C$2:$C$1000,Documentacion!$A$2:$A$1000,$A688,Documentacion!$B$2:$B$1000,"&gt;="&amp;DATEVALUE($B688&amp;"-01"),Documentacion!$B$2:$B$1000,"&lt;="&amp;EOMONTH(DATEVALUE($B688&amp;"-01"),0)))-1)/4*100,"")</f>
        <v/>
      </c>
      <c r="W688" t="str">
        <f ca="1">IFERROR(((AVERAGEIFS(Feedback_360!$D$2:$D$1000,Feedback_360!$A$2:$A$1000,$A688,Feedback_360!$B$2:$B$1000,"&gt;="&amp;DATEVALUE($B688&amp;"-01"),Feedback_360!$B$2:$B$1000,"&lt;="&amp;EOMONTH(DATEVALUE($B688&amp;"-01"),0)))-1)/4*100,"")</f>
        <v/>
      </c>
      <c r="X688" t="str">
        <f ca="1">IFERROR(((AVERAGEIFS(Observacion_Directa!$D$2:$D$1000,Observacion_Directa!$A$2:$A$1000,$A688,Observacion_Directa!$B$2:$B$1000,"&gt;="&amp;DATEVALUE($B688&amp;"-01"),Observacion_Directa!$B$2:$B$1000,"&lt;="&amp;EOMONTH(DATEVALUE($B688&amp;"-01"),0)))-1)/4*100,"")</f>
        <v/>
      </c>
      <c r="Y688" t="e">
        <f t="shared" ca="1" si="21"/>
        <v>#DIV/0!</v>
      </c>
    </row>
    <row r="689" spans="12:25" x14ac:dyDescent="0.2">
      <c r="L689" t="str">
        <f t="shared" si="20"/>
        <v/>
      </c>
      <c r="M689" t="str">
        <f>IFERROR(AVERAGEIFS(Prod_5dias!$H$2:$H$1000,Prod_5dias!$A$2:$A$1000,$A689,Prod_5dias!$B$2:$B$1000,$B689),"")</f>
        <v/>
      </c>
      <c r="N689" t="str">
        <f>IF(M689="","",MIN(100,100*M689/Parametros!$B$7))</f>
        <v/>
      </c>
      <c r="O689" t="str">
        <f>IF(F689="","",IF(F689=0,100,MIN(100,100*Parametros!$B$3/F689)))</f>
        <v/>
      </c>
      <c r="P689" t="str">
        <f ca="1">IFERROR(((AVERAGEIFS(Observacion_Directa!$E$2:$E$1000,Observacion_Directa!$A$2:$A$1000,$A689,Observacion_Directa!$B$2:$B$1000,"&gt;="&amp;DATEVALUE($B689&amp;"-01"),Observacion_Directa!$B$2:$B$1000,"&lt;="&amp;EOMONTH(DATEVALUE($B689&amp;"-01"),0)))-1)/4*100,"")</f>
        <v/>
      </c>
      <c r="Q689" t="str">
        <f>IF(H689="","",MIN(100,100*H689/Parametros!$B$4))</f>
        <v/>
      </c>
      <c r="R689" t="str">
        <f>IF(I689="","",IF(I689=0,100,MIN(100,100*Parametros!$B$5/I689)))</f>
        <v/>
      </c>
      <c r="S689" t="str">
        <f>IF(J689="","",IF(J689=0,100,MIN(100,100*Parametros!$B$6/J689)))</f>
        <v/>
      </c>
      <c r="T689" t="str">
        <f>IF(L689="","",MIN(100,100*L689/Parametros!$B$7))</f>
        <v/>
      </c>
      <c r="U689" t="str">
        <f>IF(K689="","",MIN(100,100*K689/Parametros!$B$8))</f>
        <v/>
      </c>
      <c r="V689" t="str">
        <f ca="1">IFERROR(((AVERAGEIFS(Documentacion!$C$2:$C$1000,Documentacion!$A$2:$A$1000,$A689,Documentacion!$B$2:$B$1000,"&gt;="&amp;DATEVALUE($B689&amp;"-01"),Documentacion!$B$2:$B$1000,"&lt;="&amp;EOMONTH(DATEVALUE($B689&amp;"-01"),0)))-1)/4*100,"")</f>
        <v/>
      </c>
      <c r="W689" t="str">
        <f ca="1">IFERROR(((AVERAGEIFS(Feedback_360!$D$2:$D$1000,Feedback_360!$A$2:$A$1000,$A689,Feedback_360!$B$2:$B$1000,"&gt;="&amp;DATEVALUE($B689&amp;"-01"),Feedback_360!$B$2:$B$1000,"&lt;="&amp;EOMONTH(DATEVALUE($B689&amp;"-01"),0)))-1)/4*100,"")</f>
        <v/>
      </c>
      <c r="X689" t="str">
        <f ca="1">IFERROR(((AVERAGEIFS(Observacion_Directa!$D$2:$D$1000,Observacion_Directa!$A$2:$A$1000,$A689,Observacion_Directa!$B$2:$B$1000,"&gt;="&amp;DATEVALUE($B689&amp;"-01"),Observacion_Directa!$B$2:$B$1000,"&lt;="&amp;EOMONTH(DATEVALUE($B689&amp;"-01"),0)))-1)/4*100,"")</f>
        <v/>
      </c>
      <c r="Y689" t="e">
        <f t="shared" ca="1" si="21"/>
        <v>#DIV/0!</v>
      </c>
    </row>
    <row r="690" spans="12:25" x14ac:dyDescent="0.2">
      <c r="L690" t="str">
        <f t="shared" si="20"/>
        <v/>
      </c>
      <c r="M690" t="str">
        <f>IFERROR(AVERAGEIFS(Prod_5dias!$H$2:$H$1000,Prod_5dias!$A$2:$A$1000,$A690,Prod_5dias!$B$2:$B$1000,$B690),"")</f>
        <v/>
      </c>
      <c r="N690" t="str">
        <f>IF(M690="","",MIN(100,100*M690/Parametros!$B$7))</f>
        <v/>
      </c>
      <c r="O690" t="str">
        <f>IF(F690="","",IF(F690=0,100,MIN(100,100*Parametros!$B$3/F690)))</f>
        <v/>
      </c>
      <c r="P690" t="str">
        <f ca="1">IFERROR(((AVERAGEIFS(Observacion_Directa!$E$2:$E$1000,Observacion_Directa!$A$2:$A$1000,$A690,Observacion_Directa!$B$2:$B$1000,"&gt;="&amp;DATEVALUE($B690&amp;"-01"),Observacion_Directa!$B$2:$B$1000,"&lt;="&amp;EOMONTH(DATEVALUE($B690&amp;"-01"),0)))-1)/4*100,"")</f>
        <v/>
      </c>
      <c r="Q690" t="str">
        <f>IF(H690="","",MIN(100,100*H690/Parametros!$B$4))</f>
        <v/>
      </c>
      <c r="R690" t="str">
        <f>IF(I690="","",IF(I690=0,100,MIN(100,100*Parametros!$B$5/I690)))</f>
        <v/>
      </c>
      <c r="S690" t="str">
        <f>IF(J690="","",IF(J690=0,100,MIN(100,100*Parametros!$B$6/J690)))</f>
        <v/>
      </c>
      <c r="T690" t="str">
        <f>IF(L690="","",MIN(100,100*L690/Parametros!$B$7))</f>
        <v/>
      </c>
      <c r="U690" t="str">
        <f>IF(K690="","",MIN(100,100*K690/Parametros!$B$8))</f>
        <v/>
      </c>
      <c r="V690" t="str">
        <f ca="1">IFERROR(((AVERAGEIFS(Documentacion!$C$2:$C$1000,Documentacion!$A$2:$A$1000,$A690,Documentacion!$B$2:$B$1000,"&gt;="&amp;DATEVALUE($B690&amp;"-01"),Documentacion!$B$2:$B$1000,"&lt;="&amp;EOMONTH(DATEVALUE($B690&amp;"-01"),0)))-1)/4*100,"")</f>
        <v/>
      </c>
      <c r="W690" t="str">
        <f ca="1">IFERROR(((AVERAGEIFS(Feedback_360!$D$2:$D$1000,Feedback_360!$A$2:$A$1000,$A690,Feedback_360!$B$2:$B$1000,"&gt;="&amp;DATEVALUE($B690&amp;"-01"),Feedback_360!$B$2:$B$1000,"&lt;="&amp;EOMONTH(DATEVALUE($B690&amp;"-01"),0)))-1)/4*100,"")</f>
        <v/>
      </c>
      <c r="X690" t="str">
        <f ca="1">IFERROR(((AVERAGEIFS(Observacion_Directa!$D$2:$D$1000,Observacion_Directa!$A$2:$A$1000,$A690,Observacion_Directa!$B$2:$B$1000,"&gt;="&amp;DATEVALUE($B690&amp;"-01"),Observacion_Directa!$B$2:$B$1000,"&lt;="&amp;EOMONTH(DATEVALUE($B690&amp;"-01"),0)))-1)/4*100,"")</f>
        <v/>
      </c>
      <c r="Y690" t="e">
        <f t="shared" ca="1" si="21"/>
        <v>#DIV/0!</v>
      </c>
    </row>
    <row r="691" spans="12:25" x14ac:dyDescent="0.2">
      <c r="L691" t="str">
        <f t="shared" si="20"/>
        <v/>
      </c>
      <c r="M691" t="str">
        <f>IFERROR(AVERAGEIFS(Prod_5dias!$H$2:$H$1000,Prod_5dias!$A$2:$A$1000,$A691,Prod_5dias!$B$2:$B$1000,$B691),"")</f>
        <v/>
      </c>
      <c r="N691" t="str">
        <f>IF(M691="","",MIN(100,100*M691/Parametros!$B$7))</f>
        <v/>
      </c>
      <c r="O691" t="str">
        <f>IF(F691="","",IF(F691=0,100,MIN(100,100*Parametros!$B$3/F691)))</f>
        <v/>
      </c>
      <c r="P691" t="str">
        <f ca="1">IFERROR(((AVERAGEIFS(Observacion_Directa!$E$2:$E$1000,Observacion_Directa!$A$2:$A$1000,$A691,Observacion_Directa!$B$2:$B$1000,"&gt;="&amp;DATEVALUE($B691&amp;"-01"),Observacion_Directa!$B$2:$B$1000,"&lt;="&amp;EOMONTH(DATEVALUE($B691&amp;"-01"),0)))-1)/4*100,"")</f>
        <v/>
      </c>
      <c r="Q691" t="str">
        <f>IF(H691="","",MIN(100,100*H691/Parametros!$B$4))</f>
        <v/>
      </c>
      <c r="R691" t="str">
        <f>IF(I691="","",IF(I691=0,100,MIN(100,100*Parametros!$B$5/I691)))</f>
        <v/>
      </c>
      <c r="S691" t="str">
        <f>IF(J691="","",IF(J691=0,100,MIN(100,100*Parametros!$B$6/J691)))</f>
        <v/>
      </c>
      <c r="T691" t="str">
        <f>IF(L691="","",MIN(100,100*L691/Parametros!$B$7))</f>
        <v/>
      </c>
      <c r="U691" t="str">
        <f>IF(K691="","",MIN(100,100*K691/Parametros!$B$8))</f>
        <v/>
      </c>
      <c r="V691" t="str">
        <f ca="1">IFERROR(((AVERAGEIFS(Documentacion!$C$2:$C$1000,Documentacion!$A$2:$A$1000,$A691,Documentacion!$B$2:$B$1000,"&gt;="&amp;DATEVALUE($B691&amp;"-01"),Documentacion!$B$2:$B$1000,"&lt;="&amp;EOMONTH(DATEVALUE($B691&amp;"-01"),0)))-1)/4*100,"")</f>
        <v/>
      </c>
      <c r="W691" t="str">
        <f ca="1">IFERROR(((AVERAGEIFS(Feedback_360!$D$2:$D$1000,Feedback_360!$A$2:$A$1000,$A691,Feedback_360!$B$2:$B$1000,"&gt;="&amp;DATEVALUE($B691&amp;"-01"),Feedback_360!$B$2:$B$1000,"&lt;="&amp;EOMONTH(DATEVALUE($B691&amp;"-01"),0)))-1)/4*100,"")</f>
        <v/>
      </c>
      <c r="X691" t="str">
        <f ca="1">IFERROR(((AVERAGEIFS(Observacion_Directa!$D$2:$D$1000,Observacion_Directa!$A$2:$A$1000,$A691,Observacion_Directa!$B$2:$B$1000,"&gt;="&amp;DATEVALUE($B691&amp;"-01"),Observacion_Directa!$B$2:$B$1000,"&lt;="&amp;EOMONTH(DATEVALUE($B691&amp;"-01"),0)))-1)/4*100,"")</f>
        <v/>
      </c>
      <c r="Y691" t="e">
        <f t="shared" ca="1" si="21"/>
        <v>#DIV/0!</v>
      </c>
    </row>
    <row r="692" spans="12:25" x14ac:dyDescent="0.2">
      <c r="L692" t="str">
        <f t="shared" si="20"/>
        <v/>
      </c>
      <c r="M692" t="str">
        <f>IFERROR(AVERAGEIFS(Prod_5dias!$H$2:$H$1000,Prod_5dias!$A$2:$A$1000,$A692,Prod_5dias!$B$2:$B$1000,$B692),"")</f>
        <v/>
      </c>
      <c r="N692" t="str">
        <f>IF(M692="","",MIN(100,100*M692/Parametros!$B$7))</f>
        <v/>
      </c>
      <c r="O692" t="str">
        <f>IF(F692="","",IF(F692=0,100,MIN(100,100*Parametros!$B$3/F692)))</f>
        <v/>
      </c>
      <c r="P692" t="str">
        <f ca="1">IFERROR(((AVERAGEIFS(Observacion_Directa!$E$2:$E$1000,Observacion_Directa!$A$2:$A$1000,$A692,Observacion_Directa!$B$2:$B$1000,"&gt;="&amp;DATEVALUE($B692&amp;"-01"),Observacion_Directa!$B$2:$B$1000,"&lt;="&amp;EOMONTH(DATEVALUE($B692&amp;"-01"),0)))-1)/4*100,"")</f>
        <v/>
      </c>
      <c r="Q692" t="str">
        <f>IF(H692="","",MIN(100,100*H692/Parametros!$B$4))</f>
        <v/>
      </c>
      <c r="R692" t="str">
        <f>IF(I692="","",IF(I692=0,100,MIN(100,100*Parametros!$B$5/I692)))</f>
        <v/>
      </c>
      <c r="S692" t="str">
        <f>IF(J692="","",IF(J692=0,100,MIN(100,100*Parametros!$B$6/J692)))</f>
        <v/>
      </c>
      <c r="T692" t="str">
        <f>IF(L692="","",MIN(100,100*L692/Parametros!$B$7))</f>
        <v/>
      </c>
      <c r="U692" t="str">
        <f>IF(K692="","",MIN(100,100*K692/Parametros!$B$8))</f>
        <v/>
      </c>
      <c r="V692" t="str">
        <f ca="1">IFERROR(((AVERAGEIFS(Documentacion!$C$2:$C$1000,Documentacion!$A$2:$A$1000,$A692,Documentacion!$B$2:$B$1000,"&gt;="&amp;DATEVALUE($B692&amp;"-01"),Documentacion!$B$2:$B$1000,"&lt;="&amp;EOMONTH(DATEVALUE($B692&amp;"-01"),0)))-1)/4*100,"")</f>
        <v/>
      </c>
      <c r="W692" t="str">
        <f ca="1">IFERROR(((AVERAGEIFS(Feedback_360!$D$2:$D$1000,Feedback_360!$A$2:$A$1000,$A692,Feedback_360!$B$2:$B$1000,"&gt;="&amp;DATEVALUE($B692&amp;"-01"),Feedback_360!$B$2:$B$1000,"&lt;="&amp;EOMONTH(DATEVALUE($B692&amp;"-01"),0)))-1)/4*100,"")</f>
        <v/>
      </c>
      <c r="X692" t="str">
        <f ca="1">IFERROR(((AVERAGEIFS(Observacion_Directa!$D$2:$D$1000,Observacion_Directa!$A$2:$A$1000,$A692,Observacion_Directa!$B$2:$B$1000,"&gt;="&amp;DATEVALUE($B692&amp;"-01"),Observacion_Directa!$B$2:$B$1000,"&lt;="&amp;EOMONTH(DATEVALUE($B692&amp;"-01"),0)))-1)/4*100,"")</f>
        <v/>
      </c>
      <c r="Y692" t="e">
        <f t="shared" ca="1" si="21"/>
        <v>#DIV/0!</v>
      </c>
    </row>
    <row r="693" spans="12:25" x14ac:dyDescent="0.2">
      <c r="L693" t="str">
        <f t="shared" si="20"/>
        <v/>
      </c>
      <c r="M693" t="str">
        <f>IFERROR(AVERAGEIFS(Prod_5dias!$H$2:$H$1000,Prod_5dias!$A$2:$A$1000,$A693,Prod_5dias!$B$2:$B$1000,$B693),"")</f>
        <v/>
      </c>
      <c r="N693" t="str">
        <f>IF(M693="","",MIN(100,100*M693/Parametros!$B$7))</f>
        <v/>
      </c>
      <c r="O693" t="str">
        <f>IF(F693="","",IF(F693=0,100,MIN(100,100*Parametros!$B$3/F693)))</f>
        <v/>
      </c>
      <c r="P693" t="str">
        <f ca="1">IFERROR(((AVERAGEIFS(Observacion_Directa!$E$2:$E$1000,Observacion_Directa!$A$2:$A$1000,$A693,Observacion_Directa!$B$2:$B$1000,"&gt;="&amp;DATEVALUE($B693&amp;"-01"),Observacion_Directa!$B$2:$B$1000,"&lt;="&amp;EOMONTH(DATEVALUE($B693&amp;"-01"),0)))-1)/4*100,"")</f>
        <v/>
      </c>
      <c r="Q693" t="str">
        <f>IF(H693="","",MIN(100,100*H693/Parametros!$B$4))</f>
        <v/>
      </c>
      <c r="R693" t="str">
        <f>IF(I693="","",IF(I693=0,100,MIN(100,100*Parametros!$B$5/I693)))</f>
        <v/>
      </c>
      <c r="S693" t="str">
        <f>IF(J693="","",IF(J693=0,100,MIN(100,100*Parametros!$B$6/J693)))</f>
        <v/>
      </c>
      <c r="T693" t="str">
        <f>IF(L693="","",MIN(100,100*L693/Parametros!$B$7))</f>
        <v/>
      </c>
      <c r="U693" t="str">
        <f>IF(K693="","",MIN(100,100*K693/Parametros!$B$8))</f>
        <v/>
      </c>
      <c r="V693" t="str">
        <f ca="1">IFERROR(((AVERAGEIFS(Documentacion!$C$2:$C$1000,Documentacion!$A$2:$A$1000,$A693,Documentacion!$B$2:$B$1000,"&gt;="&amp;DATEVALUE($B693&amp;"-01"),Documentacion!$B$2:$B$1000,"&lt;="&amp;EOMONTH(DATEVALUE($B693&amp;"-01"),0)))-1)/4*100,"")</f>
        <v/>
      </c>
      <c r="W693" t="str">
        <f ca="1">IFERROR(((AVERAGEIFS(Feedback_360!$D$2:$D$1000,Feedback_360!$A$2:$A$1000,$A693,Feedback_360!$B$2:$B$1000,"&gt;="&amp;DATEVALUE($B693&amp;"-01"),Feedback_360!$B$2:$B$1000,"&lt;="&amp;EOMONTH(DATEVALUE($B693&amp;"-01"),0)))-1)/4*100,"")</f>
        <v/>
      </c>
      <c r="X693" t="str">
        <f ca="1">IFERROR(((AVERAGEIFS(Observacion_Directa!$D$2:$D$1000,Observacion_Directa!$A$2:$A$1000,$A693,Observacion_Directa!$B$2:$B$1000,"&gt;="&amp;DATEVALUE($B693&amp;"-01"),Observacion_Directa!$B$2:$B$1000,"&lt;="&amp;EOMONTH(DATEVALUE($B693&amp;"-01"),0)))-1)/4*100,"")</f>
        <v/>
      </c>
      <c r="Y693" t="e">
        <f t="shared" ca="1" si="21"/>
        <v>#DIV/0!</v>
      </c>
    </row>
    <row r="694" spans="12:25" x14ac:dyDescent="0.2">
      <c r="L694" t="str">
        <f t="shared" si="20"/>
        <v/>
      </c>
      <c r="M694" t="str">
        <f>IFERROR(AVERAGEIFS(Prod_5dias!$H$2:$H$1000,Prod_5dias!$A$2:$A$1000,$A694,Prod_5dias!$B$2:$B$1000,$B694),"")</f>
        <v/>
      </c>
      <c r="N694" t="str">
        <f>IF(M694="","",MIN(100,100*M694/Parametros!$B$7))</f>
        <v/>
      </c>
      <c r="O694" t="str">
        <f>IF(F694="","",IF(F694=0,100,MIN(100,100*Parametros!$B$3/F694)))</f>
        <v/>
      </c>
      <c r="P694" t="str">
        <f ca="1">IFERROR(((AVERAGEIFS(Observacion_Directa!$E$2:$E$1000,Observacion_Directa!$A$2:$A$1000,$A694,Observacion_Directa!$B$2:$B$1000,"&gt;="&amp;DATEVALUE($B694&amp;"-01"),Observacion_Directa!$B$2:$B$1000,"&lt;="&amp;EOMONTH(DATEVALUE($B694&amp;"-01"),0)))-1)/4*100,"")</f>
        <v/>
      </c>
      <c r="Q694" t="str">
        <f>IF(H694="","",MIN(100,100*H694/Parametros!$B$4))</f>
        <v/>
      </c>
      <c r="R694" t="str">
        <f>IF(I694="","",IF(I694=0,100,MIN(100,100*Parametros!$B$5/I694)))</f>
        <v/>
      </c>
      <c r="S694" t="str">
        <f>IF(J694="","",IF(J694=0,100,MIN(100,100*Parametros!$B$6/J694)))</f>
        <v/>
      </c>
      <c r="T694" t="str">
        <f>IF(L694="","",MIN(100,100*L694/Parametros!$B$7))</f>
        <v/>
      </c>
      <c r="U694" t="str">
        <f>IF(K694="","",MIN(100,100*K694/Parametros!$B$8))</f>
        <v/>
      </c>
      <c r="V694" t="str">
        <f ca="1">IFERROR(((AVERAGEIFS(Documentacion!$C$2:$C$1000,Documentacion!$A$2:$A$1000,$A694,Documentacion!$B$2:$B$1000,"&gt;="&amp;DATEVALUE($B694&amp;"-01"),Documentacion!$B$2:$B$1000,"&lt;="&amp;EOMONTH(DATEVALUE($B694&amp;"-01"),0)))-1)/4*100,"")</f>
        <v/>
      </c>
      <c r="W694" t="str">
        <f ca="1">IFERROR(((AVERAGEIFS(Feedback_360!$D$2:$D$1000,Feedback_360!$A$2:$A$1000,$A694,Feedback_360!$B$2:$B$1000,"&gt;="&amp;DATEVALUE($B694&amp;"-01"),Feedback_360!$B$2:$B$1000,"&lt;="&amp;EOMONTH(DATEVALUE($B694&amp;"-01"),0)))-1)/4*100,"")</f>
        <v/>
      </c>
      <c r="X694" t="str">
        <f ca="1">IFERROR(((AVERAGEIFS(Observacion_Directa!$D$2:$D$1000,Observacion_Directa!$A$2:$A$1000,$A694,Observacion_Directa!$B$2:$B$1000,"&gt;="&amp;DATEVALUE($B694&amp;"-01"),Observacion_Directa!$B$2:$B$1000,"&lt;="&amp;EOMONTH(DATEVALUE($B694&amp;"-01"),0)))-1)/4*100,"")</f>
        <v/>
      </c>
      <c r="Y694" t="e">
        <f t="shared" ca="1" si="21"/>
        <v>#DIV/0!</v>
      </c>
    </row>
    <row r="695" spans="12:25" x14ac:dyDescent="0.2">
      <c r="L695" t="str">
        <f t="shared" si="20"/>
        <v/>
      </c>
      <c r="M695" t="str">
        <f>IFERROR(AVERAGEIFS(Prod_5dias!$H$2:$H$1000,Prod_5dias!$A$2:$A$1000,$A695,Prod_5dias!$B$2:$B$1000,$B695),"")</f>
        <v/>
      </c>
      <c r="N695" t="str">
        <f>IF(M695="","",MIN(100,100*M695/Parametros!$B$7))</f>
        <v/>
      </c>
      <c r="O695" t="str">
        <f>IF(F695="","",IF(F695=0,100,MIN(100,100*Parametros!$B$3/F695)))</f>
        <v/>
      </c>
      <c r="P695" t="str">
        <f ca="1">IFERROR(((AVERAGEIFS(Observacion_Directa!$E$2:$E$1000,Observacion_Directa!$A$2:$A$1000,$A695,Observacion_Directa!$B$2:$B$1000,"&gt;="&amp;DATEVALUE($B695&amp;"-01"),Observacion_Directa!$B$2:$B$1000,"&lt;="&amp;EOMONTH(DATEVALUE($B695&amp;"-01"),0)))-1)/4*100,"")</f>
        <v/>
      </c>
      <c r="Q695" t="str">
        <f>IF(H695="","",MIN(100,100*H695/Parametros!$B$4))</f>
        <v/>
      </c>
      <c r="R695" t="str">
        <f>IF(I695="","",IF(I695=0,100,MIN(100,100*Parametros!$B$5/I695)))</f>
        <v/>
      </c>
      <c r="S695" t="str">
        <f>IF(J695="","",IF(J695=0,100,MIN(100,100*Parametros!$B$6/J695)))</f>
        <v/>
      </c>
      <c r="T695" t="str">
        <f>IF(L695="","",MIN(100,100*L695/Parametros!$B$7))</f>
        <v/>
      </c>
      <c r="U695" t="str">
        <f>IF(K695="","",MIN(100,100*K695/Parametros!$B$8))</f>
        <v/>
      </c>
      <c r="V695" t="str">
        <f ca="1">IFERROR(((AVERAGEIFS(Documentacion!$C$2:$C$1000,Documentacion!$A$2:$A$1000,$A695,Documentacion!$B$2:$B$1000,"&gt;="&amp;DATEVALUE($B695&amp;"-01"),Documentacion!$B$2:$B$1000,"&lt;="&amp;EOMONTH(DATEVALUE($B695&amp;"-01"),0)))-1)/4*100,"")</f>
        <v/>
      </c>
      <c r="W695" t="str">
        <f ca="1">IFERROR(((AVERAGEIFS(Feedback_360!$D$2:$D$1000,Feedback_360!$A$2:$A$1000,$A695,Feedback_360!$B$2:$B$1000,"&gt;="&amp;DATEVALUE($B695&amp;"-01"),Feedback_360!$B$2:$B$1000,"&lt;="&amp;EOMONTH(DATEVALUE($B695&amp;"-01"),0)))-1)/4*100,"")</f>
        <v/>
      </c>
      <c r="X695" t="str">
        <f ca="1">IFERROR(((AVERAGEIFS(Observacion_Directa!$D$2:$D$1000,Observacion_Directa!$A$2:$A$1000,$A695,Observacion_Directa!$B$2:$B$1000,"&gt;="&amp;DATEVALUE($B695&amp;"-01"),Observacion_Directa!$B$2:$B$1000,"&lt;="&amp;EOMONTH(DATEVALUE($B695&amp;"-01"),0)))-1)/4*100,"")</f>
        <v/>
      </c>
      <c r="Y695" t="e">
        <f t="shared" ca="1" si="21"/>
        <v>#DIV/0!</v>
      </c>
    </row>
    <row r="696" spans="12:25" x14ac:dyDescent="0.2">
      <c r="L696" t="str">
        <f t="shared" si="20"/>
        <v/>
      </c>
      <c r="M696" t="str">
        <f>IFERROR(AVERAGEIFS(Prod_5dias!$H$2:$H$1000,Prod_5dias!$A$2:$A$1000,$A696,Prod_5dias!$B$2:$B$1000,$B696),"")</f>
        <v/>
      </c>
      <c r="N696" t="str">
        <f>IF(M696="","",MIN(100,100*M696/Parametros!$B$7))</f>
        <v/>
      </c>
      <c r="O696" t="str">
        <f>IF(F696="","",IF(F696=0,100,MIN(100,100*Parametros!$B$3/F696)))</f>
        <v/>
      </c>
      <c r="P696" t="str">
        <f ca="1">IFERROR(((AVERAGEIFS(Observacion_Directa!$E$2:$E$1000,Observacion_Directa!$A$2:$A$1000,$A696,Observacion_Directa!$B$2:$B$1000,"&gt;="&amp;DATEVALUE($B696&amp;"-01"),Observacion_Directa!$B$2:$B$1000,"&lt;="&amp;EOMONTH(DATEVALUE($B696&amp;"-01"),0)))-1)/4*100,"")</f>
        <v/>
      </c>
      <c r="Q696" t="str">
        <f>IF(H696="","",MIN(100,100*H696/Parametros!$B$4))</f>
        <v/>
      </c>
      <c r="R696" t="str">
        <f>IF(I696="","",IF(I696=0,100,MIN(100,100*Parametros!$B$5/I696)))</f>
        <v/>
      </c>
      <c r="S696" t="str">
        <f>IF(J696="","",IF(J696=0,100,MIN(100,100*Parametros!$B$6/J696)))</f>
        <v/>
      </c>
      <c r="T696" t="str">
        <f>IF(L696="","",MIN(100,100*L696/Parametros!$B$7))</f>
        <v/>
      </c>
      <c r="U696" t="str">
        <f>IF(K696="","",MIN(100,100*K696/Parametros!$B$8))</f>
        <v/>
      </c>
      <c r="V696" t="str">
        <f ca="1">IFERROR(((AVERAGEIFS(Documentacion!$C$2:$C$1000,Documentacion!$A$2:$A$1000,$A696,Documentacion!$B$2:$B$1000,"&gt;="&amp;DATEVALUE($B696&amp;"-01"),Documentacion!$B$2:$B$1000,"&lt;="&amp;EOMONTH(DATEVALUE($B696&amp;"-01"),0)))-1)/4*100,"")</f>
        <v/>
      </c>
      <c r="W696" t="str">
        <f ca="1">IFERROR(((AVERAGEIFS(Feedback_360!$D$2:$D$1000,Feedback_360!$A$2:$A$1000,$A696,Feedback_360!$B$2:$B$1000,"&gt;="&amp;DATEVALUE($B696&amp;"-01"),Feedback_360!$B$2:$B$1000,"&lt;="&amp;EOMONTH(DATEVALUE($B696&amp;"-01"),0)))-1)/4*100,"")</f>
        <v/>
      </c>
      <c r="X696" t="str">
        <f ca="1">IFERROR(((AVERAGEIFS(Observacion_Directa!$D$2:$D$1000,Observacion_Directa!$A$2:$A$1000,$A696,Observacion_Directa!$B$2:$B$1000,"&gt;="&amp;DATEVALUE($B696&amp;"-01"),Observacion_Directa!$B$2:$B$1000,"&lt;="&amp;EOMONTH(DATEVALUE($B696&amp;"-01"),0)))-1)/4*100,"")</f>
        <v/>
      </c>
      <c r="Y696" t="e">
        <f t="shared" ca="1" si="21"/>
        <v>#DIV/0!</v>
      </c>
    </row>
    <row r="697" spans="12:25" x14ac:dyDescent="0.2">
      <c r="L697" t="str">
        <f t="shared" si="20"/>
        <v/>
      </c>
      <c r="M697" t="str">
        <f>IFERROR(AVERAGEIFS(Prod_5dias!$H$2:$H$1000,Prod_5dias!$A$2:$A$1000,$A697,Prod_5dias!$B$2:$B$1000,$B697),"")</f>
        <v/>
      </c>
      <c r="N697" t="str">
        <f>IF(M697="","",MIN(100,100*M697/Parametros!$B$7))</f>
        <v/>
      </c>
      <c r="O697" t="str">
        <f>IF(F697="","",IF(F697=0,100,MIN(100,100*Parametros!$B$3/F697)))</f>
        <v/>
      </c>
      <c r="P697" t="str">
        <f ca="1">IFERROR(((AVERAGEIFS(Observacion_Directa!$E$2:$E$1000,Observacion_Directa!$A$2:$A$1000,$A697,Observacion_Directa!$B$2:$B$1000,"&gt;="&amp;DATEVALUE($B697&amp;"-01"),Observacion_Directa!$B$2:$B$1000,"&lt;="&amp;EOMONTH(DATEVALUE($B697&amp;"-01"),0)))-1)/4*100,"")</f>
        <v/>
      </c>
      <c r="Q697" t="str">
        <f>IF(H697="","",MIN(100,100*H697/Parametros!$B$4))</f>
        <v/>
      </c>
      <c r="R697" t="str">
        <f>IF(I697="","",IF(I697=0,100,MIN(100,100*Parametros!$B$5/I697)))</f>
        <v/>
      </c>
      <c r="S697" t="str">
        <f>IF(J697="","",IF(J697=0,100,MIN(100,100*Parametros!$B$6/J697)))</f>
        <v/>
      </c>
      <c r="T697" t="str">
        <f>IF(L697="","",MIN(100,100*L697/Parametros!$B$7))</f>
        <v/>
      </c>
      <c r="U697" t="str">
        <f>IF(K697="","",MIN(100,100*K697/Parametros!$B$8))</f>
        <v/>
      </c>
      <c r="V697" t="str">
        <f ca="1">IFERROR(((AVERAGEIFS(Documentacion!$C$2:$C$1000,Documentacion!$A$2:$A$1000,$A697,Documentacion!$B$2:$B$1000,"&gt;="&amp;DATEVALUE($B697&amp;"-01"),Documentacion!$B$2:$B$1000,"&lt;="&amp;EOMONTH(DATEVALUE($B697&amp;"-01"),0)))-1)/4*100,"")</f>
        <v/>
      </c>
      <c r="W697" t="str">
        <f ca="1">IFERROR(((AVERAGEIFS(Feedback_360!$D$2:$D$1000,Feedback_360!$A$2:$A$1000,$A697,Feedback_360!$B$2:$B$1000,"&gt;="&amp;DATEVALUE($B697&amp;"-01"),Feedback_360!$B$2:$B$1000,"&lt;="&amp;EOMONTH(DATEVALUE($B697&amp;"-01"),0)))-1)/4*100,"")</f>
        <v/>
      </c>
      <c r="X697" t="str">
        <f ca="1">IFERROR(((AVERAGEIFS(Observacion_Directa!$D$2:$D$1000,Observacion_Directa!$A$2:$A$1000,$A697,Observacion_Directa!$B$2:$B$1000,"&gt;="&amp;DATEVALUE($B697&amp;"-01"),Observacion_Directa!$B$2:$B$1000,"&lt;="&amp;EOMONTH(DATEVALUE($B697&amp;"-01"),0)))-1)/4*100,"")</f>
        <v/>
      </c>
      <c r="Y697" t="e">
        <f t="shared" ca="1" si="21"/>
        <v>#DIV/0!</v>
      </c>
    </row>
    <row r="698" spans="12:25" x14ac:dyDescent="0.2">
      <c r="L698" t="str">
        <f t="shared" si="20"/>
        <v/>
      </c>
      <c r="M698" t="str">
        <f>IFERROR(AVERAGEIFS(Prod_5dias!$H$2:$H$1000,Prod_5dias!$A$2:$A$1000,$A698,Prod_5dias!$B$2:$B$1000,$B698),"")</f>
        <v/>
      </c>
      <c r="N698" t="str">
        <f>IF(M698="","",MIN(100,100*M698/Parametros!$B$7))</f>
        <v/>
      </c>
      <c r="O698" t="str">
        <f>IF(F698="","",IF(F698=0,100,MIN(100,100*Parametros!$B$3/F698)))</f>
        <v/>
      </c>
      <c r="P698" t="str">
        <f ca="1">IFERROR(((AVERAGEIFS(Observacion_Directa!$E$2:$E$1000,Observacion_Directa!$A$2:$A$1000,$A698,Observacion_Directa!$B$2:$B$1000,"&gt;="&amp;DATEVALUE($B698&amp;"-01"),Observacion_Directa!$B$2:$B$1000,"&lt;="&amp;EOMONTH(DATEVALUE($B698&amp;"-01"),0)))-1)/4*100,"")</f>
        <v/>
      </c>
      <c r="Q698" t="str">
        <f>IF(H698="","",MIN(100,100*H698/Parametros!$B$4))</f>
        <v/>
      </c>
      <c r="R698" t="str">
        <f>IF(I698="","",IF(I698=0,100,MIN(100,100*Parametros!$B$5/I698)))</f>
        <v/>
      </c>
      <c r="S698" t="str">
        <f>IF(J698="","",IF(J698=0,100,MIN(100,100*Parametros!$B$6/J698)))</f>
        <v/>
      </c>
      <c r="T698" t="str">
        <f>IF(L698="","",MIN(100,100*L698/Parametros!$B$7))</f>
        <v/>
      </c>
      <c r="U698" t="str">
        <f>IF(K698="","",MIN(100,100*K698/Parametros!$B$8))</f>
        <v/>
      </c>
      <c r="V698" t="str">
        <f ca="1">IFERROR(((AVERAGEIFS(Documentacion!$C$2:$C$1000,Documentacion!$A$2:$A$1000,$A698,Documentacion!$B$2:$B$1000,"&gt;="&amp;DATEVALUE($B698&amp;"-01"),Documentacion!$B$2:$B$1000,"&lt;="&amp;EOMONTH(DATEVALUE($B698&amp;"-01"),0)))-1)/4*100,"")</f>
        <v/>
      </c>
      <c r="W698" t="str">
        <f ca="1">IFERROR(((AVERAGEIFS(Feedback_360!$D$2:$D$1000,Feedback_360!$A$2:$A$1000,$A698,Feedback_360!$B$2:$B$1000,"&gt;="&amp;DATEVALUE($B698&amp;"-01"),Feedback_360!$B$2:$B$1000,"&lt;="&amp;EOMONTH(DATEVALUE($B698&amp;"-01"),0)))-1)/4*100,"")</f>
        <v/>
      </c>
      <c r="X698" t="str">
        <f ca="1">IFERROR(((AVERAGEIFS(Observacion_Directa!$D$2:$D$1000,Observacion_Directa!$A$2:$A$1000,$A698,Observacion_Directa!$B$2:$B$1000,"&gt;="&amp;DATEVALUE($B698&amp;"-01"),Observacion_Directa!$B$2:$B$1000,"&lt;="&amp;EOMONTH(DATEVALUE($B698&amp;"-01"),0)))-1)/4*100,"")</f>
        <v/>
      </c>
      <c r="Y698" t="e">
        <f t="shared" ca="1" si="21"/>
        <v>#DIV/0!</v>
      </c>
    </row>
    <row r="699" spans="12:25" x14ac:dyDescent="0.2">
      <c r="L699" t="str">
        <f t="shared" si="20"/>
        <v/>
      </c>
      <c r="M699" t="str">
        <f>IFERROR(AVERAGEIFS(Prod_5dias!$H$2:$H$1000,Prod_5dias!$A$2:$A$1000,$A699,Prod_5dias!$B$2:$B$1000,$B699),"")</f>
        <v/>
      </c>
      <c r="N699" t="str">
        <f>IF(M699="","",MIN(100,100*M699/Parametros!$B$7))</f>
        <v/>
      </c>
      <c r="O699" t="str">
        <f>IF(F699="","",IF(F699=0,100,MIN(100,100*Parametros!$B$3/F699)))</f>
        <v/>
      </c>
      <c r="P699" t="str">
        <f ca="1">IFERROR(((AVERAGEIFS(Observacion_Directa!$E$2:$E$1000,Observacion_Directa!$A$2:$A$1000,$A699,Observacion_Directa!$B$2:$B$1000,"&gt;="&amp;DATEVALUE($B699&amp;"-01"),Observacion_Directa!$B$2:$B$1000,"&lt;="&amp;EOMONTH(DATEVALUE($B699&amp;"-01"),0)))-1)/4*100,"")</f>
        <v/>
      </c>
      <c r="Q699" t="str">
        <f>IF(H699="","",MIN(100,100*H699/Parametros!$B$4))</f>
        <v/>
      </c>
      <c r="R699" t="str">
        <f>IF(I699="","",IF(I699=0,100,MIN(100,100*Parametros!$B$5/I699)))</f>
        <v/>
      </c>
      <c r="S699" t="str">
        <f>IF(J699="","",IF(J699=0,100,MIN(100,100*Parametros!$B$6/J699)))</f>
        <v/>
      </c>
      <c r="T699" t="str">
        <f>IF(L699="","",MIN(100,100*L699/Parametros!$B$7))</f>
        <v/>
      </c>
      <c r="U699" t="str">
        <f>IF(K699="","",MIN(100,100*K699/Parametros!$B$8))</f>
        <v/>
      </c>
      <c r="V699" t="str">
        <f ca="1">IFERROR(((AVERAGEIFS(Documentacion!$C$2:$C$1000,Documentacion!$A$2:$A$1000,$A699,Documentacion!$B$2:$B$1000,"&gt;="&amp;DATEVALUE($B699&amp;"-01"),Documentacion!$B$2:$B$1000,"&lt;="&amp;EOMONTH(DATEVALUE($B699&amp;"-01"),0)))-1)/4*100,"")</f>
        <v/>
      </c>
      <c r="W699" t="str">
        <f ca="1">IFERROR(((AVERAGEIFS(Feedback_360!$D$2:$D$1000,Feedback_360!$A$2:$A$1000,$A699,Feedback_360!$B$2:$B$1000,"&gt;="&amp;DATEVALUE($B699&amp;"-01"),Feedback_360!$B$2:$B$1000,"&lt;="&amp;EOMONTH(DATEVALUE($B699&amp;"-01"),0)))-1)/4*100,"")</f>
        <v/>
      </c>
      <c r="X699" t="str">
        <f ca="1">IFERROR(((AVERAGEIFS(Observacion_Directa!$D$2:$D$1000,Observacion_Directa!$A$2:$A$1000,$A699,Observacion_Directa!$B$2:$B$1000,"&gt;="&amp;DATEVALUE($B699&amp;"-01"),Observacion_Directa!$B$2:$B$1000,"&lt;="&amp;EOMONTH(DATEVALUE($B699&amp;"-01"),0)))-1)/4*100,"")</f>
        <v/>
      </c>
      <c r="Y699" t="e">
        <f t="shared" ca="1" si="21"/>
        <v>#DIV/0!</v>
      </c>
    </row>
    <row r="700" spans="12:25" x14ac:dyDescent="0.2">
      <c r="L700" t="str">
        <f t="shared" si="20"/>
        <v/>
      </c>
      <c r="M700" t="str">
        <f>IFERROR(AVERAGEIFS(Prod_5dias!$H$2:$H$1000,Prod_5dias!$A$2:$A$1000,$A700,Prod_5dias!$B$2:$B$1000,$B700),"")</f>
        <v/>
      </c>
      <c r="N700" t="str">
        <f>IF(M700="","",MIN(100,100*M700/Parametros!$B$7))</f>
        <v/>
      </c>
      <c r="O700" t="str">
        <f>IF(F700="","",IF(F700=0,100,MIN(100,100*Parametros!$B$3/F700)))</f>
        <v/>
      </c>
      <c r="P700" t="str">
        <f ca="1">IFERROR(((AVERAGEIFS(Observacion_Directa!$E$2:$E$1000,Observacion_Directa!$A$2:$A$1000,$A700,Observacion_Directa!$B$2:$B$1000,"&gt;="&amp;DATEVALUE($B700&amp;"-01"),Observacion_Directa!$B$2:$B$1000,"&lt;="&amp;EOMONTH(DATEVALUE($B700&amp;"-01"),0)))-1)/4*100,"")</f>
        <v/>
      </c>
      <c r="Q700" t="str">
        <f>IF(H700="","",MIN(100,100*H700/Parametros!$B$4))</f>
        <v/>
      </c>
      <c r="R700" t="str">
        <f>IF(I700="","",IF(I700=0,100,MIN(100,100*Parametros!$B$5/I700)))</f>
        <v/>
      </c>
      <c r="S700" t="str">
        <f>IF(J700="","",IF(J700=0,100,MIN(100,100*Parametros!$B$6/J700)))</f>
        <v/>
      </c>
      <c r="T700" t="str">
        <f>IF(L700="","",MIN(100,100*L700/Parametros!$B$7))</f>
        <v/>
      </c>
      <c r="U700" t="str">
        <f>IF(K700="","",MIN(100,100*K700/Parametros!$B$8))</f>
        <v/>
      </c>
      <c r="V700" t="str">
        <f ca="1">IFERROR(((AVERAGEIFS(Documentacion!$C$2:$C$1000,Documentacion!$A$2:$A$1000,$A700,Documentacion!$B$2:$B$1000,"&gt;="&amp;DATEVALUE($B700&amp;"-01"),Documentacion!$B$2:$B$1000,"&lt;="&amp;EOMONTH(DATEVALUE($B700&amp;"-01"),0)))-1)/4*100,"")</f>
        <v/>
      </c>
      <c r="W700" t="str">
        <f ca="1">IFERROR(((AVERAGEIFS(Feedback_360!$D$2:$D$1000,Feedback_360!$A$2:$A$1000,$A700,Feedback_360!$B$2:$B$1000,"&gt;="&amp;DATEVALUE($B700&amp;"-01"),Feedback_360!$B$2:$B$1000,"&lt;="&amp;EOMONTH(DATEVALUE($B700&amp;"-01"),0)))-1)/4*100,"")</f>
        <v/>
      </c>
      <c r="X700" t="str">
        <f ca="1">IFERROR(((AVERAGEIFS(Observacion_Directa!$D$2:$D$1000,Observacion_Directa!$A$2:$A$1000,$A700,Observacion_Directa!$B$2:$B$1000,"&gt;="&amp;DATEVALUE($B700&amp;"-01"),Observacion_Directa!$B$2:$B$1000,"&lt;="&amp;EOMONTH(DATEVALUE($B700&amp;"-01"),0)))-1)/4*100,"")</f>
        <v/>
      </c>
      <c r="Y700" t="e">
        <f t="shared" ca="1" si="21"/>
        <v>#DIV/0!</v>
      </c>
    </row>
    <row r="701" spans="12:25" x14ac:dyDescent="0.2">
      <c r="L701" t="str">
        <f t="shared" si="20"/>
        <v/>
      </c>
      <c r="M701" t="str">
        <f>IFERROR(AVERAGEIFS(Prod_5dias!$H$2:$H$1000,Prod_5dias!$A$2:$A$1000,$A701,Prod_5dias!$B$2:$B$1000,$B701),"")</f>
        <v/>
      </c>
      <c r="N701" t="str">
        <f>IF(M701="","",MIN(100,100*M701/Parametros!$B$7))</f>
        <v/>
      </c>
      <c r="O701" t="str">
        <f>IF(F701="","",IF(F701=0,100,MIN(100,100*Parametros!$B$3/F701)))</f>
        <v/>
      </c>
      <c r="P701" t="str">
        <f ca="1">IFERROR(((AVERAGEIFS(Observacion_Directa!$E$2:$E$1000,Observacion_Directa!$A$2:$A$1000,$A701,Observacion_Directa!$B$2:$B$1000,"&gt;="&amp;DATEVALUE($B701&amp;"-01"),Observacion_Directa!$B$2:$B$1000,"&lt;="&amp;EOMONTH(DATEVALUE($B701&amp;"-01"),0)))-1)/4*100,"")</f>
        <v/>
      </c>
      <c r="Q701" t="str">
        <f>IF(H701="","",MIN(100,100*H701/Parametros!$B$4))</f>
        <v/>
      </c>
      <c r="R701" t="str">
        <f>IF(I701="","",IF(I701=0,100,MIN(100,100*Parametros!$B$5/I701)))</f>
        <v/>
      </c>
      <c r="S701" t="str">
        <f>IF(J701="","",IF(J701=0,100,MIN(100,100*Parametros!$B$6/J701)))</f>
        <v/>
      </c>
      <c r="T701" t="str">
        <f>IF(L701="","",MIN(100,100*L701/Parametros!$B$7))</f>
        <v/>
      </c>
      <c r="U701" t="str">
        <f>IF(K701="","",MIN(100,100*K701/Parametros!$B$8))</f>
        <v/>
      </c>
      <c r="V701" t="str">
        <f ca="1">IFERROR(((AVERAGEIFS(Documentacion!$C$2:$C$1000,Documentacion!$A$2:$A$1000,$A701,Documentacion!$B$2:$B$1000,"&gt;="&amp;DATEVALUE($B701&amp;"-01"),Documentacion!$B$2:$B$1000,"&lt;="&amp;EOMONTH(DATEVALUE($B701&amp;"-01"),0)))-1)/4*100,"")</f>
        <v/>
      </c>
      <c r="W701" t="str">
        <f ca="1">IFERROR(((AVERAGEIFS(Feedback_360!$D$2:$D$1000,Feedback_360!$A$2:$A$1000,$A701,Feedback_360!$B$2:$B$1000,"&gt;="&amp;DATEVALUE($B701&amp;"-01"),Feedback_360!$B$2:$B$1000,"&lt;="&amp;EOMONTH(DATEVALUE($B701&amp;"-01"),0)))-1)/4*100,"")</f>
        <v/>
      </c>
      <c r="X701" t="str">
        <f ca="1">IFERROR(((AVERAGEIFS(Observacion_Directa!$D$2:$D$1000,Observacion_Directa!$A$2:$A$1000,$A701,Observacion_Directa!$B$2:$B$1000,"&gt;="&amp;DATEVALUE($B701&amp;"-01"),Observacion_Directa!$B$2:$B$1000,"&lt;="&amp;EOMONTH(DATEVALUE($B701&amp;"-01"),0)))-1)/4*100,"")</f>
        <v/>
      </c>
      <c r="Y701" t="e">
        <f t="shared" ca="1" si="21"/>
        <v>#DIV/0!</v>
      </c>
    </row>
    <row r="702" spans="12:25" x14ac:dyDescent="0.2">
      <c r="L702" t="str">
        <f t="shared" si="20"/>
        <v/>
      </c>
      <c r="M702" t="str">
        <f>IFERROR(AVERAGEIFS(Prod_5dias!$H$2:$H$1000,Prod_5dias!$A$2:$A$1000,$A702,Prod_5dias!$B$2:$B$1000,$B702),"")</f>
        <v/>
      </c>
      <c r="N702" t="str">
        <f>IF(M702="","",MIN(100,100*M702/Parametros!$B$7))</f>
        <v/>
      </c>
      <c r="O702" t="str">
        <f>IF(F702="","",IF(F702=0,100,MIN(100,100*Parametros!$B$3/F702)))</f>
        <v/>
      </c>
      <c r="P702" t="str">
        <f ca="1">IFERROR(((AVERAGEIFS(Observacion_Directa!$E$2:$E$1000,Observacion_Directa!$A$2:$A$1000,$A702,Observacion_Directa!$B$2:$B$1000,"&gt;="&amp;DATEVALUE($B702&amp;"-01"),Observacion_Directa!$B$2:$B$1000,"&lt;="&amp;EOMONTH(DATEVALUE($B702&amp;"-01"),0)))-1)/4*100,"")</f>
        <v/>
      </c>
      <c r="Q702" t="str">
        <f>IF(H702="","",MIN(100,100*H702/Parametros!$B$4))</f>
        <v/>
      </c>
      <c r="R702" t="str">
        <f>IF(I702="","",IF(I702=0,100,MIN(100,100*Parametros!$B$5/I702)))</f>
        <v/>
      </c>
      <c r="S702" t="str">
        <f>IF(J702="","",IF(J702=0,100,MIN(100,100*Parametros!$B$6/J702)))</f>
        <v/>
      </c>
      <c r="T702" t="str">
        <f>IF(L702="","",MIN(100,100*L702/Parametros!$B$7))</f>
        <v/>
      </c>
      <c r="U702" t="str">
        <f>IF(K702="","",MIN(100,100*K702/Parametros!$B$8))</f>
        <v/>
      </c>
      <c r="V702" t="str">
        <f ca="1">IFERROR(((AVERAGEIFS(Documentacion!$C$2:$C$1000,Documentacion!$A$2:$A$1000,$A702,Documentacion!$B$2:$B$1000,"&gt;="&amp;DATEVALUE($B702&amp;"-01"),Documentacion!$B$2:$B$1000,"&lt;="&amp;EOMONTH(DATEVALUE($B702&amp;"-01"),0)))-1)/4*100,"")</f>
        <v/>
      </c>
      <c r="W702" t="str">
        <f ca="1">IFERROR(((AVERAGEIFS(Feedback_360!$D$2:$D$1000,Feedback_360!$A$2:$A$1000,$A702,Feedback_360!$B$2:$B$1000,"&gt;="&amp;DATEVALUE($B702&amp;"-01"),Feedback_360!$B$2:$B$1000,"&lt;="&amp;EOMONTH(DATEVALUE($B702&amp;"-01"),0)))-1)/4*100,"")</f>
        <v/>
      </c>
      <c r="X702" t="str">
        <f ca="1">IFERROR(((AVERAGEIFS(Observacion_Directa!$D$2:$D$1000,Observacion_Directa!$A$2:$A$1000,$A702,Observacion_Directa!$B$2:$B$1000,"&gt;="&amp;DATEVALUE($B702&amp;"-01"),Observacion_Directa!$B$2:$B$1000,"&lt;="&amp;EOMONTH(DATEVALUE($B702&amp;"-01"),0)))-1)/4*100,"")</f>
        <v/>
      </c>
      <c r="Y702" t="e">
        <f t="shared" ca="1" si="21"/>
        <v>#DIV/0!</v>
      </c>
    </row>
    <row r="703" spans="12:25" x14ac:dyDescent="0.2">
      <c r="L703" t="str">
        <f t="shared" si="20"/>
        <v/>
      </c>
      <c r="M703" t="str">
        <f>IFERROR(AVERAGEIFS(Prod_5dias!$H$2:$H$1000,Prod_5dias!$A$2:$A$1000,$A703,Prod_5dias!$B$2:$B$1000,$B703),"")</f>
        <v/>
      </c>
      <c r="N703" t="str">
        <f>IF(M703="","",MIN(100,100*M703/Parametros!$B$7))</f>
        <v/>
      </c>
      <c r="O703" t="str">
        <f>IF(F703="","",IF(F703=0,100,MIN(100,100*Parametros!$B$3/F703)))</f>
        <v/>
      </c>
      <c r="P703" t="str">
        <f ca="1">IFERROR(((AVERAGEIFS(Observacion_Directa!$E$2:$E$1000,Observacion_Directa!$A$2:$A$1000,$A703,Observacion_Directa!$B$2:$B$1000,"&gt;="&amp;DATEVALUE($B703&amp;"-01"),Observacion_Directa!$B$2:$B$1000,"&lt;="&amp;EOMONTH(DATEVALUE($B703&amp;"-01"),0)))-1)/4*100,"")</f>
        <v/>
      </c>
      <c r="Q703" t="str">
        <f>IF(H703="","",MIN(100,100*H703/Parametros!$B$4))</f>
        <v/>
      </c>
      <c r="R703" t="str">
        <f>IF(I703="","",IF(I703=0,100,MIN(100,100*Parametros!$B$5/I703)))</f>
        <v/>
      </c>
      <c r="S703" t="str">
        <f>IF(J703="","",IF(J703=0,100,MIN(100,100*Parametros!$B$6/J703)))</f>
        <v/>
      </c>
      <c r="T703" t="str">
        <f>IF(L703="","",MIN(100,100*L703/Parametros!$B$7))</f>
        <v/>
      </c>
      <c r="U703" t="str">
        <f>IF(K703="","",MIN(100,100*K703/Parametros!$B$8))</f>
        <v/>
      </c>
      <c r="V703" t="str">
        <f ca="1">IFERROR(((AVERAGEIFS(Documentacion!$C$2:$C$1000,Documentacion!$A$2:$A$1000,$A703,Documentacion!$B$2:$B$1000,"&gt;="&amp;DATEVALUE($B703&amp;"-01"),Documentacion!$B$2:$B$1000,"&lt;="&amp;EOMONTH(DATEVALUE($B703&amp;"-01"),0)))-1)/4*100,"")</f>
        <v/>
      </c>
      <c r="W703" t="str">
        <f ca="1">IFERROR(((AVERAGEIFS(Feedback_360!$D$2:$D$1000,Feedback_360!$A$2:$A$1000,$A703,Feedback_360!$B$2:$B$1000,"&gt;="&amp;DATEVALUE($B703&amp;"-01"),Feedback_360!$B$2:$B$1000,"&lt;="&amp;EOMONTH(DATEVALUE($B703&amp;"-01"),0)))-1)/4*100,"")</f>
        <v/>
      </c>
      <c r="X703" t="str">
        <f ca="1">IFERROR(((AVERAGEIFS(Observacion_Directa!$D$2:$D$1000,Observacion_Directa!$A$2:$A$1000,$A703,Observacion_Directa!$B$2:$B$1000,"&gt;="&amp;DATEVALUE($B703&amp;"-01"),Observacion_Directa!$B$2:$B$1000,"&lt;="&amp;EOMONTH(DATEVALUE($B703&amp;"-01"),0)))-1)/4*100,"")</f>
        <v/>
      </c>
      <c r="Y703" t="e">
        <f t="shared" ca="1" si="21"/>
        <v>#DIV/0!</v>
      </c>
    </row>
    <row r="704" spans="12:25" x14ac:dyDescent="0.2">
      <c r="L704" t="str">
        <f t="shared" si="20"/>
        <v/>
      </c>
      <c r="M704" t="str">
        <f>IFERROR(AVERAGEIFS(Prod_5dias!$H$2:$H$1000,Prod_5dias!$A$2:$A$1000,$A704,Prod_5dias!$B$2:$B$1000,$B704),"")</f>
        <v/>
      </c>
      <c r="N704" t="str">
        <f>IF(M704="","",MIN(100,100*M704/Parametros!$B$7))</f>
        <v/>
      </c>
      <c r="O704" t="str">
        <f>IF(F704="","",IF(F704=0,100,MIN(100,100*Parametros!$B$3/F704)))</f>
        <v/>
      </c>
      <c r="P704" t="str">
        <f ca="1">IFERROR(((AVERAGEIFS(Observacion_Directa!$E$2:$E$1000,Observacion_Directa!$A$2:$A$1000,$A704,Observacion_Directa!$B$2:$B$1000,"&gt;="&amp;DATEVALUE($B704&amp;"-01"),Observacion_Directa!$B$2:$B$1000,"&lt;="&amp;EOMONTH(DATEVALUE($B704&amp;"-01"),0)))-1)/4*100,"")</f>
        <v/>
      </c>
      <c r="Q704" t="str">
        <f>IF(H704="","",MIN(100,100*H704/Parametros!$B$4))</f>
        <v/>
      </c>
      <c r="R704" t="str">
        <f>IF(I704="","",IF(I704=0,100,MIN(100,100*Parametros!$B$5/I704)))</f>
        <v/>
      </c>
      <c r="S704" t="str">
        <f>IF(J704="","",IF(J704=0,100,MIN(100,100*Parametros!$B$6/J704)))</f>
        <v/>
      </c>
      <c r="T704" t="str">
        <f>IF(L704="","",MIN(100,100*L704/Parametros!$B$7))</f>
        <v/>
      </c>
      <c r="U704" t="str">
        <f>IF(K704="","",MIN(100,100*K704/Parametros!$B$8))</f>
        <v/>
      </c>
      <c r="V704" t="str">
        <f ca="1">IFERROR(((AVERAGEIFS(Documentacion!$C$2:$C$1000,Documentacion!$A$2:$A$1000,$A704,Documentacion!$B$2:$B$1000,"&gt;="&amp;DATEVALUE($B704&amp;"-01"),Documentacion!$B$2:$B$1000,"&lt;="&amp;EOMONTH(DATEVALUE($B704&amp;"-01"),0)))-1)/4*100,"")</f>
        <v/>
      </c>
      <c r="W704" t="str">
        <f ca="1">IFERROR(((AVERAGEIFS(Feedback_360!$D$2:$D$1000,Feedback_360!$A$2:$A$1000,$A704,Feedback_360!$B$2:$B$1000,"&gt;="&amp;DATEVALUE($B704&amp;"-01"),Feedback_360!$B$2:$B$1000,"&lt;="&amp;EOMONTH(DATEVALUE($B704&amp;"-01"),0)))-1)/4*100,"")</f>
        <v/>
      </c>
      <c r="X704" t="str">
        <f ca="1">IFERROR(((AVERAGEIFS(Observacion_Directa!$D$2:$D$1000,Observacion_Directa!$A$2:$A$1000,$A704,Observacion_Directa!$B$2:$B$1000,"&gt;="&amp;DATEVALUE($B704&amp;"-01"),Observacion_Directa!$B$2:$B$1000,"&lt;="&amp;EOMONTH(DATEVALUE($B704&amp;"-01"),0)))-1)/4*100,"")</f>
        <v/>
      </c>
      <c r="Y704" t="e">
        <f t="shared" ca="1" si="21"/>
        <v>#DIV/0!</v>
      </c>
    </row>
    <row r="705" spans="12:25" x14ac:dyDescent="0.2">
      <c r="L705" t="str">
        <f t="shared" si="20"/>
        <v/>
      </c>
      <c r="M705" t="str">
        <f>IFERROR(AVERAGEIFS(Prod_5dias!$H$2:$H$1000,Prod_5dias!$A$2:$A$1000,$A705,Prod_5dias!$B$2:$B$1000,$B705),"")</f>
        <v/>
      </c>
      <c r="N705" t="str">
        <f>IF(M705="","",MIN(100,100*M705/Parametros!$B$7))</f>
        <v/>
      </c>
      <c r="O705" t="str">
        <f>IF(F705="","",IF(F705=0,100,MIN(100,100*Parametros!$B$3/F705)))</f>
        <v/>
      </c>
      <c r="P705" t="str">
        <f ca="1">IFERROR(((AVERAGEIFS(Observacion_Directa!$E$2:$E$1000,Observacion_Directa!$A$2:$A$1000,$A705,Observacion_Directa!$B$2:$B$1000,"&gt;="&amp;DATEVALUE($B705&amp;"-01"),Observacion_Directa!$B$2:$B$1000,"&lt;="&amp;EOMONTH(DATEVALUE($B705&amp;"-01"),0)))-1)/4*100,"")</f>
        <v/>
      </c>
      <c r="Q705" t="str">
        <f>IF(H705="","",MIN(100,100*H705/Parametros!$B$4))</f>
        <v/>
      </c>
      <c r="R705" t="str">
        <f>IF(I705="","",IF(I705=0,100,MIN(100,100*Parametros!$B$5/I705)))</f>
        <v/>
      </c>
      <c r="S705" t="str">
        <f>IF(J705="","",IF(J705=0,100,MIN(100,100*Parametros!$B$6/J705)))</f>
        <v/>
      </c>
      <c r="T705" t="str">
        <f>IF(L705="","",MIN(100,100*L705/Parametros!$B$7))</f>
        <v/>
      </c>
      <c r="U705" t="str">
        <f>IF(K705="","",MIN(100,100*K705/Parametros!$B$8))</f>
        <v/>
      </c>
      <c r="V705" t="str">
        <f ca="1">IFERROR(((AVERAGEIFS(Documentacion!$C$2:$C$1000,Documentacion!$A$2:$A$1000,$A705,Documentacion!$B$2:$B$1000,"&gt;="&amp;DATEVALUE($B705&amp;"-01"),Documentacion!$B$2:$B$1000,"&lt;="&amp;EOMONTH(DATEVALUE($B705&amp;"-01"),0)))-1)/4*100,"")</f>
        <v/>
      </c>
      <c r="W705" t="str">
        <f ca="1">IFERROR(((AVERAGEIFS(Feedback_360!$D$2:$D$1000,Feedback_360!$A$2:$A$1000,$A705,Feedback_360!$B$2:$B$1000,"&gt;="&amp;DATEVALUE($B705&amp;"-01"),Feedback_360!$B$2:$B$1000,"&lt;="&amp;EOMONTH(DATEVALUE($B705&amp;"-01"),0)))-1)/4*100,"")</f>
        <v/>
      </c>
      <c r="X705" t="str">
        <f ca="1">IFERROR(((AVERAGEIFS(Observacion_Directa!$D$2:$D$1000,Observacion_Directa!$A$2:$A$1000,$A705,Observacion_Directa!$B$2:$B$1000,"&gt;="&amp;DATEVALUE($B705&amp;"-01"),Observacion_Directa!$B$2:$B$1000,"&lt;="&amp;EOMONTH(DATEVALUE($B705&amp;"-01"),0)))-1)/4*100,"")</f>
        <v/>
      </c>
      <c r="Y705" t="e">
        <f t="shared" ca="1" si="21"/>
        <v>#DIV/0!</v>
      </c>
    </row>
    <row r="706" spans="12:25" x14ac:dyDescent="0.2">
      <c r="L706" t="str">
        <f t="shared" ref="L706:L769" si="22">IF(OR(C706="",D706=""),"",C706/D706)</f>
        <v/>
      </c>
      <c r="M706" t="str">
        <f>IFERROR(AVERAGEIFS(Prod_5dias!$H$2:$H$1000,Prod_5dias!$A$2:$A$1000,$A706,Prod_5dias!$B$2:$B$1000,$B706),"")</f>
        <v/>
      </c>
      <c r="N706" t="str">
        <f>IF(M706="","",MIN(100,100*M706/Parametros!$B$7))</f>
        <v/>
      </c>
      <c r="O706" t="str">
        <f>IF(F706="","",IF(F706=0,100,MIN(100,100*Parametros!$B$3/F706)))</f>
        <v/>
      </c>
      <c r="P706" t="str">
        <f ca="1">IFERROR(((AVERAGEIFS(Observacion_Directa!$E$2:$E$1000,Observacion_Directa!$A$2:$A$1000,$A706,Observacion_Directa!$B$2:$B$1000,"&gt;="&amp;DATEVALUE($B706&amp;"-01"),Observacion_Directa!$B$2:$B$1000,"&lt;="&amp;EOMONTH(DATEVALUE($B706&amp;"-01"),0)))-1)/4*100,"")</f>
        <v/>
      </c>
      <c r="Q706" t="str">
        <f>IF(H706="","",MIN(100,100*H706/Parametros!$B$4))</f>
        <v/>
      </c>
      <c r="R706" t="str">
        <f>IF(I706="","",IF(I706=0,100,MIN(100,100*Parametros!$B$5/I706)))</f>
        <v/>
      </c>
      <c r="S706" t="str">
        <f>IF(J706="","",IF(J706=0,100,MIN(100,100*Parametros!$B$6/J706)))</f>
        <v/>
      </c>
      <c r="T706" t="str">
        <f>IF(L706="","",MIN(100,100*L706/Parametros!$B$7))</f>
        <v/>
      </c>
      <c r="U706" t="str">
        <f>IF(K706="","",MIN(100,100*K706/Parametros!$B$8))</f>
        <v/>
      </c>
      <c r="V706" t="str">
        <f ca="1">IFERROR(((AVERAGEIFS(Documentacion!$C$2:$C$1000,Documentacion!$A$2:$A$1000,$A706,Documentacion!$B$2:$B$1000,"&gt;="&amp;DATEVALUE($B706&amp;"-01"),Documentacion!$B$2:$B$1000,"&lt;="&amp;EOMONTH(DATEVALUE($B706&amp;"-01"),0)))-1)/4*100,"")</f>
        <v/>
      </c>
      <c r="W706" t="str">
        <f ca="1">IFERROR(((AVERAGEIFS(Feedback_360!$D$2:$D$1000,Feedback_360!$A$2:$A$1000,$A706,Feedback_360!$B$2:$B$1000,"&gt;="&amp;DATEVALUE($B706&amp;"-01"),Feedback_360!$B$2:$B$1000,"&lt;="&amp;EOMONTH(DATEVALUE($B706&amp;"-01"),0)))-1)/4*100,"")</f>
        <v/>
      </c>
      <c r="X706" t="str">
        <f ca="1">IFERROR(((AVERAGEIFS(Observacion_Directa!$D$2:$D$1000,Observacion_Directa!$A$2:$A$1000,$A706,Observacion_Directa!$B$2:$B$1000,"&gt;="&amp;DATEVALUE($B706&amp;"-01"),Observacion_Directa!$B$2:$B$1000,"&lt;="&amp;EOMONTH(DATEVALUE($B706&amp;"-01"),0)))-1)/4*100,"")</f>
        <v/>
      </c>
      <c r="Y706" t="e">
        <f t="shared" ref="Y706:Y769" ca="1" si="23">IF(COUNTA(N706:X706)=0,"",AVERAGE(N706:X706))</f>
        <v>#DIV/0!</v>
      </c>
    </row>
    <row r="707" spans="12:25" x14ac:dyDescent="0.2">
      <c r="L707" t="str">
        <f t="shared" si="22"/>
        <v/>
      </c>
      <c r="M707" t="str">
        <f>IFERROR(AVERAGEIFS(Prod_5dias!$H$2:$H$1000,Prod_5dias!$A$2:$A$1000,$A707,Prod_5dias!$B$2:$B$1000,$B707),"")</f>
        <v/>
      </c>
      <c r="N707" t="str">
        <f>IF(M707="","",MIN(100,100*M707/Parametros!$B$7))</f>
        <v/>
      </c>
      <c r="O707" t="str">
        <f>IF(F707="","",IF(F707=0,100,MIN(100,100*Parametros!$B$3/F707)))</f>
        <v/>
      </c>
      <c r="P707" t="str">
        <f ca="1">IFERROR(((AVERAGEIFS(Observacion_Directa!$E$2:$E$1000,Observacion_Directa!$A$2:$A$1000,$A707,Observacion_Directa!$B$2:$B$1000,"&gt;="&amp;DATEVALUE($B707&amp;"-01"),Observacion_Directa!$B$2:$B$1000,"&lt;="&amp;EOMONTH(DATEVALUE($B707&amp;"-01"),0)))-1)/4*100,"")</f>
        <v/>
      </c>
      <c r="Q707" t="str">
        <f>IF(H707="","",MIN(100,100*H707/Parametros!$B$4))</f>
        <v/>
      </c>
      <c r="R707" t="str">
        <f>IF(I707="","",IF(I707=0,100,MIN(100,100*Parametros!$B$5/I707)))</f>
        <v/>
      </c>
      <c r="S707" t="str">
        <f>IF(J707="","",IF(J707=0,100,MIN(100,100*Parametros!$B$6/J707)))</f>
        <v/>
      </c>
      <c r="T707" t="str">
        <f>IF(L707="","",MIN(100,100*L707/Parametros!$B$7))</f>
        <v/>
      </c>
      <c r="U707" t="str">
        <f>IF(K707="","",MIN(100,100*K707/Parametros!$B$8))</f>
        <v/>
      </c>
      <c r="V707" t="str">
        <f ca="1">IFERROR(((AVERAGEIFS(Documentacion!$C$2:$C$1000,Documentacion!$A$2:$A$1000,$A707,Documentacion!$B$2:$B$1000,"&gt;="&amp;DATEVALUE($B707&amp;"-01"),Documentacion!$B$2:$B$1000,"&lt;="&amp;EOMONTH(DATEVALUE($B707&amp;"-01"),0)))-1)/4*100,"")</f>
        <v/>
      </c>
      <c r="W707" t="str">
        <f ca="1">IFERROR(((AVERAGEIFS(Feedback_360!$D$2:$D$1000,Feedback_360!$A$2:$A$1000,$A707,Feedback_360!$B$2:$B$1000,"&gt;="&amp;DATEVALUE($B707&amp;"-01"),Feedback_360!$B$2:$B$1000,"&lt;="&amp;EOMONTH(DATEVALUE($B707&amp;"-01"),0)))-1)/4*100,"")</f>
        <v/>
      </c>
      <c r="X707" t="str">
        <f ca="1">IFERROR(((AVERAGEIFS(Observacion_Directa!$D$2:$D$1000,Observacion_Directa!$A$2:$A$1000,$A707,Observacion_Directa!$B$2:$B$1000,"&gt;="&amp;DATEVALUE($B707&amp;"-01"),Observacion_Directa!$B$2:$B$1000,"&lt;="&amp;EOMONTH(DATEVALUE($B707&amp;"-01"),0)))-1)/4*100,"")</f>
        <v/>
      </c>
      <c r="Y707" t="e">
        <f t="shared" ca="1" si="23"/>
        <v>#DIV/0!</v>
      </c>
    </row>
    <row r="708" spans="12:25" x14ac:dyDescent="0.2">
      <c r="L708" t="str">
        <f t="shared" si="22"/>
        <v/>
      </c>
      <c r="M708" t="str">
        <f>IFERROR(AVERAGEIFS(Prod_5dias!$H$2:$H$1000,Prod_5dias!$A$2:$A$1000,$A708,Prod_5dias!$B$2:$B$1000,$B708),"")</f>
        <v/>
      </c>
      <c r="N708" t="str">
        <f>IF(M708="","",MIN(100,100*M708/Parametros!$B$7))</f>
        <v/>
      </c>
      <c r="O708" t="str">
        <f>IF(F708="","",IF(F708=0,100,MIN(100,100*Parametros!$B$3/F708)))</f>
        <v/>
      </c>
      <c r="P708" t="str">
        <f ca="1">IFERROR(((AVERAGEIFS(Observacion_Directa!$E$2:$E$1000,Observacion_Directa!$A$2:$A$1000,$A708,Observacion_Directa!$B$2:$B$1000,"&gt;="&amp;DATEVALUE($B708&amp;"-01"),Observacion_Directa!$B$2:$B$1000,"&lt;="&amp;EOMONTH(DATEVALUE($B708&amp;"-01"),0)))-1)/4*100,"")</f>
        <v/>
      </c>
      <c r="Q708" t="str">
        <f>IF(H708="","",MIN(100,100*H708/Parametros!$B$4))</f>
        <v/>
      </c>
      <c r="R708" t="str">
        <f>IF(I708="","",IF(I708=0,100,MIN(100,100*Parametros!$B$5/I708)))</f>
        <v/>
      </c>
      <c r="S708" t="str">
        <f>IF(J708="","",IF(J708=0,100,MIN(100,100*Parametros!$B$6/J708)))</f>
        <v/>
      </c>
      <c r="T708" t="str">
        <f>IF(L708="","",MIN(100,100*L708/Parametros!$B$7))</f>
        <v/>
      </c>
      <c r="U708" t="str">
        <f>IF(K708="","",MIN(100,100*K708/Parametros!$B$8))</f>
        <v/>
      </c>
      <c r="V708" t="str">
        <f ca="1">IFERROR(((AVERAGEIFS(Documentacion!$C$2:$C$1000,Documentacion!$A$2:$A$1000,$A708,Documentacion!$B$2:$B$1000,"&gt;="&amp;DATEVALUE($B708&amp;"-01"),Documentacion!$B$2:$B$1000,"&lt;="&amp;EOMONTH(DATEVALUE($B708&amp;"-01"),0)))-1)/4*100,"")</f>
        <v/>
      </c>
      <c r="W708" t="str">
        <f ca="1">IFERROR(((AVERAGEIFS(Feedback_360!$D$2:$D$1000,Feedback_360!$A$2:$A$1000,$A708,Feedback_360!$B$2:$B$1000,"&gt;="&amp;DATEVALUE($B708&amp;"-01"),Feedback_360!$B$2:$B$1000,"&lt;="&amp;EOMONTH(DATEVALUE($B708&amp;"-01"),0)))-1)/4*100,"")</f>
        <v/>
      </c>
      <c r="X708" t="str">
        <f ca="1">IFERROR(((AVERAGEIFS(Observacion_Directa!$D$2:$D$1000,Observacion_Directa!$A$2:$A$1000,$A708,Observacion_Directa!$B$2:$B$1000,"&gt;="&amp;DATEVALUE($B708&amp;"-01"),Observacion_Directa!$B$2:$B$1000,"&lt;="&amp;EOMONTH(DATEVALUE($B708&amp;"-01"),0)))-1)/4*100,"")</f>
        <v/>
      </c>
      <c r="Y708" t="e">
        <f t="shared" ca="1" si="23"/>
        <v>#DIV/0!</v>
      </c>
    </row>
    <row r="709" spans="12:25" x14ac:dyDescent="0.2">
      <c r="L709" t="str">
        <f t="shared" si="22"/>
        <v/>
      </c>
      <c r="M709" t="str">
        <f>IFERROR(AVERAGEIFS(Prod_5dias!$H$2:$H$1000,Prod_5dias!$A$2:$A$1000,$A709,Prod_5dias!$B$2:$B$1000,$B709),"")</f>
        <v/>
      </c>
      <c r="N709" t="str">
        <f>IF(M709="","",MIN(100,100*M709/Parametros!$B$7))</f>
        <v/>
      </c>
      <c r="O709" t="str">
        <f>IF(F709="","",IF(F709=0,100,MIN(100,100*Parametros!$B$3/F709)))</f>
        <v/>
      </c>
      <c r="P709" t="str">
        <f ca="1">IFERROR(((AVERAGEIFS(Observacion_Directa!$E$2:$E$1000,Observacion_Directa!$A$2:$A$1000,$A709,Observacion_Directa!$B$2:$B$1000,"&gt;="&amp;DATEVALUE($B709&amp;"-01"),Observacion_Directa!$B$2:$B$1000,"&lt;="&amp;EOMONTH(DATEVALUE($B709&amp;"-01"),0)))-1)/4*100,"")</f>
        <v/>
      </c>
      <c r="Q709" t="str">
        <f>IF(H709="","",MIN(100,100*H709/Parametros!$B$4))</f>
        <v/>
      </c>
      <c r="R709" t="str">
        <f>IF(I709="","",IF(I709=0,100,MIN(100,100*Parametros!$B$5/I709)))</f>
        <v/>
      </c>
      <c r="S709" t="str">
        <f>IF(J709="","",IF(J709=0,100,MIN(100,100*Parametros!$B$6/J709)))</f>
        <v/>
      </c>
      <c r="T709" t="str">
        <f>IF(L709="","",MIN(100,100*L709/Parametros!$B$7))</f>
        <v/>
      </c>
      <c r="U709" t="str">
        <f>IF(K709="","",MIN(100,100*K709/Parametros!$B$8))</f>
        <v/>
      </c>
      <c r="V709" t="str">
        <f ca="1">IFERROR(((AVERAGEIFS(Documentacion!$C$2:$C$1000,Documentacion!$A$2:$A$1000,$A709,Documentacion!$B$2:$B$1000,"&gt;="&amp;DATEVALUE($B709&amp;"-01"),Documentacion!$B$2:$B$1000,"&lt;="&amp;EOMONTH(DATEVALUE($B709&amp;"-01"),0)))-1)/4*100,"")</f>
        <v/>
      </c>
      <c r="W709" t="str">
        <f ca="1">IFERROR(((AVERAGEIFS(Feedback_360!$D$2:$D$1000,Feedback_360!$A$2:$A$1000,$A709,Feedback_360!$B$2:$B$1000,"&gt;="&amp;DATEVALUE($B709&amp;"-01"),Feedback_360!$B$2:$B$1000,"&lt;="&amp;EOMONTH(DATEVALUE($B709&amp;"-01"),0)))-1)/4*100,"")</f>
        <v/>
      </c>
      <c r="X709" t="str">
        <f ca="1">IFERROR(((AVERAGEIFS(Observacion_Directa!$D$2:$D$1000,Observacion_Directa!$A$2:$A$1000,$A709,Observacion_Directa!$B$2:$B$1000,"&gt;="&amp;DATEVALUE($B709&amp;"-01"),Observacion_Directa!$B$2:$B$1000,"&lt;="&amp;EOMONTH(DATEVALUE($B709&amp;"-01"),0)))-1)/4*100,"")</f>
        <v/>
      </c>
      <c r="Y709" t="e">
        <f t="shared" ca="1" si="23"/>
        <v>#DIV/0!</v>
      </c>
    </row>
    <row r="710" spans="12:25" x14ac:dyDescent="0.2">
      <c r="L710" t="str">
        <f t="shared" si="22"/>
        <v/>
      </c>
      <c r="M710" t="str">
        <f>IFERROR(AVERAGEIFS(Prod_5dias!$H$2:$H$1000,Prod_5dias!$A$2:$A$1000,$A710,Prod_5dias!$B$2:$B$1000,$B710),"")</f>
        <v/>
      </c>
      <c r="N710" t="str">
        <f>IF(M710="","",MIN(100,100*M710/Parametros!$B$7))</f>
        <v/>
      </c>
      <c r="O710" t="str">
        <f>IF(F710="","",IF(F710=0,100,MIN(100,100*Parametros!$B$3/F710)))</f>
        <v/>
      </c>
      <c r="P710" t="str">
        <f ca="1">IFERROR(((AVERAGEIFS(Observacion_Directa!$E$2:$E$1000,Observacion_Directa!$A$2:$A$1000,$A710,Observacion_Directa!$B$2:$B$1000,"&gt;="&amp;DATEVALUE($B710&amp;"-01"),Observacion_Directa!$B$2:$B$1000,"&lt;="&amp;EOMONTH(DATEVALUE($B710&amp;"-01"),0)))-1)/4*100,"")</f>
        <v/>
      </c>
      <c r="Q710" t="str">
        <f>IF(H710="","",MIN(100,100*H710/Parametros!$B$4))</f>
        <v/>
      </c>
      <c r="R710" t="str">
        <f>IF(I710="","",IF(I710=0,100,MIN(100,100*Parametros!$B$5/I710)))</f>
        <v/>
      </c>
      <c r="S710" t="str">
        <f>IF(J710="","",IF(J710=0,100,MIN(100,100*Parametros!$B$6/J710)))</f>
        <v/>
      </c>
      <c r="T710" t="str">
        <f>IF(L710="","",MIN(100,100*L710/Parametros!$B$7))</f>
        <v/>
      </c>
      <c r="U710" t="str">
        <f>IF(K710="","",MIN(100,100*K710/Parametros!$B$8))</f>
        <v/>
      </c>
      <c r="V710" t="str">
        <f ca="1">IFERROR(((AVERAGEIFS(Documentacion!$C$2:$C$1000,Documentacion!$A$2:$A$1000,$A710,Documentacion!$B$2:$B$1000,"&gt;="&amp;DATEVALUE($B710&amp;"-01"),Documentacion!$B$2:$B$1000,"&lt;="&amp;EOMONTH(DATEVALUE($B710&amp;"-01"),0)))-1)/4*100,"")</f>
        <v/>
      </c>
      <c r="W710" t="str">
        <f ca="1">IFERROR(((AVERAGEIFS(Feedback_360!$D$2:$D$1000,Feedback_360!$A$2:$A$1000,$A710,Feedback_360!$B$2:$B$1000,"&gt;="&amp;DATEVALUE($B710&amp;"-01"),Feedback_360!$B$2:$B$1000,"&lt;="&amp;EOMONTH(DATEVALUE($B710&amp;"-01"),0)))-1)/4*100,"")</f>
        <v/>
      </c>
      <c r="X710" t="str">
        <f ca="1">IFERROR(((AVERAGEIFS(Observacion_Directa!$D$2:$D$1000,Observacion_Directa!$A$2:$A$1000,$A710,Observacion_Directa!$B$2:$B$1000,"&gt;="&amp;DATEVALUE($B710&amp;"-01"),Observacion_Directa!$B$2:$B$1000,"&lt;="&amp;EOMONTH(DATEVALUE($B710&amp;"-01"),0)))-1)/4*100,"")</f>
        <v/>
      </c>
      <c r="Y710" t="e">
        <f t="shared" ca="1" si="23"/>
        <v>#DIV/0!</v>
      </c>
    </row>
    <row r="711" spans="12:25" x14ac:dyDescent="0.2">
      <c r="L711" t="str">
        <f t="shared" si="22"/>
        <v/>
      </c>
      <c r="M711" t="str">
        <f>IFERROR(AVERAGEIFS(Prod_5dias!$H$2:$H$1000,Prod_5dias!$A$2:$A$1000,$A711,Prod_5dias!$B$2:$B$1000,$B711),"")</f>
        <v/>
      </c>
      <c r="N711" t="str">
        <f>IF(M711="","",MIN(100,100*M711/Parametros!$B$7))</f>
        <v/>
      </c>
      <c r="O711" t="str">
        <f>IF(F711="","",IF(F711=0,100,MIN(100,100*Parametros!$B$3/F711)))</f>
        <v/>
      </c>
      <c r="P711" t="str">
        <f ca="1">IFERROR(((AVERAGEIFS(Observacion_Directa!$E$2:$E$1000,Observacion_Directa!$A$2:$A$1000,$A711,Observacion_Directa!$B$2:$B$1000,"&gt;="&amp;DATEVALUE($B711&amp;"-01"),Observacion_Directa!$B$2:$B$1000,"&lt;="&amp;EOMONTH(DATEVALUE($B711&amp;"-01"),0)))-1)/4*100,"")</f>
        <v/>
      </c>
      <c r="Q711" t="str">
        <f>IF(H711="","",MIN(100,100*H711/Parametros!$B$4))</f>
        <v/>
      </c>
      <c r="R711" t="str">
        <f>IF(I711="","",IF(I711=0,100,MIN(100,100*Parametros!$B$5/I711)))</f>
        <v/>
      </c>
      <c r="S711" t="str">
        <f>IF(J711="","",IF(J711=0,100,MIN(100,100*Parametros!$B$6/J711)))</f>
        <v/>
      </c>
      <c r="T711" t="str">
        <f>IF(L711="","",MIN(100,100*L711/Parametros!$B$7))</f>
        <v/>
      </c>
      <c r="U711" t="str">
        <f>IF(K711="","",MIN(100,100*K711/Parametros!$B$8))</f>
        <v/>
      </c>
      <c r="V711" t="str">
        <f ca="1">IFERROR(((AVERAGEIFS(Documentacion!$C$2:$C$1000,Documentacion!$A$2:$A$1000,$A711,Documentacion!$B$2:$B$1000,"&gt;="&amp;DATEVALUE($B711&amp;"-01"),Documentacion!$B$2:$B$1000,"&lt;="&amp;EOMONTH(DATEVALUE($B711&amp;"-01"),0)))-1)/4*100,"")</f>
        <v/>
      </c>
      <c r="W711" t="str">
        <f ca="1">IFERROR(((AVERAGEIFS(Feedback_360!$D$2:$D$1000,Feedback_360!$A$2:$A$1000,$A711,Feedback_360!$B$2:$B$1000,"&gt;="&amp;DATEVALUE($B711&amp;"-01"),Feedback_360!$B$2:$B$1000,"&lt;="&amp;EOMONTH(DATEVALUE($B711&amp;"-01"),0)))-1)/4*100,"")</f>
        <v/>
      </c>
      <c r="X711" t="str">
        <f ca="1">IFERROR(((AVERAGEIFS(Observacion_Directa!$D$2:$D$1000,Observacion_Directa!$A$2:$A$1000,$A711,Observacion_Directa!$B$2:$B$1000,"&gt;="&amp;DATEVALUE($B711&amp;"-01"),Observacion_Directa!$B$2:$B$1000,"&lt;="&amp;EOMONTH(DATEVALUE($B711&amp;"-01"),0)))-1)/4*100,"")</f>
        <v/>
      </c>
      <c r="Y711" t="e">
        <f t="shared" ca="1" si="23"/>
        <v>#DIV/0!</v>
      </c>
    </row>
    <row r="712" spans="12:25" x14ac:dyDescent="0.2">
      <c r="L712" t="str">
        <f t="shared" si="22"/>
        <v/>
      </c>
      <c r="M712" t="str">
        <f>IFERROR(AVERAGEIFS(Prod_5dias!$H$2:$H$1000,Prod_5dias!$A$2:$A$1000,$A712,Prod_5dias!$B$2:$B$1000,$B712),"")</f>
        <v/>
      </c>
      <c r="N712" t="str">
        <f>IF(M712="","",MIN(100,100*M712/Parametros!$B$7))</f>
        <v/>
      </c>
      <c r="O712" t="str">
        <f>IF(F712="","",IF(F712=0,100,MIN(100,100*Parametros!$B$3/F712)))</f>
        <v/>
      </c>
      <c r="P712" t="str">
        <f ca="1">IFERROR(((AVERAGEIFS(Observacion_Directa!$E$2:$E$1000,Observacion_Directa!$A$2:$A$1000,$A712,Observacion_Directa!$B$2:$B$1000,"&gt;="&amp;DATEVALUE($B712&amp;"-01"),Observacion_Directa!$B$2:$B$1000,"&lt;="&amp;EOMONTH(DATEVALUE($B712&amp;"-01"),0)))-1)/4*100,"")</f>
        <v/>
      </c>
      <c r="Q712" t="str">
        <f>IF(H712="","",MIN(100,100*H712/Parametros!$B$4))</f>
        <v/>
      </c>
      <c r="R712" t="str">
        <f>IF(I712="","",IF(I712=0,100,MIN(100,100*Parametros!$B$5/I712)))</f>
        <v/>
      </c>
      <c r="S712" t="str">
        <f>IF(J712="","",IF(J712=0,100,MIN(100,100*Parametros!$B$6/J712)))</f>
        <v/>
      </c>
      <c r="T712" t="str">
        <f>IF(L712="","",MIN(100,100*L712/Parametros!$B$7))</f>
        <v/>
      </c>
      <c r="U712" t="str">
        <f>IF(K712="","",MIN(100,100*K712/Parametros!$B$8))</f>
        <v/>
      </c>
      <c r="V712" t="str">
        <f ca="1">IFERROR(((AVERAGEIFS(Documentacion!$C$2:$C$1000,Documentacion!$A$2:$A$1000,$A712,Documentacion!$B$2:$B$1000,"&gt;="&amp;DATEVALUE($B712&amp;"-01"),Documentacion!$B$2:$B$1000,"&lt;="&amp;EOMONTH(DATEVALUE($B712&amp;"-01"),0)))-1)/4*100,"")</f>
        <v/>
      </c>
      <c r="W712" t="str">
        <f ca="1">IFERROR(((AVERAGEIFS(Feedback_360!$D$2:$D$1000,Feedback_360!$A$2:$A$1000,$A712,Feedback_360!$B$2:$B$1000,"&gt;="&amp;DATEVALUE($B712&amp;"-01"),Feedback_360!$B$2:$B$1000,"&lt;="&amp;EOMONTH(DATEVALUE($B712&amp;"-01"),0)))-1)/4*100,"")</f>
        <v/>
      </c>
      <c r="X712" t="str">
        <f ca="1">IFERROR(((AVERAGEIFS(Observacion_Directa!$D$2:$D$1000,Observacion_Directa!$A$2:$A$1000,$A712,Observacion_Directa!$B$2:$B$1000,"&gt;="&amp;DATEVALUE($B712&amp;"-01"),Observacion_Directa!$B$2:$B$1000,"&lt;="&amp;EOMONTH(DATEVALUE($B712&amp;"-01"),0)))-1)/4*100,"")</f>
        <v/>
      </c>
      <c r="Y712" t="e">
        <f t="shared" ca="1" si="23"/>
        <v>#DIV/0!</v>
      </c>
    </row>
    <row r="713" spans="12:25" x14ac:dyDescent="0.2">
      <c r="L713" t="str">
        <f t="shared" si="22"/>
        <v/>
      </c>
      <c r="M713" t="str">
        <f>IFERROR(AVERAGEIFS(Prod_5dias!$H$2:$H$1000,Prod_5dias!$A$2:$A$1000,$A713,Prod_5dias!$B$2:$B$1000,$B713),"")</f>
        <v/>
      </c>
      <c r="N713" t="str">
        <f>IF(M713="","",MIN(100,100*M713/Parametros!$B$7))</f>
        <v/>
      </c>
      <c r="O713" t="str">
        <f>IF(F713="","",IF(F713=0,100,MIN(100,100*Parametros!$B$3/F713)))</f>
        <v/>
      </c>
      <c r="P713" t="str">
        <f ca="1">IFERROR(((AVERAGEIFS(Observacion_Directa!$E$2:$E$1000,Observacion_Directa!$A$2:$A$1000,$A713,Observacion_Directa!$B$2:$B$1000,"&gt;="&amp;DATEVALUE($B713&amp;"-01"),Observacion_Directa!$B$2:$B$1000,"&lt;="&amp;EOMONTH(DATEVALUE($B713&amp;"-01"),0)))-1)/4*100,"")</f>
        <v/>
      </c>
      <c r="Q713" t="str">
        <f>IF(H713="","",MIN(100,100*H713/Parametros!$B$4))</f>
        <v/>
      </c>
      <c r="R713" t="str">
        <f>IF(I713="","",IF(I713=0,100,MIN(100,100*Parametros!$B$5/I713)))</f>
        <v/>
      </c>
      <c r="S713" t="str">
        <f>IF(J713="","",IF(J713=0,100,MIN(100,100*Parametros!$B$6/J713)))</f>
        <v/>
      </c>
      <c r="T713" t="str">
        <f>IF(L713="","",MIN(100,100*L713/Parametros!$B$7))</f>
        <v/>
      </c>
      <c r="U713" t="str">
        <f>IF(K713="","",MIN(100,100*K713/Parametros!$B$8))</f>
        <v/>
      </c>
      <c r="V713" t="str">
        <f ca="1">IFERROR(((AVERAGEIFS(Documentacion!$C$2:$C$1000,Documentacion!$A$2:$A$1000,$A713,Documentacion!$B$2:$B$1000,"&gt;="&amp;DATEVALUE($B713&amp;"-01"),Documentacion!$B$2:$B$1000,"&lt;="&amp;EOMONTH(DATEVALUE($B713&amp;"-01"),0)))-1)/4*100,"")</f>
        <v/>
      </c>
      <c r="W713" t="str">
        <f ca="1">IFERROR(((AVERAGEIFS(Feedback_360!$D$2:$D$1000,Feedback_360!$A$2:$A$1000,$A713,Feedback_360!$B$2:$B$1000,"&gt;="&amp;DATEVALUE($B713&amp;"-01"),Feedback_360!$B$2:$B$1000,"&lt;="&amp;EOMONTH(DATEVALUE($B713&amp;"-01"),0)))-1)/4*100,"")</f>
        <v/>
      </c>
      <c r="X713" t="str">
        <f ca="1">IFERROR(((AVERAGEIFS(Observacion_Directa!$D$2:$D$1000,Observacion_Directa!$A$2:$A$1000,$A713,Observacion_Directa!$B$2:$B$1000,"&gt;="&amp;DATEVALUE($B713&amp;"-01"),Observacion_Directa!$B$2:$B$1000,"&lt;="&amp;EOMONTH(DATEVALUE($B713&amp;"-01"),0)))-1)/4*100,"")</f>
        <v/>
      </c>
      <c r="Y713" t="e">
        <f t="shared" ca="1" si="23"/>
        <v>#DIV/0!</v>
      </c>
    </row>
    <row r="714" spans="12:25" x14ac:dyDescent="0.2">
      <c r="L714" t="str">
        <f t="shared" si="22"/>
        <v/>
      </c>
      <c r="M714" t="str">
        <f>IFERROR(AVERAGEIFS(Prod_5dias!$H$2:$H$1000,Prod_5dias!$A$2:$A$1000,$A714,Prod_5dias!$B$2:$B$1000,$B714),"")</f>
        <v/>
      </c>
      <c r="N714" t="str">
        <f>IF(M714="","",MIN(100,100*M714/Parametros!$B$7))</f>
        <v/>
      </c>
      <c r="O714" t="str">
        <f>IF(F714="","",IF(F714=0,100,MIN(100,100*Parametros!$B$3/F714)))</f>
        <v/>
      </c>
      <c r="P714" t="str">
        <f ca="1">IFERROR(((AVERAGEIFS(Observacion_Directa!$E$2:$E$1000,Observacion_Directa!$A$2:$A$1000,$A714,Observacion_Directa!$B$2:$B$1000,"&gt;="&amp;DATEVALUE($B714&amp;"-01"),Observacion_Directa!$B$2:$B$1000,"&lt;="&amp;EOMONTH(DATEVALUE($B714&amp;"-01"),0)))-1)/4*100,"")</f>
        <v/>
      </c>
      <c r="Q714" t="str">
        <f>IF(H714="","",MIN(100,100*H714/Parametros!$B$4))</f>
        <v/>
      </c>
      <c r="R714" t="str">
        <f>IF(I714="","",IF(I714=0,100,MIN(100,100*Parametros!$B$5/I714)))</f>
        <v/>
      </c>
      <c r="S714" t="str">
        <f>IF(J714="","",IF(J714=0,100,MIN(100,100*Parametros!$B$6/J714)))</f>
        <v/>
      </c>
      <c r="T714" t="str">
        <f>IF(L714="","",MIN(100,100*L714/Parametros!$B$7))</f>
        <v/>
      </c>
      <c r="U714" t="str">
        <f>IF(K714="","",MIN(100,100*K714/Parametros!$B$8))</f>
        <v/>
      </c>
      <c r="V714" t="str">
        <f ca="1">IFERROR(((AVERAGEIFS(Documentacion!$C$2:$C$1000,Documentacion!$A$2:$A$1000,$A714,Documentacion!$B$2:$B$1000,"&gt;="&amp;DATEVALUE($B714&amp;"-01"),Documentacion!$B$2:$B$1000,"&lt;="&amp;EOMONTH(DATEVALUE($B714&amp;"-01"),0)))-1)/4*100,"")</f>
        <v/>
      </c>
      <c r="W714" t="str">
        <f ca="1">IFERROR(((AVERAGEIFS(Feedback_360!$D$2:$D$1000,Feedback_360!$A$2:$A$1000,$A714,Feedback_360!$B$2:$B$1000,"&gt;="&amp;DATEVALUE($B714&amp;"-01"),Feedback_360!$B$2:$B$1000,"&lt;="&amp;EOMONTH(DATEVALUE($B714&amp;"-01"),0)))-1)/4*100,"")</f>
        <v/>
      </c>
      <c r="X714" t="str">
        <f ca="1">IFERROR(((AVERAGEIFS(Observacion_Directa!$D$2:$D$1000,Observacion_Directa!$A$2:$A$1000,$A714,Observacion_Directa!$B$2:$B$1000,"&gt;="&amp;DATEVALUE($B714&amp;"-01"),Observacion_Directa!$B$2:$B$1000,"&lt;="&amp;EOMONTH(DATEVALUE($B714&amp;"-01"),0)))-1)/4*100,"")</f>
        <v/>
      </c>
      <c r="Y714" t="e">
        <f t="shared" ca="1" si="23"/>
        <v>#DIV/0!</v>
      </c>
    </row>
    <row r="715" spans="12:25" x14ac:dyDescent="0.2">
      <c r="L715" t="str">
        <f t="shared" si="22"/>
        <v/>
      </c>
      <c r="M715" t="str">
        <f>IFERROR(AVERAGEIFS(Prod_5dias!$H$2:$H$1000,Prod_5dias!$A$2:$A$1000,$A715,Prod_5dias!$B$2:$B$1000,$B715),"")</f>
        <v/>
      </c>
      <c r="N715" t="str">
        <f>IF(M715="","",MIN(100,100*M715/Parametros!$B$7))</f>
        <v/>
      </c>
      <c r="O715" t="str">
        <f>IF(F715="","",IF(F715=0,100,MIN(100,100*Parametros!$B$3/F715)))</f>
        <v/>
      </c>
      <c r="P715" t="str">
        <f ca="1">IFERROR(((AVERAGEIFS(Observacion_Directa!$E$2:$E$1000,Observacion_Directa!$A$2:$A$1000,$A715,Observacion_Directa!$B$2:$B$1000,"&gt;="&amp;DATEVALUE($B715&amp;"-01"),Observacion_Directa!$B$2:$B$1000,"&lt;="&amp;EOMONTH(DATEVALUE($B715&amp;"-01"),0)))-1)/4*100,"")</f>
        <v/>
      </c>
      <c r="Q715" t="str">
        <f>IF(H715="","",MIN(100,100*H715/Parametros!$B$4))</f>
        <v/>
      </c>
      <c r="R715" t="str">
        <f>IF(I715="","",IF(I715=0,100,MIN(100,100*Parametros!$B$5/I715)))</f>
        <v/>
      </c>
      <c r="S715" t="str">
        <f>IF(J715="","",IF(J715=0,100,MIN(100,100*Parametros!$B$6/J715)))</f>
        <v/>
      </c>
      <c r="T715" t="str">
        <f>IF(L715="","",MIN(100,100*L715/Parametros!$B$7))</f>
        <v/>
      </c>
      <c r="U715" t="str">
        <f>IF(K715="","",MIN(100,100*K715/Parametros!$B$8))</f>
        <v/>
      </c>
      <c r="V715" t="str">
        <f ca="1">IFERROR(((AVERAGEIFS(Documentacion!$C$2:$C$1000,Documentacion!$A$2:$A$1000,$A715,Documentacion!$B$2:$B$1000,"&gt;="&amp;DATEVALUE($B715&amp;"-01"),Documentacion!$B$2:$B$1000,"&lt;="&amp;EOMONTH(DATEVALUE($B715&amp;"-01"),0)))-1)/4*100,"")</f>
        <v/>
      </c>
      <c r="W715" t="str">
        <f ca="1">IFERROR(((AVERAGEIFS(Feedback_360!$D$2:$D$1000,Feedback_360!$A$2:$A$1000,$A715,Feedback_360!$B$2:$B$1000,"&gt;="&amp;DATEVALUE($B715&amp;"-01"),Feedback_360!$B$2:$B$1000,"&lt;="&amp;EOMONTH(DATEVALUE($B715&amp;"-01"),0)))-1)/4*100,"")</f>
        <v/>
      </c>
      <c r="X715" t="str">
        <f ca="1">IFERROR(((AVERAGEIFS(Observacion_Directa!$D$2:$D$1000,Observacion_Directa!$A$2:$A$1000,$A715,Observacion_Directa!$B$2:$B$1000,"&gt;="&amp;DATEVALUE($B715&amp;"-01"),Observacion_Directa!$B$2:$B$1000,"&lt;="&amp;EOMONTH(DATEVALUE($B715&amp;"-01"),0)))-1)/4*100,"")</f>
        <v/>
      </c>
      <c r="Y715" t="e">
        <f t="shared" ca="1" si="23"/>
        <v>#DIV/0!</v>
      </c>
    </row>
    <row r="716" spans="12:25" x14ac:dyDescent="0.2">
      <c r="L716" t="str">
        <f t="shared" si="22"/>
        <v/>
      </c>
      <c r="M716" t="str">
        <f>IFERROR(AVERAGEIFS(Prod_5dias!$H$2:$H$1000,Prod_5dias!$A$2:$A$1000,$A716,Prod_5dias!$B$2:$B$1000,$B716),"")</f>
        <v/>
      </c>
      <c r="N716" t="str">
        <f>IF(M716="","",MIN(100,100*M716/Parametros!$B$7))</f>
        <v/>
      </c>
      <c r="O716" t="str">
        <f>IF(F716="","",IF(F716=0,100,MIN(100,100*Parametros!$B$3/F716)))</f>
        <v/>
      </c>
      <c r="P716" t="str">
        <f ca="1">IFERROR(((AVERAGEIFS(Observacion_Directa!$E$2:$E$1000,Observacion_Directa!$A$2:$A$1000,$A716,Observacion_Directa!$B$2:$B$1000,"&gt;="&amp;DATEVALUE($B716&amp;"-01"),Observacion_Directa!$B$2:$B$1000,"&lt;="&amp;EOMONTH(DATEVALUE($B716&amp;"-01"),0)))-1)/4*100,"")</f>
        <v/>
      </c>
      <c r="Q716" t="str">
        <f>IF(H716="","",MIN(100,100*H716/Parametros!$B$4))</f>
        <v/>
      </c>
      <c r="R716" t="str">
        <f>IF(I716="","",IF(I716=0,100,MIN(100,100*Parametros!$B$5/I716)))</f>
        <v/>
      </c>
      <c r="S716" t="str">
        <f>IF(J716="","",IF(J716=0,100,MIN(100,100*Parametros!$B$6/J716)))</f>
        <v/>
      </c>
      <c r="T716" t="str">
        <f>IF(L716="","",MIN(100,100*L716/Parametros!$B$7))</f>
        <v/>
      </c>
      <c r="U716" t="str">
        <f>IF(K716="","",MIN(100,100*K716/Parametros!$B$8))</f>
        <v/>
      </c>
      <c r="V716" t="str">
        <f ca="1">IFERROR(((AVERAGEIFS(Documentacion!$C$2:$C$1000,Documentacion!$A$2:$A$1000,$A716,Documentacion!$B$2:$B$1000,"&gt;="&amp;DATEVALUE($B716&amp;"-01"),Documentacion!$B$2:$B$1000,"&lt;="&amp;EOMONTH(DATEVALUE($B716&amp;"-01"),0)))-1)/4*100,"")</f>
        <v/>
      </c>
      <c r="W716" t="str">
        <f ca="1">IFERROR(((AVERAGEIFS(Feedback_360!$D$2:$D$1000,Feedback_360!$A$2:$A$1000,$A716,Feedback_360!$B$2:$B$1000,"&gt;="&amp;DATEVALUE($B716&amp;"-01"),Feedback_360!$B$2:$B$1000,"&lt;="&amp;EOMONTH(DATEVALUE($B716&amp;"-01"),0)))-1)/4*100,"")</f>
        <v/>
      </c>
      <c r="X716" t="str">
        <f ca="1">IFERROR(((AVERAGEIFS(Observacion_Directa!$D$2:$D$1000,Observacion_Directa!$A$2:$A$1000,$A716,Observacion_Directa!$B$2:$B$1000,"&gt;="&amp;DATEVALUE($B716&amp;"-01"),Observacion_Directa!$B$2:$B$1000,"&lt;="&amp;EOMONTH(DATEVALUE($B716&amp;"-01"),0)))-1)/4*100,"")</f>
        <v/>
      </c>
      <c r="Y716" t="e">
        <f t="shared" ca="1" si="23"/>
        <v>#DIV/0!</v>
      </c>
    </row>
    <row r="717" spans="12:25" x14ac:dyDescent="0.2">
      <c r="L717" t="str">
        <f t="shared" si="22"/>
        <v/>
      </c>
      <c r="M717" t="str">
        <f>IFERROR(AVERAGEIFS(Prod_5dias!$H$2:$H$1000,Prod_5dias!$A$2:$A$1000,$A717,Prod_5dias!$B$2:$B$1000,$B717),"")</f>
        <v/>
      </c>
      <c r="N717" t="str">
        <f>IF(M717="","",MIN(100,100*M717/Parametros!$B$7))</f>
        <v/>
      </c>
      <c r="O717" t="str">
        <f>IF(F717="","",IF(F717=0,100,MIN(100,100*Parametros!$B$3/F717)))</f>
        <v/>
      </c>
      <c r="P717" t="str">
        <f ca="1">IFERROR(((AVERAGEIFS(Observacion_Directa!$E$2:$E$1000,Observacion_Directa!$A$2:$A$1000,$A717,Observacion_Directa!$B$2:$B$1000,"&gt;="&amp;DATEVALUE($B717&amp;"-01"),Observacion_Directa!$B$2:$B$1000,"&lt;="&amp;EOMONTH(DATEVALUE($B717&amp;"-01"),0)))-1)/4*100,"")</f>
        <v/>
      </c>
      <c r="Q717" t="str">
        <f>IF(H717="","",MIN(100,100*H717/Parametros!$B$4))</f>
        <v/>
      </c>
      <c r="R717" t="str">
        <f>IF(I717="","",IF(I717=0,100,MIN(100,100*Parametros!$B$5/I717)))</f>
        <v/>
      </c>
      <c r="S717" t="str">
        <f>IF(J717="","",IF(J717=0,100,MIN(100,100*Parametros!$B$6/J717)))</f>
        <v/>
      </c>
      <c r="T717" t="str">
        <f>IF(L717="","",MIN(100,100*L717/Parametros!$B$7))</f>
        <v/>
      </c>
      <c r="U717" t="str">
        <f>IF(K717="","",MIN(100,100*K717/Parametros!$B$8))</f>
        <v/>
      </c>
      <c r="V717" t="str">
        <f ca="1">IFERROR(((AVERAGEIFS(Documentacion!$C$2:$C$1000,Documentacion!$A$2:$A$1000,$A717,Documentacion!$B$2:$B$1000,"&gt;="&amp;DATEVALUE($B717&amp;"-01"),Documentacion!$B$2:$B$1000,"&lt;="&amp;EOMONTH(DATEVALUE($B717&amp;"-01"),0)))-1)/4*100,"")</f>
        <v/>
      </c>
      <c r="W717" t="str">
        <f ca="1">IFERROR(((AVERAGEIFS(Feedback_360!$D$2:$D$1000,Feedback_360!$A$2:$A$1000,$A717,Feedback_360!$B$2:$B$1000,"&gt;="&amp;DATEVALUE($B717&amp;"-01"),Feedback_360!$B$2:$B$1000,"&lt;="&amp;EOMONTH(DATEVALUE($B717&amp;"-01"),0)))-1)/4*100,"")</f>
        <v/>
      </c>
      <c r="X717" t="str">
        <f ca="1">IFERROR(((AVERAGEIFS(Observacion_Directa!$D$2:$D$1000,Observacion_Directa!$A$2:$A$1000,$A717,Observacion_Directa!$B$2:$B$1000,"&gt;="&amp;DATEVALUE($B717&amp;"-01"),Observacion_Directa!$B$2:$B$1000,"&lt;="&amp;EOMONTH(DATEVALUE($B717&amp;"-01"),0)))-1)/4*100,"")</f>
        <v/>
      </c>
      <c r="Y717" t="e">
        <f t="shared" ca="1" si="23"/>
        <v>#DIV/0!</v>
      </c>
    </row>
    <row r="718" spans="12:25" x14ac:dyDescent="0.2">
      <c r="L718" t="str">
        <f t="shared" si="22"/>
        <v/>
      </c>
      <c r="M718" t="str">
        <f>IFERROR(AVERAGEIFS(Prod_5dias!$H$2:$H$1000,Prod_5dias!$A$2:$A$1000,$A718,Prod_5dias!$B$2:$B$1000,$B718),"")</f>
        <v/>
      </c>
      <c r="N718" t="str">
        <f>IF(M718="","",MIN(100,100*M718/Parametros!$B$7))</f>
        <v/>
      </c>
      <c r="O718" t="str">
        <f>IF(F718="","",IF(F718=0,100,MIN(100,100*Parametros!$B$3/F718)))</f>
        <v/>
      </c>
      <c r="P718" t="str">
        <f ca="1">IFERROR(((AVERAGEIFS(Observacion_Directa!$E$2:$E$1000,Observacion_Directa!$A$2:$A$1000,$A718,Observacion_Directa!$B$2:$B$1000,"&gt;="&amp;DATEVALUE($B718&amp;"-01"),Observacion_Directa!$B$2:$B$1000,"&lt;="&amp;EOMONTH(DATEVALUE($B718&amp;"-01"),0)))-1)/4*100,"")</f>
        <v/>
      </c>
      <c r="Q718" t="str">
        <f>IF(H718="","",MIN(100,100*H718/Parametros!$B$4))</f>
        <v/>
      </c>
      <c r="R718" t="str">
        <f>IF(I718="","",IF(I718=0,100,MIN(100,100*Parametros!$B$5/I718)))</f>
        <v/>
      </c>
      <c r="S718" t="str">
        <f>IF(J718="","",IF(J718=0,100,MIN(100,100*Parametros!$B$6/J718)))</f>
        <v/>
      </c>
      <c r="T718" t="str">
        <f>IF(L718="","",MIN(100,100*L718/Parametros!$B$7))</f>
        <v/>
      </c>
      <c r="U718" t="str">
        <f>IF(K718="","",MIN(100,100*K718/Parametros!$B$8))</f>
        <v/>
      </c>
      <c r="V718" t="str">
        <f ca="1">IFERROR(((AVERAGEIFS(Documentacion!$C$2:$C$1000,Documentacion!$A$2:$A$1000,$A718,Documentacion!$B$2:$B$1000,"&gt;="&amp;DATEVALUE($B718&amp;"-01"),Documentacion!$B$2:$B$1000,"&lt;="&amp;EOMONTH(DATEVALUE($B718&amp;"-01"),0)))-1)/4*100,"")</f>
        <v/>
      </c>
      <c r="W718" t="str">
        <f ca="1">IFERROR(((AVERAGEIFS(Feedback_360!$D$2:$D$1000,Feedback_360!$A$2:$A$1000,$A718,Feedback_360!$B$2:$B$1000,"&gt;="&amp;DATEVALUE($B718&amp;"-01"),Feedback_360!$B$2:$B$1000,"&lt;="&amp;EOMONTH(DATEVALUE($B718&amp;"-01"),0)))-1)/4*100,"")</f>
        <v/>
      </c>
      <c r="X718" t="str">
        <f ca="1">IFERROR(((AVERAGEIFS(Observacion_Directa!$D$2:$D$1000,Observacion_Directa!$A$2:$A$1000,$A718,Observacion_Directa!$B$2:$B$1000,"&gt;="&amp;DATEVALUE($B718&amp;"-01"),Observacion_Directa!$B$2:$B$1000,"&lt;="&amp;EOMONTH(DATEVALUE($B718&amp;"-01"),0)))-1)/4*100,"")</f>
        <v/>
      </c>
      <c r="Y718" t="e">
        <f t="shared" ca="1" si="23"/>
        <v>#DIV/0!</v>
      </c>
    </row>
    <row r="719" spans="12:25" x14ac:dyDescent="0.2">
      <c r="L719" t="str">
        <f t="shared" si="22"/>
        <v/>
      </c>
      <c r="M719" t="str">
        <f>IFERROR(AVERAGEIFS(Prod_5dias!$H$2:$H$1000,Prod_5dias!$A$2:$A$1000,$A719,Prod_5dias!$B$2:$B$1000,$B719),"")</f>
        <v/>
      </c>
      <c r="N719" t="str">
        <f>IF(M719="","",MIN(100,100*M719/Parametros!$B$7))</f>
        <v/>
      </c>
      <c r="O719" t="str">
        <f>IF(F719="","",IF(F719=0,100,MIN(100,100*Parametros!$B$3/F719)))</f>
        <v/>
      </c>
      <c r="P719" t="str">
        <f ca="1">IFERROR(((AVERAGEIFS(Observacion_Directa!$E$2:$E$1000,Observacion_Directa!$A$2:$A$1000,$A719,Observacion_Directa!$B$2:$B$1000,"&gt;="&amp;DATEVALUE($B719&amp;"-01"),Observacion_Directa!$B$2:$B$1000,"&lt;="&amp;EOMONTH(DATEVALUE($B719&amp;"-01"),0)))-1)/4*100,"")</f>
        <v/>
      </c>
      <c r="Q719" t="str">
        <f>IF(H719="","",MIN(100,100*H719/Parametros!$B$4))</f>
        <v/>
      </c>
      <c r="R719" t="str">
        <f>IF(I719="","",IF(I719=0,100,MIN(100,100*Parametros!$B$5/I719)))</f>
        <v/>
      </c>
      <c r="S719" t="str">
        <f>IF(J719="","",IF(J719=0,100,MIN(100,100*Parametros!$B$6/J719)))</f>
        <v/>
      </c>
      <c r="T719" t="str">
        <f>IF(L719="","",MIN(100,100*L719/Parametros!$B$7))</f>
        <v/>
      </c>
      <c r="U719" t="str">
        <f>IF(K719="","",MIN(100,100*K719/Parametros!$B$8))</f>
        <v/>
      </c>
      <c r="V719" t="str">
        <f ca="1">IFERROR(((AVERAGEIFS(Documentacion!$C$2:$C$1000,Documentacion!$A$2:$A$1000,$A719,Documentacion!$B$2:$B$1000,"&gt;="&amp;DATEVALUE($B719&amp;"-01"),Documentacion!$B$2:$B$1000,"&lt;="&amp;EOMONTH(DATEVALUE($B719&amp;"-01"),0)))-1)/4*100,"")</f>
        <v/>
      </c>
      <c r="W719" t="str">
        <f ca="1">IFERROR(((AVERAGEIFS(Feedback_360!$D$2:$D$1000,Feedback_360!$A$2:$A$1000,$A719,Feedback_360!$B$2:$B$1000,"&gt;="&amp;DATEVALUE($B719&amp;"-01"),Feedback_360!$B$2:$B$1000,"&lt;="&amp;EOMONTH(DATEVALUE($B719&amp;"-01"),0)))-1)/4*100,"")</f>
        <v/>
      </c>
      <c r="X719" t="str">
        <f ca="1">IFERROR(((AVERAGEIFS(Observacion_Directa!$D$2:$D$1000,Observacion_Directa!$A$2:$A$1000,$A719,Observacion_Directa!$B$2:$B$1000,"&gt;="&amp;DATEVALUE($B719&amp;"-01"),Observacion_Directa!$B$2:$B$1000,"&lt;="&amp;EOMONTH(DATEVALUE($B719&amp;"-01"),0)))-1)/4*100,"")</f>
        <v/>
      </c>
      <c r="Y719" t="e">
        <f t="shared" ca="1" si="23"/>
        <v>#DIV/0!</v>
      </c>
    </row>
    <row r="720" spans="12:25" x14ac:dyDescent="0.2">
      <c r="L720" t="str">
        <f t="shared" si="22"/>
        <v/>
      </c>
      <c r="M720" t="str">
        <f>IFERROR(AVERAGEIFS(Prod_5dias!$H$2:$H$1000,Prod_5dias!$A$2:$A$1000,$A720,Prod_5dias!$B$2:$B$1000,$B720),"")</f>
        <v/>
      </c>
      <c r="N720" t="str">
        <f>IF(M720="","",MIN(100,100*M720/Parametros!$B$7))</f>
        <v/>
      </c>
      <c r="O720" t="str">
        <f>IF(F720="","",IF(F720=0,100,MIN(100,100*Parametros!$B$3/F720)))</f>
        <v/>
      </c>
      <c r="P720" t="str">
        <f ca="1">IFERROR(((AVERAGEIFS(Observacion_Directa!$E$2:$E$1000,Observacion_Directa!$A$2:$A$1000,$A720,Observacion_Directa!$B$2:$B$1000,"&gt;="&amp;DATEVALUE($B720&amp;"-01"),Observacion_Directa!$B$2:$B$1000,"&lt;="&amp;EOMONTH(DATEVALUE($B720&amp;"-01"),0)))-1)/4*100,"")</f>
        <v/>
      </c>
      <c r="Q720" t="str">
        <f>IF(H720="","",MIN(100,100*H720/Parametros!$B$4))</f>
        <v/>
      </c>
      <c r="R720" t="str">
        <f>IF(I720="","",IF(I720=0,100,MIN(100,100*Parametros!$B$5/I720)))</f>
        <v/>
      </c>
      <c r="S720" t="str">
        <f>IF(J720="","",IF(J720=0,100,MIN(100,100*Parametros!$B$6/J720)))</f>
        <v/>
      </c>
      <c r="T720" t="str">
        <f>IF(L720="","",MIN(100,100*L720/Parametros!$B$7))</f>
        <v/>
      </c>
      <c r="U720" t="str">
        <f>IF(K720="","",MIN(100,100*K720/Parametros!$B$8))</f>
        <v/>
      </c>
      <c r="V720" t="str">
        <f ca="1">IFERROR(((AVERAGEIFS(Documentacion!$C$2:$C$1000,Documentacion!$A$2:$A$1000,$A720,Documentacion!$B$2:$B$1000,"&gt;="&amp;DATEVALUE($B720&amp;"-01"),Documentacion!$B$2:$B$1000,"&lt;="&amp;EOMONTH(DATEVALUE($B720&amp;"-01"),0)))-1)/4*100,"")</f>
        <v/>
      </c>
      <c r="W720" t="str">
        <f ca="1">IFERROR(((AVERAGEIFS(Feedback_360!$D$2:$D$1000,Feedback_360!$A$2:$A$1000,$A720,Feedback_360!$B$2:$B$1000,"&gt;="&amp;DATEVALUE($B720&amp;"-01"),Feedback_360!$B$2:$B$1000,"&lt;="&amp;EOMONTH(DATEVALUE($B720&amp;"-01"),0)))-1)/4*100,"")</f>
        <v/>
      </c>
      <c r="X720" t="str">
        <f ca="1">IFERROR(((AVERAGEIFS(Observacion_Directa!$D$2:$D$1000,Observacion_Directa!$A$2:$A$1000,$A720,Observacion_Directa!$B$2:$B$1000,"&gt;="&amp;DATEVALUE($B720&amp;"-01"),Observacion_Directa!$B$2:$B$1000,"&lt;="&amp;EOMONTH(DATEVALUE($B720&amp;"-01"),0)))-1)/4*100,"")</f>
        <v/>
      </c>
      <c r="Y720" t="e">
        <f t="shared" ca="1" si="23"/>
        <v>#DIV/0!</v>
      </c>
    </row>
    <row r="721" spans="12:25" x14ac:dyDescent="0.2">
      <c r="L721" t="str">
        <f t="shared" si="22"/>
        <v/>
      </c>
      <c r="M721" t="str">
        <f>IFERROR(AVERAGEIFS(Prod_5dias!$H$2:$H$1000,Prod_5dias!$A$2:$A$1000,$A721,Prod_5dias!$B$2:$B$1000,$B721),"")</f>
        <v/>
      </c>
      <c r="N721" t="str">
        <f>IF(M721="","",MIN(100,100*M721/Parametros!$B$7))</f>
        <v/>
      </c>
      <c r="O721" t="str">
        <f>IF(F721="","",IF(F721=0,100,MIN(100,100*Parametros!$B$3/F721)))</f>
        <v/>
      </c>
      <c r="P721" t="str">
        <f ca="1">IFERROR(((AVERAGEIFS(Observacion_Directa!$E$2:$E$1000,Observacion_Directa!$A$2:$A$1000,$A721,Observacion_Directa!$B$2:$B$1000,"&gt;="&amp;DATEVALUE($B721&amp;"-01"),Observacion_Directa!$B$2:$B$1000,"&lt;="&amp;EOMONTH(DATEVALUE($B721&amp;"-01"),0)))-1)/4*100,"")</f>
        <v/>
      </c>
      <c r="Q721" t="str">
        <f>IF(H721="","",MIN(100,100*H721/Parametros!$B$4))</f>
        <v/>
      </c>
      <c r="R721" t="str">
        <f>IF(I721="","",IF(I721=0,100,MIN(100,100*Parametros!$B$5/I721)))</f>
        <v/>
      </c>
      <c r="S721" t="str">
        <f>IF(J721="","",IF(J721=0,100,MIN(100,100*Parametros!$B$6/J721)))</f>
        <v/>
      </c>
      <c r="T721" t="str">
        <f>IF(L721="","",MIN(100,100*L721/Parametros!$B$7))</f>
        <v/>
      </c>
      <c r="U721" t="str">
        <f>IF(K721="","",MIN(100,100*K721/Parametros!$B$8))</f>
        <v/>
      </c>
      <c r="V721" t="str">
        <f ca="1">IFERROR(((AVERAGEIFS(Documentacion!$C$2:$C$1000,Documentacion!$A$2:$A$1000,$A721,Documentacion!$B$2:$B$1000,"&gt;="&amp;DATEVALUE($B721&amp;"-01"),Documentacion!$B$2:$B$1000,"&lt;="&amp;EOMONTH(DATEVALUE($B721&amp;"-01"),0)))-1)/4*100,"")</f>
        <v/>
      </c>
      <c r="W721" t="str">
        <f ca="1">IFERROR(((AVERAGEIFS(Feedback_360!$D$2:$D$1000,Feedback_360!$A$2:$A$1000,$A721,Feedback_360!$B$2:$B$1000,"&gt;="&amp;DATEVALUE($B721&amp;"-01"),Feedback_360!$B$2:$B$1000,"&lt;="&amp;EOMONTH(DATEVALUE($B721&amp;"-01"),0)))-1)/4*100,"")</f>
        <v/>
      </c>
      <c r="X721" t="str">
        <f ca="1">IFERROR(((AVERAGEIFS(Observacion_Directa!$D$2:$D$1000,Observacion_Directa!$A$2:$A$1000,$A721,Observacion_Directa!$B$2:$B$1000,"&gt;="&amp;DATEVALUE($B721&amp;"-01"),Observacion_Directa!$B$2:$B$1000,"&lt;="&amp;EOMONTH(DATEVALUE($B721&amp;"-01"),0)))-1)/4*100,"")</f>
        <v/>
      </c>
      <c r="Y721" t="e">
        <f t="shared" ca="1" si="23"/>
        <v>#DIV/0!</v>
      </c>
    </row>
    <row r="722" spans="12:25" x14ac:dyDescent="0.2">
      <c r="L722" t="str">
        <f t="shared" si="22"/>
        <v/>
      </c>
      <c r="M722" t="str">
        <f>IFERROR(AVERAGEIFS(Prod_5dias!$H$2:$H$1000,Prod_5dias!$A$2:$A$1000,$A722,Prod_5dias!$B$2:$B$1000,$B722),"")</f>
        <v/>
      </c>
      <c r="N722" t="str">
        <f>IF(M722="","",MIN(100,100*M722/Parametros!$B$7))</f>
        <v/>
      </c>
      <c r="O722" t="str">
        <f>IF(F722="","",IF(F722=0,100,MIN(100,100*Parametros!$B$3/F722)))</f>
        <v/>
      </c>
      <c r="P722" t="str">
        <f ca="1">IFERROR(((AVERAGEIFS(Observacion_Directa!$E$2:$E$1000,Observacion_Directa!$A$2:$A$1000,$A722,Observacion_Directa!$B$2:$B$1000,"&gt;="&amp;DATEVALUE($B722&amp;"-01"),Observacion_Directa!$B$2:$B$1000,"&lt;="&amp;EOMONTH(DATEVALUE($B722&amp;"-01"),0)))-1)/4*100,"")</f>
        <v/>
      </c>
      <c r="Q722" t="str">
        <f>IF(H722="","",MIN(100,100*H722/Parametros!$B$4))</f>
        <v/>
      </c>
      <c r="R722" t="str">
        <f>IF(I722="","",IF(I722=0,100,MIN(100,100*Parametros!$B$5/I722)))</f>
        <v/>
      </c>
      <c r="S722" t="str">
        <f>IF(J722="","",IF(J722=0,100,MIN(100,100*Parametros!$B$6/J722)))</f>
        <v/>
      </c>
      <c r="T722" t="str">
        <f>IF(L722="","",MIN(100,100*L722/Parametros!$B$7))</f>
        <v/>
      </c>
      <c r="U722" t="str">
        <f>IF(K722="","",MIN(100,100*K722/Parametros!$B$8))</f>
        <v/>
      </c>
      <c r="V722" t="str">
        <f ca="1">IFERROR(((AVERAGEIFS(Documentacion!$C$2:$C$1000,Documentacion!$A$2:$A$1000,$A722,Documentacion!$B$2:$B$1000,"&gt;="&amp;DATEVALUE($B722&amp;"-01"),Documentacion!$B$2:$B$1000,"&lt;="&amp;EOMONTH(DATEVALUE($B722&amp;"-01"),0)))-1)/4*100,"")</f>
        <v/>
      </c>
      <c r="W722" t="str">
        <f ca="1">IFERROR(((AVERAGEIFS(Feedback_360!$D$2:$D$1000,Feedback_360!$A$2:$A$1000,$A722,Feedback_360!$B$2:$B$1000,"&gt;="&amp;DATEVALUE($B722&amp;"-01"),Feedback_360!$B$2:$B$1000,"&lt;="&amp;EOMONTH(DATEVALUE($B722&amp;"-01"),0)))-1)/4*100,"")</f>
        <v/>
      </c>
      <c r="X722" t="str">
        <f ca="1">IFERROR(((AVERAGEIFS(Observacion_Directa!$D$2:$D$1000,Observacion_Directa!$A$2:$A$1000,$A722,Observacion_Directa!$B$2:$B$1000,"&gt;="&amp;DATEVALUE($B722&amp;"-01"),Observacion_Directa!$B$2:$B$1000,"&lt;="&amp;EOMONTH(DATEVALUE($B722&amp;"-01"),0)))-1)/4*100,"")</f>
        <v/>
      </c>
      <c r="Y722" t="e">
        <f t="shared" ca="1" si="23"/>
        <v>#DIV/0!</v>
      </c>
    </row>
    <row r="723" spans="12:25" x14ac:dyDescent="0.2">
      <c r="L723" t="str">
        <f t="shared" si="22"/>
        <v/>
      </c>
      <c r="M723" t="str">
        <f>IFERROR(AVERAGEIFS(Prod_5dias!$H$2:$H$1000,Prod_5dias!$A$2:$A$1000,$A723,Prod_5dias!$B$2:$B$1000,$B723),"")</f>
        <v/>
      </c>
      <c r="N723" t="str">
        <f>IF(M723="","",MIN(100,100*M723/Parametros!$B$7))</f>
        <v/>
      </c>
      <c r="O723" t="str">
        <f>IF(F723="","",IF(F723=0,100,MIN(100,100*Parametros!$B$3/F723)))</f>
        <v/>
      </c>
      <c r="P723" t="str">
        <f ca="1">IFERROR(((AVERAGEIFS(Observacion_Directa!$E$2:$E$1000,Observacion_Directa!$A$2:$A$1000,$A723,Observacion_Directa!$B$2:$B$1000,"&gt;="&amp;DATEVALUE($B723&amp;"-01"),Observacion_Directa!$B$2:$B$1000,"&lt;="&amp;EOMONTH(DATEVALUE($B723&amp;"-01"),0)))-1)/4*100,"")</f>
        <v/>
      </c>
      <c r="Q723" t="str">
        <f>IF(H723="","",MIN(100,100*H723/Parametros!$B$4))</f>
        <v/>
      </c>
      <c r="R723" t="str">
        <f>IF(I723="","",IF(I723=0,100,MIN(100,100*Parametros!$B$5/I723)))</f>
        <v/>
      </c>
      <c r="S723" t="str">
        <f>IF(J723="","",IF(J723=0,100,MIN(100,100*Parametros!$B$6/J723)))</f>
        <v/>
      </c>
      <c r="T723" t="str">
        <f>IF(L723="","",MIN(100,100*L723/Parametros!$B$7))</f>
        <v/>
      </c>
      <c r="U723" t="str">
        <f>IF(K723="","",MIN(100,100*K723/Parametros!$B$8))</f>
        <v/>
      </c>
      <c r="V723" t="str">
        <f ca="1">IFERROR(((AVERAGEIFS(Documentacion!$C$2:$C$1000,Documentacion!$A$2:$A$1000,$A723,Documentacion!$B$2:$B$1000,"&gt;="&amp;DATEVALUE($B723&amp;"-01"),Documentacion!$B$2:$B$1000,"&lt;="&amp;EOMONTH(DATEVALUE($B723&amp;"-01"),0)))-1)/4*100,"")</f>
        <v/>
      </c>
      <c r="W723" t="str">
        <f ca="1">IFERROR(((AVERAGEIFS(Feedback_360!$D$2:$D$1000,Feedback_360!$A$2:$A$1000,$A723,Feedback_360!$B$2:$B$1000,"&gt;="&amp;DATEVALUE($B723&amp;"-01"),Feedback_360!$B$2:$B$1000,"&lt;="&amp;EOMONTH(DATEVALUE($B723&amp;"-01"),0)))-1)/4*100,"")</f>
        <v/>
      </c>
      <c r="X723" t="str">
        <f ca="1">IFERROR(((AVERAGEIFS(Observacion_Directa!$D$2:$D$1000,Observacion_Directa!$A$2:$A$1000,$A723,Observacion_Directa!$B$2:$B$1000,"&gt;="&amp;DATEVALUE($B723&amp;"-01"),Observacion_Directa!$B$2:$B$1000,"&lt;="&amp;EOMONTH(DATEVALUE($B723&amp;"-01"),0)))-1)/4*100,"")</f>
        <v/>
      </c>
      <c r="Y723" t="e">
        <f t="shared" ca="1" si="23"/>
        <v>#DIV/0!</v>
      </c>
    </row>
    <row r="724" spans="12:25" x14ac:dyDescent="0.2">
      <c r="L724" t="str">
        <f t="shared" si="22"/>
        <v/>
      </c>
      <c r="M724" t="str">
        <f>IFERROR(AVERAGEIFS(Prod_5dias!$H$2:$H$1000,Prod_5dias!$A$2:$A$1000,$A724,Prod_5dias!$B$2:$B$1000,$B724),"")</f>
        <v/>
      </c>
      <c r="N724" t="str">
        <f>IF(M724="","",MIN(100,100*M724/Parametros!$B$7))</f>
        <v/>
      </c>
      <c r="O724" t="str">
        <f>IF(F724="","",IF(F724=0,100,MIN(100,100*Parametros!$B$3/F724)))</f>
        <v/>
      </c>
      <c r="P724" t="str">
        <f ca="1">IFERROR(((AVERAGEIFS(Observacion_Directa!$E$2:$E$1000,Observacion_Directa!$A$2:$A$1000,$A724,Observacion_Directa!$B$2:$B$1000,"&gt;="&amp;DATEVALUE($B724&amp;"-01"),Observacion_Directa!$B$2:$B$1000,"&lt;="&amp;EOMONTH(DATEVALUE($B724&amp;"-01"),0)))-1)/4*100,"")</f>
        <v/>
      </c>
      <c r="Q724" t="str">
        <f>IF(H724="","",MIN(100,100*H724/Parametros!$B$4))</f>
        <v/>
      </c>
      <c r="R724" t="str">
        <f>IF(I724="","",IF(I724=0,100,MIN(100,100*Parametros!$B$5/I724)))</f>
        <v/>
      </c>
      <c r="S724" t="str">
        <f>IF(J724="","",IF(J724=0,100,MIN(100,100*Parametros!$B$6/J724)))</f>
        <v/>
      </c>
      <c r="T724" t="str">
        <f>IF(L724="","",MIN(100,100*L724/Parametros!$B$7))</f>
        <v/>
      </c>
      <c r="U724" t="str">
        <f>IF(K724="","",MIN(100,100*K724/Parametros!$B$8))</f>
        <v/>
      </c>
      <c r="V724" t="str">
        <f ca="1">IFERROR(((AVERAGEIFS(Documentacion!$C$2:$C$1000,Documentacion!$A$2:$A$1000,$A724,Documentacion!$B$2:$B$1000,"&gt;="&amp;DATEVALUE($B724&amp;"-01"),Documentacion!$B$2:$B$1000,"&lt;="&amp;EOMONTH(DATEVALUE($B724&amp;"-01"),0)))-1)/4*100,"")</f>
        <v/>
      </c>
      <c r="W724" t="str">
        <f ca="1">IFERROR(((AVERAGEIFS(Feedback_360!$D$2:$D$1000,Feedback_360!$A$2:$A$1000,$A724,Feedback_360!$B$2:$B$1000,"&gt;="&amp;DATEVALUE($B724&amp;"-01"),Feedback_360!$B$2:$B$1000,"&lt;="&amp;EOMONTH(DATEVALUE($B724&amp;"-01"),0)))-1)/4*100,"")</f>
        <v/>
      </c>
      <c r="X724" t="str">
        <f ca="1">IFERROR(((AVERAGEIFS(Observacion_Directa!$D$2:$D$1000,Observacion_Directa!$A$2:$A$1000,$A724,Observacion_Directa!$B$2:$B$1000,"&gt;="&amp;DATEVALUE($B724&amp;"-01"),Observacion_Directa!$B$2:$B$1000,"&lt;="&amp;EOMONTH(DATEVALUE($B724&amp;"-01"),0)))-1)/4*100,"")</f>
        <v/>
      </c>
      <c r="Y724" t="e">
        <f t="shared" ca="1" si="23"/>
        <v>#DIV/0!</v>
      </c>
    </row>
    <row r="725" spans="12:25" x14ac:dyDescent="0.2">
      <c r="L725" t="str">
        <f t="shared" si="22"/>
        <v/>
      </c>
      <c r="M725" t="str">
        <f>IFERROR(AVERAGEIFS(Prod_5dias!$H$2:$H$1000,Prod_5dias!$A$2:$A$1000,$A725,Prod_5dias!$B$2:$B$1000,$B725),"")</f>
        <v/>
      </c>
      <c r="N725" t="str">
        <f>IF(M725="","",MIN(100,100*M725/Parametros!$B$7))</f>
        <v/>
      </c>
      <c r="O725" t="str">
        <f>IF(F725="","",IF(F725=0,100,MIN(100,100*Parametros!$B$3/F725)))</f>
        <v/>
      </c>
      <c r="P725" t="str">
        <f ca="1">IFERROR(((AVERAGEIFS(Observacion_Directa!$E$2:$E$1000,Observacion_Directa!$A$2:$A$1000,$A725,Observacion_Directa!$B$2:$B$1000,"&gt;="&amp;DATEVALUE($B725&amp;"-01"),Observacion_Directa!$B$2:$B$1000,"&lt;="&amp;EOMONTH(DATEVALUE($B725&amp;"-01"),0)))-1)/4*100,"")</f>
        <v/>
      </c>
      <c r="Q725" t="str">
        <f>IF(H725="","",MIN(100,100*H725/Parametros!$B$4))</f>
        <v/>
      </c>
      <c r="R725" t="str">
        <f>IF(I725="","",IF(I725=0,100,MIN(100,100*Parametros!$B$5/I725)))</f>
        <v/>
      </c>
      <c r="S725" t="str">
        <f>IF(J725="","",IF(J725=0,100,MIN(100,100*Parametros!$B$6/J725)))</f>
        <v/>
      </c>
      <c r="T725" t="str">
        <f>IF(L725="","",MIN(100,100*L725/Parametros!$B$7))</f>
        <v/>
      </c>
      <c r="U725" t="str">
        <f>IF(K725="","",MIN(100,100*K725/Parametros!$B$8))</f>
        <v/>
      </c>
      <c r="V725" t="str">
        <f ca="1">IFERROR(((AVERAGEIFS(Documentacion!$C$2:$C$1000,Documentacion!$A$2:$A$1000,$A725,Documentacion!$B$2:$B$1000,"&gt;="&amp;DATEVALUE($B725&amp;"-01"),Documentacion!$B$2:$B$1000,"&lt;="&amp;EOMONTH(DATEVALUE($B725&amp;"-01"),0)))-1)/4*100,"")</f>
        <v/>
      </c>
      <c r="W725" t="str">
        <f ca="1">IFERROR(((AVERAGEIFS(Feedback_360!$D$2:$D$1000,Feedback_360!$A$2:$A$1000,$A725,Feedback_360!$B$2:$B$1000,"&gt;="&amp;DATEVALUE($B725&amp;"-01"),Feedback_360!$B$2:$B$1000,"&lt;="&amp;EOMONTH(DATEVALUE($B725&amp;"-01"),0)))-1)/4*100,"")</f>
        <v/>
      </c>
      <c r="X725" t="str">
        <f ca="1">IFERROR(((AVERAGEIFS(Observacion_Directa!$D$2:$D$1000,Observacion_Directa!$A$2:$A$1000,$A725,Observacion_Directa!$B$2:$B$1000,"&gt;="&amp;DATEVALUE($B725&amp;"-01"),Observacion_Directa!$B$2:$B$1000,"&lt;="&amp;EOMONTH(DATEVALUE($B725&amp;"-01"),0)))-1)/4*100,"")</f>
        <v/>
      </c>
      <c r="Y725" t="e">
        <f t="shared" ca="1" si="23"/>
        <v>#DIV/0!</v>
      </c>
    </row>
    <row r="726" spans="12:25" x14ac:dyDescent="0.2">
      <c r="L726" t="str">
        <f t="shared" si="22"/>
        <v/>
      </c>
      <c r="M726" t="str">
        <f>IFERROR(AVERAGEIFS(Prod_5dias!$H$2:$H$1000,Prod_5dias!$A$2:$A$1000,$A726,Prod_5dias!$B$2:$B$1000,$B726),"")</f>
        <v/>
      </c>
      <c r="N726" t="str">
        <f>IF(M726="","",MIN(100,100*M726/Parametros!$B$7))</f>
        <v/>
      </c>
      <c r="O726" t="str">
        <f>IF(F726="","",IF(F726=0,100,MIN(100,100*Parametros!$B$3/F726)))</f>
        <v/>
      </c>
      <c r="P726" t="str">
        <f ca="1">IFERROR(((AVERAGEIFS(Observacion_Directa!$E$2:$E$1000,Observacion_Directa!$A$2:$A$1000,$A726,Observacion_Directa!$B$2:$B$1000,"&gt;="&amp;DATEVALUE($B726&amp;"-01"),Observacion_Directa!$B$2:$B$1000,"&lt;="&amp;EOMONTH(DATEVALUE($B726&amp;"-01"),0)))-1)/4*100,"")</f>
        <v/>
      </c>
      <c r="Q726" t="str">
        <f>IF(H726="","",MIN(100,100*H726/Parametros!$B$4))</f>
        <v/>
      </c>
      <c r="R726" t="str">
        <f>IF(I726="","",IF(I726=0,100,MIN(100,100*Parametros!$B$5/I726)))</f>
        <v/>
      </c>
      <c r="S726" t="str">
        <f>IF(J726="","",IF(J726=0,100,MIN(100,100*Parametros!$B$6/J726)))</f>
        <v/>
      </c>
      <c r="T726" t="str">
        <f>IF(L726="","",MIN(100,100*L726/Parametros!$B$7))</f>
        <v/>
      </c>
      <c r="U726" t="str">
        <f>IF(K726="","",MIN(100,100*K726/Parametros!$B$8))</f>
        <v/>
      </c>
      <c r="V726" t="str">
        <f ca="1">IFERROR(((AVERAGEIFS(Documentacion!$C$2:$C$1000,Documentacion!$A$2:$A$1000,$A726,Documentacion!$B$2:$B$1000,"&gt;="&amp;DATEVALUE($B726&amp;"-01"),Documentacion!$B$2:$B$1000,"&lt;="&amp;EOMONTH(DATEVALUE($B726&amp;"-01"),0)))-1)/4*100,"")</f>
        <v/>
      </c>
      <c r="W726" t="str">
        <f ca="1">IFERROR(((AVERAGEIFS(Feedback_360!$D$2:$D$1000,Feedback_360!$A$2:$A$1000,$A726,Feedback_360!$B$2:$B$1000,"&gt;="&amp;DATEVALUE($B726&amp;"-01"),Feedback_360!$B$2:$B$1000,"&lt;="&amp;EOMONTH(DATEVALUE($B726&amp;"-01"),0)))-1)/4*100,"")</f>
        <v/>
      </c>
      <c r="X726" t="str">
        <f ca="1">IFERROR(((AVERAGEIFS(Observacion_Directa!$D$2:$D$1000,Observacion_Directa!$A$2:$A$1000,$A726,Observacion_Directa!$B$2:$B$1000,"&gt;="&amp;DATEVALUE($B726&amp;"-01"),Observacion_Directa!$B$2:$B$1000,"&lt;="&amp;EOMONTH(DATEVALUE($B726&amp;"-01"),0)))-1)/4*100,"")</f>
        <v/>
      </c>
      <c r="Y726" t="e">
        <f t="shared" ca="1" si="23"/>
        <v>#DIV/0!</v>
      </c>
    </row>
    <row r="727" spans="12:25" x14ac:dyDescent="0.2">
      <c r="L727" t="str">
        <f t="shared" si="22"/>
        <v/>
      </c>
      <c r="M727" t="str">
        <f>IFERROR(AVERAGEIFS(Prod_5dias!$H$2:$H$1000,Prod_5dias!$A$2:$A$1000,$A727,Prod_5dias!$B$2:$B$1000,$B727),"")</f>
        <v/>
      </c>
      <c r="N727" t="str">
        <f>IF(M727="","",MIN(100,100*M727/Parametros!$B$7))</f>
        <v/>
      </c>
      <c r="O727" t="str">
        <f>IF(F727="","",IF(F727=0,100,MIN(100,100*Parametros!$B$3/F727)))</f>
        <v/>
      </c>
      <c r="P727" t="str">
        <f ca="1">IFERROR(((AVERAGEIFS(Observacion_Directa!$E$2:$E$1000,Observacion_Directa!$A$2:$A$1000,$A727,Observacion_Directa!$B$2:$B$1000,"&gt;="&amp;DATEVALUE($B727&amp;"-01"),Observacion_Directa!$B$2:$B$1000,"&lt;="&amp;EOMONTH(DATEVALUE($B727&amp;"-01"),0)))-1)/4*100,"")</f>
        <v/>
      </c>
      <c r="Q727" t="str">
        <f>IF(H727="","",MIN(100,100*H727/Parametros!$B$4))</f>
        <v/>
      </c>
      <c r="R727" t="str">
        <f>IF(I727="","",IF(I727=0,100,MIN(100,100*Parametros!$B$5/I727)))</f>
        <v/>
      </c>
      <c r="S727" t="str">
        <f>IF(J727="","",IF(J727=0,100,MIN(100,100*Parametros!$B$6/J727)))</f>
        <v/>
      </c>
      <c r="T727" t="str">
        <f>IF(L727="","",MIN(100,100*L727/Parametros!$B$7))</f>
        <v/>
      </c>
      <c r="U727" t="str">
        <f>IF(K727="","",MIN(100,100*K727/Parametros!$B$8))</f>
        <v/>
      </c>
      <c r="V727" t="str">
        <f ca="1">IFERROR(((AVERAGEIFS(Documentacion!$C$2:$C$1000,Documentacion!$A$2:$A$1000,$A727,Documentacion!$B$2:$B$1000,"&gt;="&amp;DATEVALUE($B727&amp;"-01"),Documentacion!$B$2:$B$1000,"&lt;="&amp;EOMONTH(DATEVALUE($B727&amp;"-01"),0)))-1)/4*100,"")</f>
        <v/>
      </c>
      <c r="W727" t="str">
        <f ca="1">IFERROR(((AVERAGEIFS(Feedback_360!$D$2:$D$1000,Feedback_360!$A$2:$A$1000,$A727,Feedback_360!$B$2:$B$1000,"&gt;="&amp;DATEVALUE($B727&amp;"-01"),Feedback_360!$B$2:$B$1000,"&lt;="&amp;EOMONTH(DATEVALUE($B727&amp;"-01"),0)))-1)/4*100,"")</f>
        <v/>
      </c>
      <c r="X727" t="str">
        <f ca="1">IFERROR(((AVERAGEIFS(Observacion_Directa!$D$2:$D$1000,Observacion_Directa!$A$2:$A$1000,$A727,Observacion_Directa!$B$2:$B$1000,"&gt;="&amp;DATEVALUE($B727&amp;"-01"),Observacion_Directa!$B$2:$B$1000,"&lt;="&amp;EOMONTH(DATEVALUE($B727&amp;"-01"),0)))-1)/4*100,"")</f>
        <v/>
      </c>
      <c r="Y727" t="e">
        <f t="shared" ca="1" si="23"/>
        <v>#DIV/0!</v>
      </c>
    </row>
    <row r="728" spans="12:25" x14ac:dyDescent="0.2">
      <c r="L728" t="str">
        <f t="shared" si="22"/>
        <v/>
      </c>
      <c r="M728" t="str">
        <f>IFERROR(AVERAGEIFS(Prod_5dias!$H$2:$H$1000,Prod_5dias!$A$2:$A$1000,$A728,Prod_5dias!$B$2:$B$1000,$B728),"")</f>
        <v/>
      </c>
      <c r="N728" t="str">
        <f>IF(M728="","",MIN(100,100*M728/Parametros!$B$7))</f>
        <v/>
      </c>
      <c r="O728" t="str">
        <f>IF(F728="","",IF(F728=0,100,MIN(100,100*Parametros!$B$3/F728)))</f>
        <v/>
      </c>
      <c r="P728" t="str">
        <f ca="1">IFERROR(((AVERAGEIFS(Observacion_Directa!$E$2:$E$1000,Observacion_Directa!$A$2:$A$1000,$A728,Observacion_Directa!$B$2:$B$1000,"&gt;="&amp;DATEVALUE($B728&amp;"-01"),Observacion_Directa!$B$2:$B$1000,"&lt;="&amp;EOMONTH(DATEVALUE($B728&amp;"-01"),0)))-1)/4*100,"")</f>
        <v/>
      </c>
      <c r="Q728" t="str">
        <f>IF(H728="","",MIN(100,100*H728/Parametros!$B$4))</f>
        <v/>
      </c>
      <c r="R728" t="str">
        <f>IF(I728="","",IF(I728=0,100,MIN(100,100*Parametros!$B$5/I728)))</f>
        <v/>
      </c>
      <c r="S728" t="str">
        <f>IF(J728="","",IF(J728=0,100,MIN(100,100*Parametros!$B$6/J728)))</f>
        <v/>
      </c>
      <c r="T728" t="str">
        <f>IF(L728="","",MIN(100,100*L728/Parametros!$B$7))</f>
        <v/>
      </c>
      <c r="U728" t="str">
        <f>IF(K728="","",MIN(100,100*K728/Parametros!$B$8))</f>
        <v/>
      </c>
      <c r="V728" t="str">
        <f ca="1">IFERROR(((AVERAGEIFS(Documentacion!$C$2:$C$1000,Documentacion!$A$2:$A$1000,$A728,Documentacion!$B$2:$B$1000,"&gt;="&amp;DATEVALUE($B728&amp;"-01"),Documentacion!$B$2:$B$1000,"&lt;="&amp;EOMONTH(DATEVALUE($B728&amp;"-01"),0)))-1)/4*100,"")</f>
        <v/>
      </c>
      <c r="W728" t="str">
        <f ca="1">IFERROR(((AVERAGEIFS(Feedback_360!$D$2:$D$1000,Feedback_360!$A$2:$A$1000,$A728,Feedback_360!$B$2:$B$1000,"&gt;="&amp;DATEVALUE($B728&amp;"-01"),Feedback_360!$B$2:$B$1000,"&lt;="&amp;EOMONTH(DATEVALUE($B728&amp;"-01"),0)))-1)/4*100,"")</f>
        <v/>
      </c>
      <c r="X728" t="str">
        <f ca="1">IFERROR(((AVERAGEIFS(Observacion_Directa!$D$2:$D$1000,Observacion_Directa!$A$2:$A$1000,$A728,Observacion_Directa!$B$2:$B$1000,"&gt;="&amp;DATEVALUE($B728&amp;"-01"),Observacion_Directa!$B$2:$B$1000,"&lt;="&amp;EOMONTH(DATEVALUE($B728&amp;"-01"),0)))-1)/4*100,"")</f>
        <v/>
      </c>
      <c r="Y728" t="e">
        <f t="shared" ca="1" si="23"/>
        <v>#DIV/0!</v>
      </c>
    </row>
    <row r="729" spans="12:25" x14ac:dyDescent="0.2">
      <c r="L729" t="str">
        <f t="shared" si="22"/>
        <v/>
      </c>
      <c r="M729" t="str">
        <f>IFERROR(AVERAGEIFS(Prod_5dias!$H$2:$H$1000,Prod_5dias!$A$2:$A$1000,$A729,Prod_5dias!$B$2:$B$1000,$B729),"")</f>
        <v/>
      </c>
      <c r="N729" t="str">
        <f>IF(M729="","",MIN(100,100*M729/Parametros!$B$7))</f>
        <v/>
      </c>
      <c r="O729" t="str">
        <f>IF(F729="","",IF(F729=0,100,MIN(100,100*Parametros!$B$3/F729)))</f>
        <v/>
      </c>
      <c r="P729" t="str">
        <f ca="1">IFERROR(((AVERAGEIFS(Observacion_Directa!$E$2:$E$1000,Observacion_Directa!$A$2:$A$1000,$A729,Observacion_Directa!$B$2:$B$1000,"&gt;="&amp;DATEVALUE($B729&amp;"-01"),Observacion_Directa!$B$2:$B$1000,"&lt;="&amp;EOMONTH(DATEVALUE($B729&amp;"-01"),0)))-1)/4*100,"")</f>
        <v/>
      </c>
      <c r="Q729" t="str">
        <f>IF(H729="","",MIN(100,100*H729/Parametros!$B$4))</f>
        <v/>
      </c>
      <c r="R729" t="str">
        <f>IF(I729="","",IF(I729=0,100,MIN(100,100*Parametros!$B$5/I729)))</f>
        <v/>
      </c>
      <c r="S729" t="str">
        <f>IF(J729="","",IF(J729=0,100,MIN(100,100*Parametros!$B$6/J729)))</f>
        <v/>
      </c>
      <c r="T729" t="str">
        <f>IF(L729="","",MIN(100,100*L729/Parametros!$B$7))</f>
        <v/>
      </c>
      <c r="U729" t="str">
        <f>IF(K729="","",MIN(100,100*K729/Parametros!$B$8))</f>
        <v/>
      </c>
      <c r="V729" t="str">
        <f ca="1">IFERROR(((AVERAGEIFS(Documentacion!$C$2:$C$1000,Documentacion!$A$2:$A$1000,$A729,Documentacion!$B$2:$B$1000,"&gt;="&amp;DATEVALUE($B729&amp;"-01"),Documentacion!$B$2:$B$1000,"&lt;="&amp;EOMONTH(DATEVALUE($B729&amp;"-01"),0)))-1)/4*100,"")</f>
        <v/>
      </c>
      <c r="W729" t="str">
        <f ca="1">IFERROR(((AVERAGEIFS(Feedback_360!$D$2:$D$1000,Feedback_360!$A$2:$A$1000,$A729,Feedback_360!$B$2:$B$1000,"&gt;="&amp;DATEVALUE($B729&amp;"-01"),Feedback_360!$B$2:$B$1000,"&lt;="&amp;EOMONTH(DATEVALUE($B729&amp;"-01"),0)))-1)/4*100,"")</f>
        <v/>
      </c>
      <c r="X729" t="str">
        <f ca="1">IFERROR(((AVERAGEIFS(Observacion_Directa!$D$2:$D$1000,Observacion_Directa!$A$2:$A$1000,$A729,Observacion_Directa!$B$2:$B$1000,"&gt;="&amp;DATEVALUE($B729&amp;"-01"),Observacion_Directa!$B$2:$B$1000,"&lt;="&amp;EOMONTH(DATEVALUE($B729&amp;"-01"),0)))-1)/4*100,"")</f>
        <v/>
      </c>
      <c r="Y729" t="e">
        <f t="shared" ca="1" si="23"/>
        <v>#DIV/0!</v>
      </c>
    </row>
    <row r="730" spans="12:25" x14ac:dyDescent="0.2">
      <c r="L730" t="str">
        <f t="shared" si="22"/>
        <v/>
      </c>
      <c r="M730" t="str">
        <f>IFERROR(AVERAGEIFS(Prod_5dias!$H$2:$H$1000,Prod_5dias!$A$2:$A$1000,$A730,Prod_5dias!$B$2:$B$1000,$B730),"")</f>
        <v/>
      </c>
      <c r="N730" t="str">
        <f>IF(M730="","",MIN(100,100*M730/Parametros!$B$7))</f>
        <v/>
      </c>
      <c r="O730" t="str">
        <f>IF(F730="","",IF(F730=0,100,MIN(100,100*Parametros!$B$3/F730)))</f>
        <v/>
      </c>
      <c r="P730" t="str">
        <f ca="1">IFERROR(((AVERAGEIFS(Observacion_Directa!$E$2:$E$1000,Observacion_Directa!$A$2:$A$1000,$A730,Observacion_Directa!$B$2:$B$1000,"&gt;="&amp;DATEVALUE($B730&amp;"-01"),Observacion_Directa!$B$2:$B$1000,"&lt;="&amp;EOMONTH(DATEVALUE($B730&amp;"-01"),0)))-1)/4*100,"")</f>
        <v/>
      </c>
      <c r="Q730" t="str">
        <f>IF(H730="","",MIN(100,100*H730/Parametros!$B$4))</f>
        <v/>
      </c>
      <c r="R730" t="str">
        <f>IF(I730="","",IF(I730=0,100,MIN(100,100*Parametros!$B$5/I730)))</f>
        <v/>
      </c>
      <c r="S730" t="str">
        <f>IF(J730="","",IF(J730=0,100,MIN(100,100*Parametros!$B$6/J730)))</f>
        <v/>
      </c>
      <c r="T730" t="str">
        <f>IF(L730="","",MIN(100,100*L730/Parametros!$B$7))</f>
        <v/>
      </c>
      <c r="U730" t="str">
        <f>IF(K730="","",MIN(100,100*K730/Parametros!$B$8))</f>
        <v/>
      </c>
      <c r="V730" t="str">
        <f ca="1">IFERROR(((AVERAGEIFS(Documentacion!$C$2:$C$1000,Documentacion!$A$2:$A$1000,$A730,Documentacion!$B$2:$B$1000,"&gt;="&amp;DATEVALUE($B730&amp;"-01"),Documentacion!$B$2:$B$1000,"&lt;="&amp;EOMONTH(DATEVALUE($B730&amp;"-01"),0)))-1)/4*100,"")</f>
        <v/>
      </c>
      <c r="W730" t="str">
        <f ca="1">IFERROR(((AVERAGEIFS(Feedback_360!$D$2:$D$1000,Feedback_360!$A$2:$A$1000,$A730,Feedback_360!$B$2:$B$1000,"&gt;="&amp;DATEVALUE($B730&amp;"-01"),Feedback_360!$B$2:$B$1000,"&lt;="&amp;EOMONTH(DATEVALUE($B730&amp;"-01"),0)))-1)/4*100,"")</f>
        <v/>
      </c>
      <c r="X730" t="str">
        <f ca="1">IFERROR(((AVERAGEIFS(Observacion_Directa!$D$2:$D$1000,Observacion_Directa!$A$2:$A$1000,$A730,Observacion_Directa!$B$2:$B$1000,"&gt;="&amp;DATEVALUE($B730&amp;"-01"),Observacion_Directa!$B$2:$B$1000,"&lt;="&amp;EOMONTH(DATEVALUE($B730&amp;"-01"),0)))-1)/4*100,"")</f>
        <v/>
      </c>
      <c r="Y730" t="e">
        <f t="shared" ca="1" si="23"/>
        <v>#DIV/0!</v>
      </c>
    </row>
    <row r="731" spans="12:25" x14ac:dyDescent="0.2">
      <c r="L731" t="str">
        <f t="shared" si="22"/>
        <v/>
      </c>
      <c r="M731" t="str">
        <f>IFERROR(AVERAGEIFS(Prod_5dias!$H$2:$H$1000,Prod_5dias!$A$2:$A$1000,$A731,Prod_5dias!$B$2:$B$1000,$B731),"")</f>
        <v/>
      </c>
      <c r="N731" t="str">
        <f>IF(M731="","",MIN(100,100*M731/Parametros!$B$7))</f>
        <v/>
      </c>
      <c r="O731" t="str">
        <f>IF(F731="","",IF(F731=0,100,MIN(100,100*Parametros!$B$3/F731)))</f>
        <v/>
      </c>
      <c r="P731" t="str">
        <f ca="1">IFERROR(((AVERAGEIFS(Observacion_Directa!$E$2:$E$1000,Observacion_Directa!$A$2:$A$1000,$A731,Observacion_Directa!$B$2:$B$1000,"&gt;="&amp;DATEVALUE($B731&amp;"-01"),Observacion_Directa!$B$2:$B$1000,"&lt;="&amp;EOMONTH(DATEVALUE($B731&amp;"-01"),0)))-1)/4*100,"")</f>
        <v/>
      </c>
      <c r="Q731" t="str">
        <f>IF(H731="","",MIN(100,100*H731/Parametros!$B$4))</f>
        <v/>
      </c>
      <c r="R731" t="str">
        <f>IF(I731="","",IF(I731=0,100,MIN(100,100*Parametros!$B$5/I731)))</f>
        <v/>
      </c>
      <c r="S731" t="str">
        <f>IF(J731="","",IF(J731=0,100,MIN(100,100*Parametros!$B$6/J731)))</f>
        <v/>
      </c>
      <c r="T731" t="str">
        <f>IF(L731="","",MIN(100,100*L731/Parametros!$B$7))</f>
        <v/>
      </c>
      <c r="U731" t="str">
        <f>IF(K731="","",MIN(100,100*K731/Parametros!$B$8))</f>
        <v/>
      </c>
      <c r="V731" t="str">
        <f ca="1">IFERROR(((AVERAGEIFS(Documentacion!$C$2:$C$1000,Documentacion!$A$2:$A$1000,$A731,Documentacion!$B$2:$B$1000,"&gt;="&amp;DATEVALUE($B731&amp;"-01"),Documentacion!$B$2:$B$1000,"&lt;="&amp;EOMONTH(DATEVALUE($B731&amp;"-01"),0)))-1)/4*100,"")</f>
        <v/>
      </c>
      <c r="W731" t="str">
        <f ca="1">IFERROR(((AVERAGEIFS(Feedback_360!$D$2:$D$1000,Feedback_360!$A$2:$A$1000,$A731,Feedback_360!$B$2:$B$1000,"&gt;="&amp;DATEVALUE($B731&amp;"-01"),Feedback_360!$B$2:$B$1000,"&lt;="&amp;EOMONTH(DATEVALUE($B731&amp;"-01"),0)))-1)/4*100,"")</f>
        <v/>
      </c>
      <c r="X731" t="str">
        <f ca="1">IFERROR(((AVERAGEIFS(Observacion_Directa!$D$2:$D$1000,Observacion_Directa!$A$2:$A$1000,$A731,Observacion_Directa!$B$2:$B$1000,"&gt;="&amp;DATEVALUE($B731&amp;"-01"),Observacion_Directa!$B$2:$B$1000,"&lt;="&amp;EOMONTH(DATEVALUE($B731&amp;"-01"),0)))-1)/4*100,"")</f>
        <v/>
      </c>
      <c r="Y731" t="e">
        <f t="shared" ca="1" si="23"/>
        <v>#DIV/0!</v>
      </c>
    </row>
    <row r="732" spans="12:25" x14ac:dyDescent="0.2">
      <c r="L732" t="str">
        <f t="shared" si="22"/>
        <v/>
      </c>
      <c r="M732" t="str">
        <f>IFERROR(AVERAGEIFS(Prod_5dias!$H$2:$H$1000,Prod_5dias!$A$2:$A$1000,$A732,Prod_5dias!$B$2:$B$1000,$B732),"")</f>
        <v/>
      </c>
      <c r="N732" t="str">
        <f>IF(M732="","",MIN(100,100*M732/Parametros!$B$7))</f>
        <v/>
      </c>
      <c r="O732" t="str">
        <f>IF(F732="","",IF(F732=0,100,MIN(100,100*Parametros!$B$3/F732)))</f>
        <v/>
      </c>
      <c r="P732" t="str">
        <f ca="1">IFERROR(((AVERAGEIFS(Observacion_Directa!$E$2:$E$1000,Observacion_Directa!$A$2:$A$1000,$A732,Observacion_Directa!$B$2:$B$1000,"&gt;="&amp;DATEVALUE($B732&amp;"-01"),Observacion_Directa!$B$2:$B$1000,"&lt;="&amp;EOMONTH(DATEVALUE($B732&amp;"-01"),0)))-1)/4*100,"")</f>
        <v/>
      </c>
      <c r="Q732" t="str">
        <f>IF(H732="","",MIN(100,100*H732/Parametros!$B$4))</f>
        <v/>
      </c>
      <c r="R732" t="str">
        <f>IF(I732="","",IF(I732=0,100,MIN(100,100*Parametros!$B$5/I732)))</f>
        <v/>
      </c>
      <c r="S732" t="str">
        <f>IF(J732="","",IF(J732=0,100,MIN(100,100*Parametros!$B$6/J732)))</f>
        <v/>
      </c>
      <c r="T732" t="str">
        <f>IF(L732="","",MIN(100,100*L732/Parametros!$B$7))</f>
        <v/>
      </c>
      <c r="U732" t="str">
        <f>IF(K732="","",MIN(100,100*K732/Parametros!$B$8))</f>
        <v/>
      </c>
      <c r="V732" t="str">
        <f ca="1">IFERROR(((AVERAGEIFS(Documentacion!$C$2:$C$1000,Documentacion!$A$2:$A$1000,$A732,Documentacion!$B$2:$B$1000,"&gt;="&amp;DATEVALUE($B732&amp;"-01"),Documentacion!$B$2:$B$1000,"&lt;="&amp;EOMONTH(DATEVALUE($B732&amp;"-01"),0)))-1)/4*100,"")</f>
        <v/>
      </c>
      <c r="W732" t="str">
        <f ca="1">IFERROR(((AVERAGEIFS(Feedback_360!$D$2:$D$1000,Feedback_360!$A$2:$A$1000,$A732,Feedback_360!$B$2:$B$1000,"&gt;="&amp;DATEVALUE($B732&amp;"-01"),Feedback_360!$B$2:$B$1000,"&lt;="&amp;EOMONTH(DATEVALUE($B732&amp;"-01"),0)))-1)/4*100,"")</f>
        <v/>
      </c>
      <c r="X732" t="str">
        <f ca="1">IFERROR(((AVERAGEIFS(Observacion_Directa!$D$2:$D$1000,Observacion_Directa!$A$2:$A$1000,$A732,Observacion_Directa!$B$2:$B$1000,"&gt;="&amp;DATEVALUE($B732&amp;"-01"),Observacion_Directa!$B$2:$B$1000,"&lt;="&amp;EOMONTH(DATEVALUE($B732&amp;"-01"),0)))-1)/4*100,"")</f>
        <v/>
      </c>
      <c r="Y732" t="e">
        <f t="shared" ca="1" si="23"/>
        <v>#DIV/0!</v>
      </c>
    </row>
    <row r="733" spans="12:25" x14ac:dyDescent="0.2">
      <c r="L733" t="str">
        <f t="shared" si="22"/>
        <v/>
      </c>
      <c r="M733" t="str">
        <f>IFERROR(AVERAGEIFS(Prod_5dias!$H$2:$H$1000,Prod_5dias!$A$2:$A$1000,$A733,Prod_5dias!$B$2:$B$1000,$B733),"")</f>
        <v/>
      </c>
      <c r="N733" t="str">
        <f>IF(M733="","",MIN(100,100*M733/Parametros!$B$7))</f>
        <v/>
      </c>
      <c r="O733" t="str">
        <f>IF(F733="","",IF(F733=0,100,MIN(100,100*Parametros!$B$3/F733)))</f>
        <v/>
      </c>
      <c r="P733" t="str">
        <f ca="1">IFERROR(((AVERAGEIFS(Observacion_Directa!$E$2:$E$1000,Observacion_Directa!$A$2:$A$1000,$A733,Observacion_Directa!$B$2:$B$1000,"&gt;="&amp;DATEVALUE($B733&amp;"-01"),Observacion_Directa!$B$2:$B$1000,"&lt;="&amp;EOMONTH(DATEVALUE($B733&amp;"-01"),0)))-1)/4*100,"")</f>
        <v/>
      </c>
      <c r="Q733" t="str">
        <f>IF(H733="","",MIN(100,100*H733/Parametros!$B$4))</f>
        <v/>
      </c>
      <c r="R733" t="str">
        <f>IF(I733="","",IF(I733=0,100,MIN(100,100*Parametros!$B$5/I733)))</f>
        <v/>
      </c>
      <c r="S733" t="str">
        <f>IF(J733="","",IF(J733=0,100,MIN(100,100*Parametros!$B$6/J733)))</f>
        <v/>
      </c>
      <c r="T733" t="str">
        <f>IF(L733="","",MIN(100,100*L733/Parametros!$B$7))</f>
        <v/>
      </c>
      <c r="U733" t="str">
        <f>IF(K733="","",MIN(100,100*K733/Parametros!$B$8))</f>
        <v/>
      </c>
      <c r="V733" t="str">
        <f ca="1">IFERROR(((AVERAGEIFS(Documentacion!$C$2:$C$1000,Documentacion!$A$2:$A$1000,$A733,Documentacion!$B$2:$B$1000,"&gt;="&amp;DATEVALUE($B733&amp;"-01"),Documentacion!$B$2:$B$1000,"&lt;="&amp;EOMONTH(DATEVALUE($B733&amp;"-01"),0)))-1)/4*100,"")</f>
        <v/>
      </c>
      <c r="W733" t="str">
        <f ca="1">IFERROR(((AVERAGEIFS(Feedback_360!$D$2:$D$1000,Feedback_360!$A$2:$A$1000,$A733,Feedback_360!$B$2:$B$1000,"&gt;="&amp;DATEVALUE($B733&amp;"-01"),Feedback_360!$B$2:$B$1000,"&lt;="&amp;EOMONTH(DATEVALUE($B733&amp;"-01"),0)))-1)/4*100,"")</f>
        <v/>
      </c>
      <c r="X733" t="str">
        <f ca="1">IFERROR(((AVERAGEIFS(Observacion_Directa!$D$2:$D$1000,Observacion_Directa!$A$2:$A$1000,$A733,Observacion_Directa!$B$2:$B$1000,"&gt;="&amp;DATEVALUE($B733&amp;"-01"),Observacion_Directa!$B$2:$B$1000,"&lt;="&amp;EOMONTH(DATEVALUE($B733&amp;"-01"),0)))-1)/4*100,"")</f>
        <v/>
      </c>
      <c r="Y733" t="e">
        <f t="shared" ca="1" si="23"/>
        <v>#DIV/0!</v>
      </c>
    </row>
    <row r="734" spans="12:25" x14ac:dyDescent="0.2">
      <c r="L734" t="str">
        <f t="shared" si="22"/>
        <v/>
      </c>
      <c r="M734" t="str">
        <f>IFERROR(AVERAGEIFS(Prod_5dias!$H$2:$H$1000,Prod_5dias!$A$2:$A$1000,$A734,Prod_5dias!$B$2:$B$1000,$B734),"")</f>
        <v/>
      </c>
      <c r="N734" t="str">
        <f>IF(M734="","",MIN(100,100*M734/Parametros!$B$7))</f>
        <v/>
      </c>
      <c r="O734" t="str">
        <f>IF(F734="","",IF(F734=0,100,MIN(100,100*Parametros!$B$3/F734)))</f>
        <v/>
      </c>
      <c r="P734" t="str">
        <f ca="1">IFERROR(((AVERAGEIFS(Observacion_Directa!$E$2:$E$1000,Observacion_Directa!$A$2:$A$1000,$A734,Observacion_Directa!$B$2:$B$1000,"&gt;="&amp;DATEVALUE($B734&amp;"-01"),Observacion_Directa!$B$2:$B$1000,"&lt;="&amp;EOMONTH(DATEVALUE($B734&amp;"-01"),0)))-1)/4*100,"")</f>
        <v/>
      </c>
      <c r="Q734" t="str">
        <f>IF(H734="","",MIN(100,100*H734/Parametros!$B$4))</f>
        <v/>
      </c>
      <c r="R734" t="str">
        <f>IF(I734="","",IF(I734=0,100,MIN(100,100*Parametros!$B$5/I734)))</f>
        <v/>
      </c>
      <c r="S734" t="str">
        <f>IF(J734="","",IF(J734=0,100,MIN(100,100*Parametros!$B$6/J734)))</f>
        <v/>
      </c>
      <c r="T734" t="str">
        <f>IF(L734="","",MIN(100,100*L734/Parametros!$B$7))</f>
        <v/>
      </c>
      <c r="U734" t="str">
        <f>IF(K734="","",MIN(100,100*K734/Parametros!$B$8))</f>
        <v/>
      </c>
      <c r="V734" t="str">
        <f ca="1">IFERROR(((AVERAGEIFS(Documentacion!$C$2:$C$1000,Documentacion!$A$2:$A$1000,$A734,Documentacion!$B$2:$B$1000,"&gt;="&amp;DATEVALUE($B734&amp;"-01"),Documentacion!$B$2:$B$1000,"&lt;="&amp;EOMONTH(DATEVALUE($B734&amp;"-01"),0)))-1)/4*100,"")</f>
        <v/>
      </c>
      <c r="W734" t="str">
        <f ca="1">IFERROR(((AVERAGEIFS(Feedback_360!$D$2:$D$1000,Feedback_360!$A$2:$A$1000,$A734,Feedback_360!$B$2:$B$1000,"&gt;="&amp;DATEVALUE($B734&amp;"-01"),Feedback_360!$B$2:$B$1000,"&lt;="&amp;EOMONTH(DATEVALUE($B734&amp;"-01"),0)))-1)/4*100,"")</f>
        <v/>
      </c>
      <c r="X734" t="str">
        <f ca="1">IFERROR(((AVERAGEIFS(Observacion_Directa!$D$2:$D$1000,Observacion_Directa!$A$2:$A$1000,$A734,Observacion_Directa!$B$2:$B$1000,"&gt;="&amp;DATEVALUE($B734&amp;"-01"),Observacion_Directa!$B$2:$B$1000,"&lt;="&amp;EOMONTH(DATEVALUE($B734&amp;"-01"),0)))-1)/4*100,"")</f>
        <v/>
      </c>
      <c r="Y734" t="e">
        <f t="shared" ca="1" si="23"/>
        <v>#DIV/0!</v>
      </c>
    </row>
    <row r="735" spans="12:25" x14ac:dyDescent="0.2">
      <c r="L735" t="str">
        <f t="shared" si="22"/>
        <v/>
      </c>
      <c r="M735" t="str">
        <f>IFERROR(AVERAGEIFS(Prod_5dias!$H$2:$H$1000,Prod_5dias!$A$2:$A$1000,$A735,Prod_5dias!$B$2:$B$1000,$B735),"")</f>
        <v/>
      </c>
      <c r="N735" t="str">
        <f>IF(M735="","",MIN(100,100*M735/Parametros!$B$7))</f>
        <v/>
      </c>
      <c r="O735" t="str">
        <f>IF(F735="","",IF(F735=0,100,MIN(100,100*Parametros!$B$3/F735)))</f>
        <v/>
      </c>
      <c r="P735" t="str">
        <f ca="1">IFERROR(((AVERAGEIFS(Observacion_Directa!$E$2:$E$1000,Observacion_Directa!$A$2:$A$1000,$A735,Observacion_Directa!$B$2:$B$1000,"&gt;="&amp;DATEVALUE($B735&amp;"-01"),Observacion_Directa!$B$2:$B$1000,"&lt;="&amp;EOMONTH(DATEVALUE($B735&amp;"-01"),0)))-1)/4*100,"")</f>
        <v/>
      </c>
      <c r="Q735" t="str">
        <f>IF(H735="","",MIN(100,100*H735/Parametros!$B$4))</f>
        <v/>
      </c>
      <c r="R735" t="str">
        <f>IF(I735="","",IF(I735=0,100,MIN(100,100*Parametros!$B$5/I735)))</f>
        <v/>
      </c>
      <c r="S735" t="str">
        <f>IF(J735="","",IF(J735=0,100,MIN(100,100*Parametros!$B$6/J735)))</f>
        <v/>
      </c>
      <c r="T735" t="str">
        <f>IF(L735="","",MIN(100,100*L735/Parametros!$B$7))</f>
        <v/>
      </c>
      <c r="U735" t="str">
        <f>IF(K735="","",MIN(100,100*K735/Parametros!$B$8))</f>
        <v/>
      </c>
      <c r="V735" t="str">
        <f ca="1">IFERROR(((AVERAGEIFS(Documentacion!$C$2:$C$1000,Documentacion!$A$2:$A$1000,$A735,Documentacion!$B$2:$B$1000,"&gt;="&amp;DATEVALUE($B735&amp;"-01"),Documentacion!$B$2:$B$1000,"&lt;="&amp;EOMONTH(DATEVALUE($B735&amp;"-01"),0)))-1)/4*100,"")</f>
        <v/>
      </c>
      <c r="W735" t="str">
        <f ca="1">IFERROR(((AVERAGEIFS(Feedback_360!$D$2:$D$1000,Feedback_360!$A$2:$A$1000,$A735,Feedback_360!$B$2:$B$1000,"&gt;="&amp;DATEVALUE($B735&amp;"-01"),Feedback_360!$B$2:$B$1000,"&lt;="&amp;EOMONTH(DATEVALUE($B735&amp;"-01"),0)))-1)/4*100,"")</f>
        <v/>
      </c>
      <c r="X735" t="str">
        <f ca="1">IFERROR(((AVERAGEIFS(Observacion_Directa!$D$2:$D$1000,Observacion_Directa!$A$2:$A$1000,$A735,Observacion_Directa!$B$2:$B$1000,"&gt;="&amp;DATEVALUE($B735&amp;"-01"),Observacion_Directa!$B$2:$B$1000,"&lt;="&amp;EOMONTH(DATEVALUE($B735&amp;"-01"),0)))-1)/4*100,"")</f>
        <v/>
      </c>
      <c r="Y735" t="e">
        <f t="shared" ca="1" si="23"/>
        <v>#DIV/0!</v>
      </c>
    </row>
    <row r="736" spans="12:25" x14ac:dyDescent="0.2">
      <c r="L736" t="str">
        <f t="shared" si="22"/>
        <v/>
      </c>
      <c r="M736" t="str">
        <f>IFERROR(AVERAGEIFS(Prod_5dias!$H$2:$H$1000,Prod_5dias!$A$2:$A$1000,$A736,Prod_5dias!$B$2:$B$1000,$B736),"")</f>
        <v/>
      </c>
      <c r="N736" t="str">
        <f>IF(M736="","",MIN(100,100*M736/Parametros!$B$7))</f>
        <v/>
      </c>
      <c r="O736" t="str">
        <f>IF(F736="","",IF(F736=0,100,MIN(100,100*Parametros!$B$3/F736)))</f>
        <v/>
      </c>
      <c r="P736" t="str">
        <f ca="1">IFERROR(((AVERAGEIFS(Observacion_Directa!$E$2:$E$1000,Observacion_Directa!$A$2:$A$1000,$A736,Observacion_Directa!$B$2:$B$1000,"&gt;="&amp;DATEVALUE($B736&amp;"-01"),Observacion_Directa!$B$2:$B$1000,"&lt;="&amp;EOMONTH(DATEVALUE($B736&amp;"-01"),0)))-1)/4*100,"")</f>
        <v/>
      </c>
      <c r="Q736" t="str">
        <f>IF(H736="","",MIN(100,100*H736/Parametros!$B$4))</f>
        <v/>
      </c>
      <c r="R736" t="str">
        <f>IF(I736="","",IF(I736=0,100,MIN(100,100*Parametros!$B$5/I736)))</f>
        <v/>
      </c>
      <c r="S736" t="str">
        <f>IF(J736="","",IF(J736=0,100,MIN(100,100*Parametros!$B$6/J736)))</f>
        <v/>
      </c>
      <c r="T736" t="str">
        <f>IF(L736="","",MIN(100,100*L736/Parametros!$B$7))</f>
        <v/>
      </c>
      <c r="U736" t="str">
        <f>IF(K736="","",MIN(100,100*K736/Parametros!$B$8))</f>
        <v/>
      </c>
      <c r="V736" t="str">
        <f ca="1">IFERROR(((AVERAGEIFS(Documentacion!$C$2:$C$1000,Documentacion!$A$2:$A$1000,$A736,Documentacion!$B$2:$B$1000,"&gt;="&amp;DATEVALUE($B736&amp;"-01"),Documentacion!$B$2:$B$1000,"&lt;="&amp;EOMONTH(DATEVALUE($B736&amp;"-01"),0)))-1)/4*100,"")</f>
        <v/>
      </c>
      <c r="W736" t="str">
        <f ca="1">IFERROR(((AVERAGEIFS(Feedback_360!$D$2:$D$1000,Feedback_360!$A$2:$A$1000,$A736,Feedback_360!$B$2:$B$1000,"&gt;="&amp;DATEVALUE($B736&amp;"-01"),Feedback_360!$B$2:$B$1000,"&lt;="&amp;EOMONTH(DATEVALUE($B736&amp;"-01"),0)))-1)/4*100,"")</f>
        <v/>
      </c>
      <c r="X736" t="str">
        <f ca="1">IFERROR(((AVERAGEIFS(Observacion_Directa!$D$2:$D$1000,Observacion_Directa!$A$2:$A$1000,$A736,Observacion_Directa!$B$2:$B$1000,"&gt;="&amp;DATEVALUE($B736&amp;"-01"),Observacion_Directa!$B$2:$B$1000,"&lt;="&amp;EOMONTH(DATEVALUE($B736&amp;"-01"),0)))-1)/4*100,"")</f>
        <v/>
      </c>
      <c r="Y736" t="e">
        <f t="shared" ca="1" si="23"/>
        <v>#DIV/0!</v>
      </c>
    </row>
    <row r="737" spans="12:25" x14ac:dyDescent="0.2">
      <c r="L737" t="str">
        <f t="shared" si="22"/>
        <v/>
      </c>
      <c r="M737" t="str">
        <f>IFERROR(AVERAGEIFS(Prod_5dias!$H$2:$H$1000,Prod_5dias!$A$2:$A$1000,$A737,Prod_5dias!$B$2:$B$1000,$B737),"")</f>
        <v/>
      </c>
      <c r="N737" t="str">
        <f>IF(M737="","",MIN(100,100*M737/Parametros!$B$7))</f>
        <v/>
      </c>
      <c r="O737" t="str">
        <f>IF(F737="","",IF(F737=0,100,MIN(100,100*Parametros!$B$3/F737)))</f>
        <v/>
      </c>
      <c r="P737" t="str">
        <f ca="1">IFERROR(((AVERAGEIFS(Observacion_Directa!$E$2:$E$1000,Observacion_Directa!$A$2:$A$1000,$A737,Observacion_Directa!$B$2:$B$1000,"&gt;="&amp;DATEVALUE($B737&amp;"-01"),Observacion_Directa!$B$2:$B$1000,"&lt;="&amp;EOMONTH(DATEVALUE($B737&amp;"-01"),0)))-1)/4*100,"")</f>
        <v/>
      </c>
      <c r="Q737" t="str">
        <f>IF(H737="","",MIN(100,100*H737/Parametros!$B$4))</f>
        <v/>
      </c>
      <c r="R737" t="str">
        <f>IF(I737="","",IF(I737=0,100,MIN(100,100*Parametros!$B$5/I737)))</f>
        <v/>
      </c>
      <c r="S737" t="str">
        <f>IF(J737="","",IF(J737=0,100,MIN(100,100*Parametros!$B$6/J737)))</f>
        <v/>
      </c>
      <c r="T737" t="str">
        <f>IF(L737="","",MIN(100,100*L737/Parametros!$B$7))</f>
        <v/>
      </c>
      <c r="U737" t="str">
        <f>IF(K737="","",MIN(100,100*K737/Parametros!$B$8))</f>
        <v/>
      </c>
      <c r="V737" t="str">
        <f ca="1">IFERROR(((AVERAGEIFS(Documentacion!$C$2:$C$1000,Documentacion!$A$2:$A$1000,$A737,Documentacion!$B$2:$B$1000,"&gt;="&amp;DATEVALUE($B737&amp;"-01"),Documentacion!$B$2:$B$1000,"&lt;="&amp;EOMONTH(DATEVALUE($B737&amp;"-01"),0)))-1)/4*100,"")</f>
        <v/>
      </c>
      <c r="W737" t="str">
        <f ca="1">IFERROR(((AVERAGEIFS(Feedback_360!$D$2:$D$1000,Feedback_360!$A$2:$A$1000,$A737,Feedback_360!$B$2:$B$1000,"&gt;="&amp;DATEVALUE($B737&amp;"-01"),Feedback_360!$B$2:$B$1000,"&lt;="&amp;EOMONTH(DATEVALUE($B737&amp;"-01"),0)))-1)/4*100,"")</f>
        <v/>
      </c>
      <c r="X737" t="str">
        <f ca="1">IFERROR(((AVERAGEIFS(Observacion_Directa!$D$2:$D$1000,Observacion_Directa!$A$2:$A$1000,$A737,Observacion_Directa!$B$2:$B$1000,"&gt;="&amp;DATEVALUE($B737&amp;"-01"),Observacion_Directa!$B$2:$B$1000,"&lt;="&amp;EOMONTH(DATEVALUE($B737&amp;"-01"),0)))-1)/4*100,"")</f>
        <v/>
      </c>
      <c r="Y737" t="e">
        <f t="shared" ca="1" si="23"/>
        <v>#DIV/0!</v>
      </c>
    </row>
    <row r="738" spans="12:25" x14ac:dyDescent="0.2">
      <c r="L738" t="str">
        <f t="shared" si="22"/>
        <v/>
      </c>
      <c r="M738" t="str">
        <f>IFERROR(AVERAGEIFS(Prod_5dias!$H$2:$H$1000,Prod_5dias!$A$2:$A$1000,$A738,Prod_5dias!$B$2:$B$1000,$B738),"")</f>
        <v/>
      </c>
      <c r="N738" t="str">
        <f>IF(M738="","",MIN(100,100*M738/Parametros!$B$7))</f>
        <v/>
      </c>
      <c r="O738" t="str">
        <f>IF(F738="","",IF(F738=0,100,MIN(100,100*Parametros!$B$3/F738)))</f>
        <v/>
      </c>
      <c r="P738" t="str">
        <f ca="1">IFERROR(((AVERAGEIFS(Observacion_Directa!$E$2:$E$1000,Observacion_Directa!$A$2:$A$1000,$A738,Observacion_Directa!$B$2:$B$1000,"&gt;="&amp;DATEVALUE($B738&amp;"-01"),Observacion_Directa!$B$2:$B$1000,"&lt;="&amp;EOMONTH(DATEVALUE($B738&amp;"-01"),0)))-1)/4*100,"")</f>
        <v/>
      </c>
      <c r="Q738" t="str">
        <f>IF(H738="","",MIN(100,100*H738/Parametros!$B$4))</f>
        <v/>
      </c>
      <c r="R738" t="str">
        <f>IF(I738="","",IF(I738=0,100,MIN(100,100*Parametros!$B$5/I738)))</f>
        <v/>
      </c>
      <c r="S738" t="str">
        <f>IF(J738="","",IF(J738=0,100,MIN(100,100*Parametros!$B$6/J738)))</f>
        <v/>
      </c>
      <c r="T738" t="str">
        <f>IF(L738="","",MIN(100,100*L738/Parametros!$B$7))</f>
        <v/>
      </c>
      <c r="U738" t="str">
        <f>IF(K738="","",MIN(100,100*K738/Parametros!$B$8))</f>
        <v/>
      </c>
      <c r="V738" t="str">
        <f ca="1">IFERROR(((AVERAGEIFS(Documentacion!$C$2:$C$1000,Documentacion!$A$2:$A$1000,$A738,Documentacion!$B$2:$B$1000,"&gt;="&amp;DATEVALUE($B738&amp;"-01"),Documentacion!$B$2:$B$1000,"&lt;="&amp;EOMONTH(DATEVALUE($B738&amp;"-01"),0)))-1)/4*100,"")</f>
        <v/>
      </c>
      <c r="W738" t="str">
        <f ca="1">IFERROR(((AVERAGEIFS(Feedback_360!$D$2:$D$1000,Feedback_360!$A$2:$A$1000,$A738,Feedback_360!$B$2:$B$1000,"&gt;="&amp;DATEVALUE($B738&amp;"-01"),Feedback_360!$B$2:$B$1000,"&lt;="&amp;EOMONTH(DATEVALUE($B738&amp;"-01"),0)))-1)/4*100,"")</f>
        <v/>
      </c>
      <c r="X738" t="str">
        <f ca="1">IFERROR(((AVERAGEIFS(Observacion_Directa!$D$2:$D$1000,Observacion_Directa!$A$2:$A$1000,$A738,Observacion_Directa!$B$2:$B$1000,"&gt;="&amp;DATEVALUE($B738&amp;"-01"),Observacion_Directa!$B$2:$B$1000,"&lt;="&amp;EOMONTH(DATEVALUE($B738&amp;"-01"),0)))-1)/4*100,"")</f>
        <v/>
      </c>
      <c r="Y738" t="e">
        <f t="shared" ca="1" si="23"/>
        <v>#DIV/0!</v>
      </c>
    </row>
    <row r="739" spans="12:25" x14ac:dyDescent="0.2">
      <c r="L739" t="str">
        <f t="shared" si="22"/>
        <v/>
      </c>
      <c r="M739" t="str">
        <f>IFERROR(AVERAGEIFS(Prod_5dias!$H$2:$H$1000,Prod_5dias!$A$2:$A$1000,$A739,Prod_5dias!$B$2:$B$1000,$B739),"")</f>
        <v/>
      </c>
      <c r="N739" t="str">
        <f>IF(M739="","",MIN(100,100*M739/Parametros!$B$7))</f>
        <v/>
      </c>
      <c r="O739" t="str">
        <f>IF(F739="","",IF(F739=0,100,MIN(100,100*Parametros!$B$3/F739)))</f>
        <v/>
      </c>
      <c r="P739" t="str">
        <f ca="1">IFERROR(((AVERAGEIFS(Observacion_Directa!$E$2:$E$1000,Observacion_Directa!$A$2:$A$1000,$A739,Observacion_Directa!$B$2:$B$1000,"&gt;="&amp;DATEVALUE($B739&amp;"-01"),Observacion_Directa!$B$2:$B$1000,"&lt;="&amp;EOMONTH(DATEVALUE($B739&amp;"-01"),0)))-1)/4*100,"")</f>
        <v/>
      </c>
      <c r="Q739" t="str">
        <f>IF(H739="","",MIN(100,100*H739/Parametros!$B$4))</f>
        <v/>
      </c>
      <c r="R739" t="str">
        <f>IF(I739="","",IF(I739=0,100,MIN(100,100*Parametros!$B$5/I739)))</f>
        <v/>
      </c>
      <c r="S739" t="str">
        <f>IF(J739="","",IF(J739=0,100,MIN(100,100*Parametros!$B$6/J739)))</f>
        <v/>
      </c>
      <c r="T739" t="str">
        <f>IF(L739="","",MIN(100,100*L739/Parametros!$B$7))</f>
        <v/>
      </c>
      <c r="U739" t="str">
        <f>IF(K739="","",MIN(100,100*K739/Parametros!$B$8))</f>
        <v/>
      </c>
      <c r="V739" t="str">
        <f ca="1">IFERROR(((AVERAGEIFS(Documentacion!$C$2:$C$1000,Documentacion!$A$2:$A$1000,$A739,Documentacion!$B$2:$B$1000,"&gt;="&amp;DATEVALUE($B739&amp;"-01"),Documentacion!$B$2:$B$1000,"&lt;="&amp;EOMONTH(DATEVALUE($B739&amp;"-01"),0)))-1)/4*100,"")</f>
        <v/>
      </c>
      <c r="W739" t="str">
        <f ca="1">IFERROR(((AVERAGEIFS(Feedback_360!$D$2:$D$1000,Feedback_360!$A$2:$A$1000,$A739,Feedback_360!$B$2:$B$1000,"&gt;="&amp;DATEVALUE($B739&amp;"-01"),Feedback_360!$B$2:$B$1000,"&lt;="&amp;EOMONTH(DATEVALUE($B739&amp;"-01"),0)))-1)/4*100,"")</f>
        <v/>
      </c>
      <c r="X739" t="str">
        <f ca="1">IFERROR(((AVERAGEIFS(Observacion_Directa!$D$2:$D$1000,Observacion_Directa!$A$2:$A$1000,$A739,Observacion_Directa!$B$2:$B$1000,"&gt;="&amp;DATEVALUE($B739&amp;"-01"),Observacion_Directa!$B$2:$B$1000,"&lt;="&amp;EOMONTH(DATEVALUE($B739&amp;"-01"),0)))-1)/4*100,"")</f>
        <v/>
      </c>
      <c r="Y739" t="e">
        <f t="shared" ca="1" si="23"/>
        <v>#DIV/0!</v>
      </c>
    </row>
    <row r="740" spans="12:25" x14ac:dyDescent="0.2">
      <c r="L740" t="str">
        <f t="shared" si="22"/>
        <v/>
      </c>
      <c r="M740" t="str">
        <f>IFERROR(AVERAGEIFS(Prod_5dias!$H$2:$H$1000,Prod_5dias!$A$2:$A$1000,$A740,Prod_5dias!$B$2:$B$1000,$B740),"")</f>
        <v/>
      </c>
      <c r="N740" t="str">
        <f>IF(M740="","",MIN(100,100*M740/Parametros!$B$7))</f>
        <v/>
      </c>
      <c r="O740" t="str">
        <f>IF(F740="","",IF(F740=0,100,MIN(100,100*Parametros!$B$3/F740)))</f>
        <v/>
      </c>
      <c r="P740" t="str">
        <f ca="1">IFERROR(((AVERAGEIFS(Observacion_Directa!$E$2:$E$1000,Observacion_Directa!$A$2:$A$1000,$A740,Observacion_Directa!$B$2:$B$1000,"&gt;="&amp;DATEVALUE($B740&amp;"-01"),Observacion_Directa!$B$2:$B$1000,"&lt;="&amp;EOMONTH(DATEVALUE($B740&amp;"-01"),0)))-1)/4*100,"")</f>
        <v/>
      </c>
      <c r="Q740" t="str">
        <f>IF(H740="","",MIN(100,100*H740/Parametros!$B$4))</f>
        <v/>
      </c>
      <c r="R740" t="str">
        <f>IF(I740="","",IF(I740=0,100,MIN(100,100*Parametros!$B$5/I740)))</f>
        <v/>
      </c>
      <c r="S740" t="str">
        <f>IF(J740="","",IF(J740=0,100,MIN(100,100*Parametros!$B$6/J740)))</f>
        <v/>
      </c>
      <c r="T740" t="str">
        <f>IF(L740="","",MIN(100,100*L740/Parametros!$B$7))</f>
        <v/>
      </c>
      <c r="U740" t="str">
        <f>IF(K740="","",MIN(100,100*K740/Parametros!$B$8))</f>
        <v/>
      </c>
      <c r="V740" t="str">
        <f ca="1">IFERROR(((AVERAGEIFS(Documentacion!$C$2:$C$1000,Documentacion!$A$2:$A$1000,$A740,Documentacion!$B$2:$B$1000,"&gt;="&amp;DATEVALUE($B740&amp;"-01"),Documentacion!$B$2:$B$1000,"&lt;="&amp;EOMONTH(DATEVALUE($B740&amp;"-01"),0)))-1)/4*100,"")</f>
        <v/>
      </c>
      <c r="W740" t="str">
        <f ca="1">IFERROR(((AVERAGEIFS(Feedback_360!$D$2:$D$1000,Feedback_360!$A$2:$A$1000,$A740,Feedback_360!$B$2:$B$1000,"&gt;="&amp;DATEVALUE($B740&amp;"-01"),Feedback_360!$B$2:$B$1000,"&lt;="&amp;EOMONTH(DATEVALUE($B740&amp;"-01"),0)))-1)/4*100,"")</f>
        <v/>
      </c>
      <c r="X740" t="str">
        <f ca="1">IFERROR(((AVERAGEIFS(Observacion_Directa!$D$2:$D$1000,Observacion_Directa!$A$2:$A$1000,$A740,Observacion_Directa!$B$2:$B$1000,"&gt;="&amp;DATEVALUE($B740&amp;"-01"),Observacion_Directa!$B$2:$B$1000,"&lt;="&amp;EOMONTH(DATEVALUE($B740&amp;"-01"),0)))-1)/4*100,"")</f>
        <v/>
      </c>
      <c r="Y740" t="e">
        <f t="shared" ca="1" si="23"/>
        <v>#DIV/0!</v>
      </c>
    </row>
    <row r="741" spans="12:25" x14ac:dyDescent="0.2">
      <c r="L741" t="str">
        <f t="shared" si="22"/>
        <v/>
      </c>
      <c r="M741" t="str">
        <f>IFERROR(AVERAGEIFS(Prod_5dias!$H$2:$H$1000,Prod_5dias!$A$2:$A$1000,$A741,Prod_5dias!$B$2:$B$1000,$B741),"")</f>
        <v/>
      </c>
      <c r="N741" t="str">
        <f>IF(M741="","",MIN(100,100*M741/Parametros!$B$7))</f>
        <v/>
      </c>
      <c r="O741" t="str">
        <f>IF(F741="","",IF(F741=0,100,MIN(100,100*Parametros!$B$3/F741)))</f>
        <v/>
      </c>
      <c r="P741" t="str">
        <f ca="1">IFERROR(((AVERAGEIFS(Observacion_Directa!$E$2:$E$1000,Observacion_Directa!$A$2:$A$1000,$A741,Observacion_Directa!$B$2:$B$1000,"&gt;="&amp;DATEVALUE($B741&amp;"-01"),Observacion_Directa!$B$2:$B$1000,"&lt;="&amp;EOMONTH(DATEVALUE($B741&amp;"-01"),0)))-1)/4*100,"")</f>
        <v/>
      </c>
      <c r="Q741" t="str">
        <f>IF(H741="","",MIN(100,100*H741/Parametros!$B$4))</f>
        <v/>
      </c>
      <c r="R741" t="str">
        <f>IF(I741="","",IF(I741=0,100,MIN(100,100*Parametros!$B$5/I741)))</f>
        <v/>
      </c>
      <c r="S741" t="str">
        <f>IF(J741="","",IF(J741=0,100,MIN(100,100*Parametros!$B$6/J741)))</f>
        <v/>
      </c>
      <c r="T741" t="str">
        <f>IF(L741="","",MIN(100,100*L741/Parametros!$B$7))</f>
        <v/>
      </c>
      <c r="U741" t="str">
        <f>IF(K741="","",MIN(100,100*K741/Parametros!$B$8))</f>
        <v/>
      </c>
      <c r="V741" t="str">
        <f ca="1">IFERROR(((AVERAGEIFS(Documentacion!$C$2:$C$1000,Documentacion!$A$2:$A$1000,$A741,Documentacion!$B$2:$B$1000,"&gt;="&amp;DATEVALUE($B741&amp;"-01"),Documentacion!$B$2:$B$1000,"&lt;="&amp;EOMONTH(DATEVALUE($B741&amp;"-01"),0)))-1)/4*100,"")</f>
        <v/>
      </c>
      <c r="W741" t="str">
        <f ca="1">IFERROR(((AVERAGEIFS(Feedback_360!$D$2:$D$1000,Feedback_360!$A$2:$A$1000,$A741,Feedback_360!$B$2:$B$1000,"&gt;="&amp;DATEVALUE($B741&amp;"-01"),Feedback_360!$B$2:$B$1000,"&lt;="&amp;EOMONTH(DATEVALUE($B741&amp;"-01"),0)))-1)/4*100,"")</f>
        <v/>
      </c>
      <c r="X741" t="str">
        <f ca="1">IFERROR(((AVERAGEIFS(Observacion_Directa!$D$2:$D$1000,Observacion_Directa!$A$2:$A$1000,$A741,Observacion_Directa!$B$2:$B$1000,"&gt;="&amp;DATEVALUE($B741&amp;"-01"),Observacion_Directa!$B$2:$B$1000,"&lt;="&amp;EOMONTH(DATEVALUE($B741&amp;"-01"),0)))-1)/4*100,"")</f>
        <v/>
      </c>
      <c r="Y741" t="e">
        <f t="shared" ca="1" si="23"/>
        <v>#DIV/0!</v>
      </c>
    </row>
    <row r="742" spans="12:25" x14ac:dyDescent="0.2">
      <c r="L742" t="str">
        <f t="shared" si="22"/>
        <v/>
      </c>
      <c r="M742" t="str">
        <f>IFERROR(AVERAGEIFS(Prod_5dias!$H$2:$H$1000,Prod_5dias!$A$2:$A$1000,$A742,Prod_5dias!$B$2:$B$1000,$B742),"")</f>
        <v/>
      </c>
      <c r="N742" t="str">
        <f>IF(M742="","",MIN(100,100*M742/Parametros!$B$7))</f>
        <v/>
      </c>
      <c r="O742" t="str">
        <f>IF(F742="","",IF(F742=0,100,MIN(100,100*Parametros!$B$3/F742)))</f>
        <v/>
      </c>
      <c r="P742" t="str">
        <f ca="1">IFERROR(((AVERAGEIFS(Observacion_Directa!$E$2:$E$1000,Observacion_Directa!$A$2:$A$1000,$A742,Observacion_Directa!$B$2:$B$1000,"&gt;="&amp;DATEVALUE($B742&amp;"-01"),Observacion_Directa!$B$2:$B$1000,"&lt;="&amp;EOMONTH(DATEVALUE($B742&amp;"-01"),0)))-1)/4*100,"")</f>
        <v/>
      </c>
      <c r="Q742" t="str">
        <f>IF(H742="","",MIN(100,100*H742/Parametros!$B$4))</f>
        <v/>
      </c>
      <c r="R742" t="str">
        <f>IF(I742="","",IF(I742=0,100,MIN(100,100*Parametros!$B$5/I742)))</f>
        <v/>
      </c>
      <c r="S742" t="str">
        <f>IF(J742="","",IF(J742=0,100,MIN(100,100*Parametros!$B$6/J742)))</f>
        <v/>
      </c>
      <c r="T742" t="str">
        <f>IF(L742="","",MIN(100,100*L742/Parametros!$B$7))</f>
        <v/>
      </c>
      <c r="U742" t="str">
        <f>IF(K742="","",MIN(100,100*K742/Parametros!$B$8))</f>
        <v/>
      </c>
      <c r="V742" t="str">
        <f ca="1">IFERROR(((AVERAGEIFS(Documentacion!$C$2:$C$1000,Documentacion!$A$2:$A$1000,$A742,Documentacion!$B$2:$B$1000,"&gt;="&amp;DATEVALUE($B742&amp;"-01"),Documentacion!$B$2:$B$1000,"&lt;="&amp;EOMONTH(DATEVALUE($B742&amp;"-01"),0)))-1)/4*100,"")</f>
        <v/>
      </c>
      <c r="W742" t="str">
        <f ca="1">IFERROR(((AVERAGEIFS(Feedback_360!$D$2:$D$1000,Feedback_360!$A$2:$A$1000,$A742,Feedback_360!$B$2:$B$1000,"&gt;="&amp;DATEVALUE($B742&amp;"-01"),Feedback_360!$B$2:$B$1000,"&lt;="&amp;EOMONTH(DATEVALUE($B742&amp;"-01"),0)))-1)/4*100,"")</f>
        <v/>
      </c>
      <c r="X742" t="str">
        <f ca="1">IFERROR(((AVERAGEIFS(Observacion_Directa!$D$2:$D$1000,Observacion_Directa!$A$2:$A$1000,$A742,Observacion_Directa!$B$2:$B$1000,"&gt;="&amp;DATEVALUE($B742&amp;"-01"),Observacion_Directa!$B$2:$B$1000,"&lt;="&amp;EOMONTH(DATEVALUE($B742&amp;"-01"),0)))-1)/4*100,"")</f>
        <v/>
      </c>
      <c r="Y742" t="e">
        <f t="shared" ca="1" si="23"/>
        <v>#DIV/0!</v>
      </c>
    </row>
    <row r="743" spans="12:25" x14ac:dyDescent="0.2">
      <c r="L743" t="str">
        <f t="shared" si="22"/>
        <v/>
      </c>
      <c r="M743" t="str">
        <f>IFERROR(AVERAGEIFS(Prod_5dias!$H$2:$H$1000,Prod_5dias!$A$2:$A$1000,$A743,Prod_5dias!$B$2:$B$1000,$B743),"")</f>
        <v/>
      </c>
      <c r="N743" t="str">
        <f>IF(M743="","",MIN(100,100*M743/Parametros!$B$7))</f>
        <v/>
      </c>
      <c r="O743" t="str">
        <f>IF(F743="","",IF(F743=0,100,MIN(100,100*Parametros!$B$3/F743)))</f>
        <v/>
      </c>
      <c r="P743" t="str">
        <f ca="1">IFERROR(((AVERAGEIFS(Observacion_Directa!$E$2:$E$1000,Observacion_Directa!$A$2:$A$1000,$A743,Observacion_Directa!$B$2:$B$1000,"&gt;="&amp;DATEVALUE($B743&amp;"-01"),Observacion_Directa!$B$2:$B$1000,"&lt;="&amp;EOMONTH(DATEVALUE($B743&amp;"-01"),0)))-1)/4*100,"")</f>
        <v/>
      </c>
      <c r="Q743" t="str">
        <f>IF(H743="","",MIN(100,100*H743/Parametros!$B$4))</f>
        <v/>
      </c>
      <c r="R743" t="str">
        <f>IF(I743="","",IF(I743=0,100,MIN(100,100*Parametros!$B$5/I743)))</f>
        <v/>
      </c>
      <c r="S743" t="str">
        <f>IF(J743="","",IF(J743=0,100,MIN(100,100*Parametros!$B$6/J743)))</f>
        <v/>
      </c>
      <c r="T743" t="str">
        <f>IF(L743="","",MIN(100,100*L743/Parametros!$B$7))</f>
        <v/>
      </c>
      <c r="U743" t="str">
        <f>IF(K743="","",MIN(100,100*K743/Parametros!$B$8))</f>
        <v/>
      </c>
      <c r="V743" t="str">
        <f ca="1">IFERROR(((AVERAGEIFS(Documentacion!$C$2:$C$1000,Documentacion!$A$2:$A$1000,$A743,Documentacion!$B$2:$B$1000,"&gt;="&amp;DATEVALUE($B743&amp;"-01"),Documentacion!$B$2:$B$1000,"&lt;="&amp;EOMONTH(DATEVALUE($B743&amp;"-01"),0)))-1)/4*100,"")</f>
        <v/>
      </c>
      <c r="W743" t="str">
        <f ca="1">IFERROR(((AVERAGEIFS(Feedback_360!$D$2:$D$1000,Feedback_360!$A$2:$A$1000,$A743,Feedback_360!$B$2:$B$1000,"&gt;="&amp;DATEVALUE($B743&amp;"-01"),Feedback_360!$B$2:$B$1000,"&lt;="&amp;EOMONTH(DATEVALUE($B743&amp;"-01"),0)))-1)/4*100,"")</f>
        <v/>
      </c>
      <c r="X743" t="str">
        <f ca="1">IFERROR(((AVERAGEIFS(Observacion_Directa!$D$2:$D$1000,Observacion_Directa!$A$2:$A$1000,$A743,Observacion_Directa!$B$2:$B$1000,"&gt;="&amp;DATEVALUE($B743&amp;"-01"),Observacion_Directa!$B$2:$B$1000,"&lt;="&amp;EOMONTH(DATEVALUE($B743&amp;"-01"),0)))-1)/4*100,"")</f>
        <v/>
      </c>
      <c r="Y743" t="e">
        <f t="shared" ca="1" si="23"/>
        <v>#DIV/0!</v>
      </c>
    </row>
    <row r="744" spans="12:25" x14ac:dyDescent="0.2">
      <c r="L744" t="str">
        <f t="shared" si="22"/>
        <v/>
      </c>
      <c r="M744" t="str">
        <f>IFERROR(AVERAGEIFS(Prod_5dias!$H$2:$H$1000,Prod_5dias!$A$2:$A$1000,$A744,Prod_5dias!$B$2:$B$1000,$B744),"")</f>
        <v/>
      </c>
      <c r="N744" t="str">
        <f>IF(M744="","",MIN(100,100*M744/Parametros!$B$7))</f>
        <v/>
      </c>
      <c r="O744" t="str">
        <f>IF(F744="","",IF(F744=0,100,MIN(100,100*Parametros!$B$3/F744)))</f>
        <v/>
      </c>
      <c r="P744" t="str">
        <f ca="1">IFERROR(((AVERAGEIFS(Observacion_Directa!$E$2:$E$1000,Observacion_Directa!$A$2:$A$1000,$A744,Observacion_Directa!$B$2:$B$1000,"&gt;="&amp;DATEVALUE($B744&amp;"-01"),Observacion_Directa!$B$2:$B$1000,"&lt;="&amp;EOMONTH(DATEVALUE($B744&amp;"-01"),0)))-1)/4*100,"")</f>
        <v/>
      </c>
      <c r="Q744" t="str">
        <f>IF(H744="","",MIN(100,100*H744/Parametros!$B$4))</f>
        <v/>
      </c>
      <c r="R744" t="str">
        <f>IF(I744="","",IF(I744=0,100,MIN(100,100*Parametros!$B$5/I744)))</f>
        <v/>
      </c>
      <c r="S744" t="str">
        <f>IF(J744="","",IF(J744=0,100,MIN(100,100*Parametros!$B$6/J744)))</f>
        <v/>
      </c>
      <c r="T744" t="str">
        <f>IF(L744="","",MIN(100,100*L744/Parametros!$B$7))</f>
        <v/>
      </c>
      <c r="U744" t="str">
        <f>IF(K744="","",MIN(100,100*K744/Parametros!$B$8))</f>
        <v/>
      </c>
      <c r="V744" t="str">
        <f ca="1">IFERROR(((AVERAGEIFS(Documentacion!$C$2:$C$1000,Documentacion!$A$2:$A$1000,$A744,Documentacion!$B$2:$B$1000,"&gt;="&amp;DATEVALUE($B744&amp;"-01"),Documentacion!$B$2:$B$1000,"&lt;="&amp;EOMONTH(DATEVALUE($B744&amp;"-01"),0)))-1)/4*100,"")</f>
        <v/>
      </c>
      <c r="W744" t="str">
        <f ca="1">IFERROR(((AVERAGEIFS(Feedback_360!$D$2:$D$1000,Feedback_360!$A$2:$A$1000,$A744,Feedback_360!$B$2:$B$1000,"&gt;="&amp;DATEVALUE($B744&amp;"-01"),Feedback_360!$B$2:$B$1000,"&lt;="&amp;EOMONTH(DATEVALUE($B744&amp;"-01"),0)))-1)/4*100,"")</f>
        <v/>
      </c>
      <c r="X744" t="str">
        <f ca="1">IFERROR(((AVERAGEIFS(Observacion_Directa!$D$2:$D$1000,Observacion_Directa!$A$2:$A$1000,$A744,Observacion_Directa!$B$2:$B$1000,"&gt;="&amp;DATEVALUE($B744&amp;"-01"),Observacion_Directa!$B$2:$B$1000,"&lt;="&amp;EOMONTH(DATEVALUE($B744&amp;"-01"),0)))-1)/4*100,"")</f>
        <v/>
      </c>
      <c r="Y744" t="e">
        <f t="shared" ca="1" si="23"/>
        <v>#DIV/0!</v>
      </c>
    </row>
    <row r="745" spans="12:25" x14ac:dyDescent="0.2">
      <c r="L745" t="str">
        <f t="shared" si="22"/>
        <v/>
      </c>
      <c r="M745" t="str">
        <f>IFERROR(AVERAGEIFS(Prod_5dias!$H$2:$H$1000,Prod_5dias!$A$2:$A$1000,$A745,Prod_5dias!$B$2:$B$1000,$B745),"")</f>
        <v/>
      </c>
      <c r="N745" t="str">
        <f>IF(M745="","",MIN(100,100*M745/Parametros!$B$7))</f>
        <v/>
      </c>
      <c r="O745" t="str">
        <f>IF(F745="","",IF(F745=0,100,MIN(100,100*Parametros!$B$3/F745)))</f>
        <v/>
      </c>
      <c r="P745" t="str">
        <f ca="1">IFERROR(((AVERAGEIFS(Observacion_Directa!$E$2:$E$1000,Observacion_Directa!$A$2:$A$1000,$A745,Observacion_Directa!$B$2:$B$1000,"&gt;="&amp;DATEVALUE($B745&amp;"-01"),Observacion_Directa!$B$2:$B$1000,"&lt;="&amp;EOMONTH(DATEVALUE($B745&amp;"-01"),0)))-1)/4*100,"")</f>
        <v/>
      </c>
      <c r="Q745" t="str">
        <f>IF(H745="","",MIN(100,100*H745/Parametros!$B$4))</f>
        <v/>
      </c>
      <c r="R745" t="str">
        <f>IF(I745="","",IF(I745=0,100,MIN(100,100*Parametros!$B$5/I745)))</f>
        <v/>
      </c>
      <c r="S745" t="str">
        <f>IF(J745="","",IF(J745=0,100,MIN(100,100*Parametros!$B$6/J745)))</f>
        <v/>
      </c>
      <c r="T745" t="str">
        <f>IF(L745="","",MIN(100,100*L745/Parametros!$B$7))</f>
        <v/>
      </c>
      <c r="U745" t="str">
        <f>IF(K745="","",MIN(100,100*K745/Parametros!$B$8))</f>
        <v/>
      </c>
      <c r="V745" t="str">
        <f ca="1">IFERROR(((AVERAGEIFS(Documentacion!$C$2:$C$1000,Documentacion!$A$2:$A$1000,$A745,Documentacion!$B$2:$B$1000,"&gt;="&amp;DATEVALUE($B745&amp;"-01"),Documentacion!$B$2:$B$1000,"&lt;="&amp;EOMONTH(DATEVALUE($B745&amp;"-01"),0)))-1)/4*100,"")</f>
        <v/>
      </c>
      <c r="W745" t="str">
        <f ca="1">IFERROR(((AVERAGEIFS(Feedback_360!$D$2:$D$1000,Feedback_360!$A$2:$A$1000,$A745,Feedback_360!$B$2:$B$1000,"&gt;="&amp;DATEVALUE($B745&amp;"-01"),Feedback_360!$B$2:$B$1000,"&lt;="&amp;EOMONTH(DATEVALUE($B745&amp;"-01"),0)))-1)/4*100,"")</f>
        <v/>
      </c>
      <c r="X745" t="str">
        <f ca="1">IFERROR(((AVERAGEIFS(Observacion_Directa!$D$2:$D$1000,Observacion_Directa!$A$2:$A$1000,$A745,Observacion_Directa!$B$2:$B$1000,"&gt;="&amp;DATEVALUE($B745&amp;"-01"),Observacion_Directa!$B$2:$B$1000,"&lt;="&amp;EOMONTH(DATEVALUE($B745&amp;"-01"),0)))-1)/4*100,"")</f>
        <v/>
      </c>
      <c r="Y745" t="e">
        <f t="shared" ca="1" si="23"/>
        <v>#DIV/0!</v>
      </c>
    </row>
    <row r="746" spans="12:25" x14ac:dyDescent="0.2">
      <c r="L746" t="str">
        <f t="shared" si="22"/>
        <v/>
      </c>
      <c r="M746" t="str">
        <f>IFERROR(AVERAGEIFS(Prod_5dias!$H$2:$H$1000,Prod_5dias!$A$2:$A$1000,$A746,Prod_5dias!$B$2:$B$1000,$B746),"")</f>
        <v/>
      </c>
      <c r="N746" t="str">
        <f>IF(M746="","",MIN(100,100*M746/Parametros!$B$7))</f>
        <v/>
      </c>
      <c r="O746" t="str">
        <f>IF(F746="","",IF(F746=0,100,MIN(100,100*Parametros!$B$3/F746)))</f>
        <v/>
      </c>
      <c r="P746" t="str">
        <f ca="1">IFERROR(((AVERAGEIFS(Observacion_Directa!$E$2:$E$1000,Observacion_Directa!$A$2:$A$1000,$A746,Observacion_Directa!$B$2:$B$1000,"&gt;="&amp;DATEVALUE($B746&amp;"-01"),Observacion_Directa!$B$2:$B$1000,"&lt;="&amp;EOMONTH(DATEVALUE($B746&amp;"-01"),0)))-1)/4*100,"")</f>
        <v/>
      </c>
      <c r="Q746" t="str">
        <f>IF(H746="","",MIN(100,100*H746/Parametros!$B$4))</f>
        <v/>
      </c>
      <c r="R746" t="str">
        <f>IF(I746="","",IF(I746=0,100,MIN(100,100*Parametros!$B$5/I746)))</f>
        <v/>
      </c>
      <c r="S746" t="str">
        <f>IF(J746="","",IF(J746=0,100,MIN(100,100*Parametros!$B$6/J746)))</f>
        <v/>
      </c>
      <c r="T746" t="str">
        <f>IF(L746="","",MIN(100,100*L746/Parametros!$B$7))</f>
        <v/>
      </c>
      <c r="U746" t="str">
        <f>IF(K746="","",MIN(100,100*K746/Parametros!$B$8))</f>
        <v/>
      </c>
      <c r="V746" t="str">
        <f ca="1">IFERROR(((AVERAGEIFS(Documentacion!$C$2:$C$1000,Documentacion!$A$2:$A$1000,$A746,Documentacion!$B$2:$B$1000,"&gt;="&amp;DATEVALUE($B746&amp;"-01"),Documentacion!$B$2:$B$1000,"&lt;="&amp;EOMONTH(DATEVALUE($B746&amp;"-01"),0)))-1)/4*100,"")</f>
        <v/>
      </c>
      <c r="W746" t="str">
        <f ca="1">IFERROR(((AVERAGEIFS(Feedback_360!$D$2:$D$1000,Feedback_360!$A$2:$A$1000,$A746,Feedback_360!$B$2:$B$1000,"&gt;="&amp;DATEVALUE($B746&amp;"-01"),Feedback_360!$B$2:$B$1000,"&lt;="&amp;EOMONTH(DATEVALUE($B746&amp;"-01"),0)))-1)/4*100,"")</f>
        <v/>
      </c>
      <c r="X746" t="str">
        <f ca="1">IFERROR(((AVERAGEIFS(Observacion_Directa!$D$2:$D$1000,Observacion_Directa!$A$2:$A$1000,$A746,Observacion_Directa!$B$2:$B$1000,"&gt;="&amp;DATEVALUE($B746&amp;"-01"),Observacion_Directa!$B$2:$B$1000,"&lt;="&amp;EOMONTH(DATEVALUE($B746&amp;"-01"),0)))-1)/4*100,"")</f>
        <v/>
      </c>
      <c r="Y746" t="e">
        <f t="shared" ca="1" si="23"/>
        <v>#DIV/0!</v>
      </c>
    </row>
    <row r="747" spans="12:25" x14ac:dyDescent="0.2">
      <c r="L747" t="str">
        <f t="shared" si="22"/>
        <v/>
      </c>
      <c r="M747" t="str">
        <f>IFERROR(AVERAGEIFS(Prod_5dias!$H$2:$H$1000,Prod_5dias!$A$2:$A$1000,$A747,Prod_5dias!$B$2:$B$1000,$B747),"")</f>
        <v/>
      </c>
      <c r="N747" t="str">
        <f>IF(M747="","",MIN(100,100*M747/Parametros!$B$7))</f>
        <v/>
      </c>
      <c r="O747" t="str">
        <f>IF(F747="","",IF(F747=0,100,MIN(100,100*Parametros!$B$3/F747)))</f>
        <v/>
      </c>
      <c r="P747" t="str">
        <f ca="1">IFERROR(((AVERAGEIFS(Observacion_Directa!$E$2:$E$1000,Observacion_Directa!$A$2:$A$1000,$A747,Observacion_Directa!$B$2:$B$1000,"&gt;="&amp;DATEVALUE($B747&amp;"-01"),Observacion_Directa!$B$2:$B$1000,"&lt;="&amp;EOMONTH(DATEVALUE($B747&amp;"-01"),0)))-1)/4*100,"")</f>
        <v/>
      </c>
      <c r="Q747" t="str">
        <f>IF(H747="","",MIN(100,100*H747/Parametros!$B$4))</f>
        <v/>
      </c>
      <c r="R747" t="str">
        <f>IF(I747="","",IF(I747=0,100,MIN(100,100*Parametros!$B$5/I747)))</f>
        <v/>
      </c>
      <c r="S747" t="str">
        <f>IF(J747="","",IF(J747=0,100,MIN(100,100*Parametros!$B$6/J747)))</f>
        <v/>
      </c>
      <c r="T747" t="str">
        <f>IF(L747="","",MIN(100,100*L747/Parametros!$B$7))</f>
        <v/>
      </c>
      <c r="U747" t="str">
        <f>IF(K747="","",MIN(100,100*K747/Parametros!$B$8))</f>
        <v/>
      </c>
      <c r="V747" t="str">
        <f ca="1">IFERROR(((AVERAGEIFS(Documentacion!$C$2:$C$1000,Documentacion!$A$2:$A$1000,$A747,Documentacion!$B$2:$B$1000,"&gt;="&amp;DATEVALUE($B747&amp;"-01"),Documentacion!$B$2:$B$1000,"&lt;="&amp;EOMONTH(DATEVALUE($B747&amp;"-01"),0)))-1)/4*100,"")</f>
        <v/>
      </c>
      <c r="W747" t="str">
        <f ca="1">IFERROR(((AVERAGEIFS(Feedback_360!$D$2:$D$1000,Feedback_360!$A$2:$A$1000,$A747,Feedback_360!$B$2:$B$1000,"&gt;="&amp;DATEVALUE($B747&amp;"-01"),Feedback_360!$B$2:$B$1000,"&lt;="&amp;EOMONTH(DATEVALUE($B747&amp;"-01"),0)))-1)/4*100,"")</f>
        <v/>
      </c>
      <c r="X747" t="str">
        <f ca="1">IFERROR(((AVERAGEIFS(Observacion_Directa!$D$2:$D$1000,Observacion_Directa!$A$2:$A$1000,$A747,Observacion_Directa!$B$2:$B$1000,"&gt;="&amp;DATEVALUE($B747&amp;"-01"),Observacion_Directa!$B$2:$B$1000,"&lt;="&amp;EOMONTH(DATEVALUE($B747&amp;"-01"),0)))-1)/4*100,"")</f>
        <v/>
      </c>
      <c r="Y747" t="e">
        <f t="shared" ca="1" si="23"/>
        <v>#DIV/0!</v>
      </c>
    </row>
    <row r="748" spans="12:25" x14ac:dyDescent="0.2">
      <c r="L748" t="str">
        <f t="shared" si="22"/>
        <v/>
      </c>
      <c r="M748" t="str">
        <f>IFERROR(AVERAGEIFS(Prod_5dias!$H$2:$H$1000,Prod_5dias!$A$2:$A$1000,$A748,Prod_5dias!$B$2:$B$1000,$B748),"")</f>
        <v/>
      </c>
      <c r="N748" t="str">
        <f>IF(M748="","",MIN(100,100*M748/Parametros!$B$7))</f>
        <v/>
      </c>
      <c r="O748" t="str">
        <f>IF(F748="","",IF(F748=0,100,MIN(100,100*Parametros!$B$3/F748)))</f>
        <v/>
      </c>
      <c r="P748" t="str">
        <f ca="1">IFERROR(((AVERAGEIFS(Observacion_Directa!$E$2:$E$1000,Observacion_Directa!$A$2:$A$1000,$A748,Observacion_Directa!$B$2:$B$1000,"&gt;="&amp;DATEVALUE($B748&amp;"-01"),Observacion_Directa!$B$2:$B$1000,"&lt;="&amp;EOMONTH(DATEVALUE($B748&amp;"-01"),0)))-1)/4*100,"")</f>
        <v/>
      </c>
      <c r="Q748" t="str">
        <f>IF(H748="","",MIN(100,100*H748/Parametros!$B$4))</f>
        <v/>
      </c>
      <c r="R748" t="str">
        <f>IF(I748="","",IF(I748=0,100,MIN(100,100*Parametros!$B$5/I748)))</f>
        <v/>
      </c>
      <c r="S748" t="str">
        <f>IF(J748="","",IF(J748=0,100,MIN(100,100*Parametros!$B$6/J748)))</f>
        <v/>
      </c>
      <c r="T748" t="str">
        <f>IF(L748="","",MIN(100,100*L748/Parametros!$B$7))</f>
        <v/>
      </c>
      <c r="U748" t="str">
        <f>IF(K748="","",MIN(100,100*K748/Parametros!$B$8))</f>
        <v/>
      </c>
      <c r="V748" t="str">
        <f ca="1">IFERROR(((AVERAGEIFS(Documentacion!$C$2:$C$1000,Documentacion!$A$2:$A$1000,$A748,Documentacion!$B$2:$B$1000,"&gt;="&amp;DATEVALUE($B748&amp;"-01"),Documentacion!$B$2:$B$1000,"&lt;="&amp;EOMONTH(DATEVALUE($B748&amp;"-01"),0)))-1)/4*100,"")</f>
        <v/>
      </c>
      <c r="W748" t="str">
        <f ca="1">IFERROR(((AVERAGEIFS(Feedback_360!$D$2:$D$1000,Feedback_360!$A$2:$A$1000,$A748,Feedback_360!$B$2:$B$1000,"&gt;="&amp;DATEVALUE($B748&amp;"-01"),Feedback_360!$B$2:$B$1000,"&lt;="&amp;EOMONTH(DATEVALUE($B748&amp;"-01"),0)))-1)/4*100,"")</f>
        <v/>
      </c>
      <c r="X748" t="str">
        <f ca="1">IFERROR(((AVERAGEIFS(Observacion_Directa!$D$2:$D$1000,Observacion_Directa!$A$2:$A$1000,$A748,Observacion_Directa!$B$2:$B$1000,"&gt;="&amp;DATEVALUE($B748&amp;"-01"),Observacion_Directa!$B$2:$B$1000,"&lt;="&amp;EOMONTH(DATEVALUE($B748&amp;"-01"),0)))-1)/4*100,"")</f>
        <v/>
      </c>
      <c r="Y748" t="e">
        <f t="shared" ca="1" si="23"/>
        <v>#DIV/0!</v>
      </c>
    </row>
    <row r="749" spans="12:25" x14ac:dyDescent="0.2">
      <c r="L749" t="str">
        <f t="shared" si="22"/>
        <v/>
      </c>
      <c r="M749" t="str">
        <f>IFERROR(AVERAGEIFS(Prod_5dias!$H$2:$H$1000,Prod_5dias!$A$2:$A$1000,$A749,Prod_5dias!$B$2:$B$1000,$B749),"")</f>
        <v/>
      </c>
      <c r="N749" t="str">
        <f>IF(M749="","",MIN(100,100*M749/Parametros!$B$7))</f>
        <v/>
      </c>
      <c r="O749" t="str">
        <f>IF(F749="","",IF(F749=0,100,MIN(100,100*Parametros!$B$3/F749)))</f>
        <v/>
      </c>
      <c r="P749" t="str">
        <f ca="1">IFERROR(((AVERAGEIFS(Observacion_Directa!$E$2:$E$1000,Observacion_Directa!$A$2:$A$1000,$A749,Observacion_Directa!$B$2:$B$1000,"&gt;="&amp;DATEVALUE($B749&amp;"-01"),Observacion_Directa!$B$2:$B$1000,"&lt;="&amp;EOMONTH(DATEVALUE($B749&amp;"-01"),0)))-1)/4*100,"")</f>
        <v/>
      </c>
      <c r="Q749" t="str">
        <f>IF(H749="","",MIN(100,100*H749/Parametros!$B$4))</f>
        <v/>
      </c>
      <c r="R749" t="str">
        <f>IF(I749="","",IF(I749=0,100,MIN(100,100*Parametros!$B$5/I749)))</f>
        <v/>
      </c>
      <c r="S749" t="str">
        <f>IF(J749="","",IF(J749=0,100,MIN(100,100*Parametros!$B$6/J749)))</f>
        <v/>
      </c>
      <c r="T749" t="str">
        <f>IF(L749="","",MIN(100,100*L749/Parametros!$B$7))</f>
        <v/>
      </c>
      <c r="U749" t="str">
        <f>IF(K749="","",MIN(100,100*K749/Parametros!$B$8))</f>
        <v/>
      </c>
      <c r="V749" t="str">
        <f ca="1">IFERROR(((AVERAGEIFS(Documentacion!$C$2:$C$1000,Documentacion!$A$2:$A$1000,$A749,Documentacion!$B$2:$B$1000,"&gt;="&amp;DATEVALUE($B749&amp;"-01"),Documentacion!$B$2:$B$1000,"&lt;="&amp;EOMONTH(DATEVALUE($B749&amp;"-01"),0)))-1)/4*100,"")</f>
        <v/>
      </c>
      <c r="W749" t="str">
        <f ca="1">IFERROR(((AVERAGEIFS(Feedback_360!$D$2:$D$1000,Feedback_360!$A$2:$A$1000,$A749,Feedback_360!$B$2:$B$1000,"&gt;="&amp;DATEVALUE($B749&amp;"-01"),Feedback_360!$B$2:$B$1000,"&lt;="&amp;EOMONTH(DATEVALUE($B749&amp;"-01"),0)))-1)/4*100,"")</f>
        <v/>
      </c>
      <c r="X749" t="str">
        <f ca="1">IFERROR(((AVERAGEIFS(Observacion_Directa!$D$2:$D$1000,Observacion_Directa!$A$2:$A$1000,$A749,Observacion_Directa!$B$2:$B$1000,"&gt;="&amp;DATEVALUE($B749&amp;"-01"),Observacion_Directa!$B$2:$B$1000,"&lt;="&amp;EOMONTH(DATEVALUE($B749&amp;"-01"),0)))-1)/4*100,"")</f>
        <v/>
      </c>
      <c r="Y749" t="e">
        <f t="shared" ca="1" si="23"/>
        <v>#DIV/0!</v>
      </c>
    </row>
    <row r="750" spans="12:25" x14ac:dyDescent="0.2">
      <c r="L750" t="str">
        <f t="shared" si="22"/>
        <v/>
      </c>
      <c r="M750" t="str">
        <f>IFERROR(AVERAGEIFS(Prod_5dias!$H$2:$H$1000,Prod_5dias!$A$2:$A$1000,$A750,Prod_5dias!$B$2:$B$1000,$B750),"")</f>
        <v/>
      </c>
      <c r="N750" t="str">
        <f>IF(M750="","",MIN(100,100*M750/Parametros!$B$7))</f>
        <v/>
      </c>
      <c r="O750" t="str">
        <f>IF(F750="","",IF(F750=0,100,MIN(100,100*Parametros!$B$3/F750)))</f>
        <v/>
      </c>
      <c r="P750" t="str">
        <f ca="1">IFERROR(((AVERAGEIFS(Observacion_Directa!$E$2:$E$1000,Observacion_Directa!$A$2:$A$1000,$A750,Observacion_Directa!$B$2:$B$1000,"&gt;="&amp;DATEVALUE($B750&amp;"-01"),Observacion_Directa!$B$2:$B$1000,"&lt;="&amp;EOMONTH(DATEVALUE($B750&amp;"-01"),0)))-1)/4*100,"")</f>
        <v/>
      </c>
      <c r="Q750" t="str">
        <f>IF(H750="","",MIN(100,100*H750/Parametros!$B$4))</f>
        <v/>
      </c>
      <c r="R750" t="str">
        <f>IF(I750="","",IF(I750=0,100,MIN(100,100*Parametros!$B$5/I750)))</f>
        <v/>
      </c>
      <c r="S750" t="str">
        <f>IF(J750="","",IF(J750=0,100,MIN(100,100*Parametros!$B$6/J750)))</f>
        <v/>
      </c>
      <c r="T750" t="str">
        <f>IF(L750="","",MIN(100,100*L750/Parametros!$B$7))</f>
        <v/>
      </c>
      <c r="U750" t="str">
        <f>IF(K750="","",MIN(100,100*K750/Parametros!$B$8))</f>
        <v/>
      </c>
      <c r="V750" t="str">
        <f ca="1">IFERROR(((AVERAGEIFS(Documentacion!$C$2:$C$1000,Documentacion!$A$2:$A$1000,$A750,Documentacion!$B$2:$B$1000,"&gt;="&amp;DATEVALUE($B750&amp;"-01"),Documentacion!$B$2:$B$1000,"&lt;="&amp;EOMONTH(DATEVALUE($B750&amp;"-01"),0)))-1)/4*100,"")</f>
        <v/>
      </c>
      <c r="W750" t="str">
        <f ca="1">IFERROR(((AVERAGEIFS(Feedback_360!$D$2:$D$1000,Feedback_360!$A$2:$A$1000,$A750,Feedback_360!$B$2:$B$1000,"&gt;="&amp;DATEVALUE($B750&amp;"-01"),Feedback_360!$B$2:$B$1000,"&lt;="&amp;EOMONTH(DATEVALUE($B750&amp;"-01"),0)))-1)/4*100,"")</f>
        <v/>
      </c>
      <c r="X750" t="str">
        <f ca="1">IFERROR(((AVERAGEIFS(Observacion_Directa!$D$2:$D$1000,Observacion_Directa!$A$2:$A$1000,$A750,Observacion_Directa!$B$2:$B$1000,"&gt;="&amp;DATEVALUE($B750&amp;"-01"),Observacion_Directa!$B$2:$B$1000,"&lt;="&amp;EOMONTH(DATEVALUE($B750&amp;"-01"),0)))-1)/4*100,"")</f>
        <v/>
      </c>
      <c r="Y750" t="e">
        <f t="shared" ca="1" si="23"/>
        <v>#DIV/0!</v>
      </c>
    </row>
    <row r="751" spans="12:25" x14ac:dyDescent="0.2">
      <c r="L751" t="str">
        <f t="shared" si="22"/>
        <v/>
      </c>
      <c r="M751" t="str">
        <f>IFERROR(AVERAGEIFS(Prod_5dias!$H$2:$H$1000,Prod_5dias!$A$2:$A$1000,$A751,Prod_5dias!$B$2:$B$1000,$B751),"")</f>
        <v/>
      </c>
      <c r="N751" t="str">
        <f>IF(M751="","",MIN(100,100*M751/Parametros!$B$7))</f>
        <v/>
      </c>
      <c r="O751" t="str">
        <f>IF(F751="","",IF(F751=0,100,MIN(100,100*Parametros!$B$3/F751)))</f>
        <v/>
      </c>
      <c r="P751" t="str">
        <f ca="1">IFERROR(((AVERAGEIFS(Observacion_Directa!$E$2:$E$1000,Observacion_Directa!$A$2:$A$1000,$A751,Observacion_Directa!$B$2:$B$1000,"&gt;="&amp;DATEVALUE($B751&amp;"-01"),Observacion_Directa!$B$2:$B$1000,"&lt;="&amp;EOMONTH(DATEVALUE($B751&amp;"-01"),0)))-1)/4*100,"")</f>
        <v/>
      </c>
      <c r="Q751" t="str">
        <f>IF(H751="","",MIN(100,100*H751/Parametros!$B$4))</f>
        <v/>
      </c>
      <c r="R751" t="str">
        <f>IF(I751="","",IF(I751=0,100,MIN(100,100*Parametros!$B$5/I751)))</f>
        <v/>
      </c>
      <c r="S751" t="str">
        <f>IF(J751="","",IF(J751=0,100,MIN(100,100*Parametros!$B$6/J751)))</f>
        <v/>
      </c>
      <c r="T751" t="str">
        <f>IF(L751="","",MIN(100,100*L751/Parametros!$B$7))</f>
        <v/>
      </c>
      <c r="U751" t="str">
        <f>IF(K751="","",MIN(100,100*K751/Parametros!$B$8))</f>
        <v/>
      </c>
      <c r="V751" t="str">
        <f ca="1">IFERROR(((AVERAGEIFS(Documentacion!$C$2:$C$1000,Documentacion!$A$2:$A$1000,$A751,Documentacion!$B$2:$B$1000,"&gt;="&amp;DATEVALUE($B751&amp;"-01"),Documentacion!$B$2:$B$1000,"&lt;="&amp;EOMONTH(DATEVALUE($B751&amp;"-01"),0)))-1)/4*100,"")</f>
        <v/>
      </c>
      <c r="W751" t="str">
        <f ca="1">IFERROR(((AVERAGEIFS(Feedback_360!$D$2:$D$1000,Feedback_360!$A$2:$A$1000,$A751,Feedback_360!$B$2:$B$1000,"&gt;="&amp;DATEVALUE($B751&amp;"-01"),Feedback_360!$B$2:$B$1000,"&lt;="&amp;EOMONTH(DATEVALUE($B751&amp;"-01"),0)))-1)/4*100,"")</f>
        <v/>
      </c>
      <c r="X751" t="str">
        <f ca="1">IFERROR(((AVERAGEIFS(Observacion_Directa!$D$2:$D$1000,Observacion_Directa!$A$2:$A$1000,$A751,Observacion_Directa!$B$2:$B$1000,"&gt;="&amp;DATEVALUE($B751&amp;"-01"),Observacion_Directa!$B$2:$B$1000,"&lt;="&amp;EOMONTH(DATEVALUE($B751&amp;"-01"),0)))-1)/4*100,"")</f>
        <v/>
      </c>
      <c r="Y751" t="e">
        <f t="shared" ca="1" si="23"/>
        <v>#DIV/0!</v>
      </c>
    </row>
    <row r="752" spans="12:25" x14ac:dyDescent="0.2">
      <c r="L752" t="str">
        <f t="shared" si="22"/>
        <v/>
      </c>
      <c r="M752" t="str">
        <f>IFERROR(AVERAGEIFS(Prod_5dias!$H$2:$H$1000,Prod_5dias!$A$2:$A$1000,$A752,Prod_5dias!$B$2:$B$1000,$B752),"")</f>
        <v/>
      </c>
      <c r="N752" t="str">
        <f>IF(M752="","",MIN(100,100*M752/Parametros!$B$7))</f>
        <v/>
      </c>
      <c r="O752" t="str">
        <f>IF(F752="","",IF(F752=0,100,MIN(100,100*Parametros!$B$3/F752)))</f>
        <v/>
      </c>
      <c r="P752" t="str">
        <f ca="1">IFERROR(((AVERAGEIFS(Observacion_Directa!$E$2:$E$1000,Observacion_Directa!$A$2:$A$1000,$A752,Observacion_Directa!$B$2:$B$1000,"&gt;="&amp;DATEVALUE($B752&amp;"-01"),Observacion_Directa!$B$2:$B$1000,"&lt;="&amp;EOMONTH(DATEVALUE($B752&amp;"-01"),0)))-1)/4*100,"")</f>
        <v/>
      </c>
      <c r="Q752" t="str">
        <f>IF(H752="","",MIN(100,100*H752/Parametros!$B$4))</f>
        <v/>
      </c>
      <c r="R752" t="str">
        <f>IF(I752="","",IF(I752=0,100,MIN(100,100*Parametros!$B$5/I752)))</f>
        <v/>
      </c>
      <c r="S752" t="str">
        <f>IF(J752="","",IF(J752=0,100,MIN(100,100*Parametros!$B$6/J752)))</f>
        <v/>
      </c>
      <c r="T752" t="str">
        <f>IF(L752="","",MIN(100,100*L752/Parametros!$B$7))</f>
        <v/>
      </c>
      <c r="U752" t="str">
        <f>IF(K752="","",MIN(100,100*K752/Parametros!$B$8))</f>
        <v/>
      </c>
      <c r="V752" t="str">
        <f ca="1">IFERROR(((AVERAGEIFS(Documentacion!$C$2:$C$1000,Documentacion!$A$2:$A$1000,$A752,Documentacion!$B$2:$B$1000,"&gt;="&amp;DATEVALUE($B752&amp;"-01"),Documentacion!$B$2:$B$1000,"&lt;="&amp;EOMONTH(DATEVALUE($B752&amp;"-01"),0)))-1)/4*100,"")</f>
        <v/>
      </c>
      <c r="W752" t="str">
        <f ca="1">IFERROR(((AVERAGEIFS(Feedback_360!$D$2:$D$1000,Feedback_360!$A$2:$A$1000,$A752,Feedback_360!$B$2:$B$1000,"&gt;="&amp;DATEVALUE($B752&amp;"-01"),Feedback_360!$B$2:$B$1000,"&lt;="&amp;EOMONTH(DATEVALUE($B752&amp;"-01"),0)))-1)/4*100,"")</f>
        <v/>
      </c>
      <c r="X752" t="str">
        <f ca="1">IFERROR(((AVERAGEIFS(Observacion_Directa!$D$2:$D$1000,Observacion_Directa!$A$2:$A$1000,$A752,Observacion_Directa!$B$2:$B$1000,"&gt;="&amp;DATEVALUE($B752&amp;"-01"),Observacion_Directa!$B$2:$B$1000,"&lt;="&amp;EOMONTH(DATEVALUE($B752&amp;"-01"),0)))-1)/4*100,"")</f>
        <v/>
      </c>
      <c r="Y752" t="e">
        <f t="shared" ca="1" si="23"/>
        <v>#DIV/0!</v>
      </c>
    </row>
    <row r="753" spans="12:25" x14ac:dyDescent="0.2">
      <c r="L753" t="str">
        <f t="shared" si="22"/>
        <v/>
      </c>
      <c r="M753" t="str">
        <f>IFERROR(AVERAGEIFS(Prod_5dias!$H$2:$H$1000,Prod_5dias!$A$2:$A$1000,$A753,Prod_5dias!$B$2:$B$1000,$B753),"")</f>
        <v/>
      </c>
      <c r="N753" t="str">
        <f>IF(M753="","",MIN(100,100*M753/Parametros!$B$7))</f>
        <v/>
      </c>
      <c r="O753" t="str">
        <f>IF(F753="","",IF(F753=0,100,MIN(100,100*Parametros!$B$3/F753)))</f>
        <v/>
      </c>
      <c r="P753" t="str">
        <f ca="1">IFERROR(((AVERAGEIFS(Observacion_Directa!$E$2:$E$1000,Observacion_Directa!$A$2:$A$1000,$A753,Observacion_Directa!$B$2:$B$1000,"&gt;="&amp;DATEVALUE($B753&amp;"-01"),Observacion_Directa!$B$2:$B$1000,"&lt;="&amp;EOMONTH(DATEVALUE($B753&amp;"-01"),0)))-1)/4*100,"")</f>
        <v/>
      </c>
      <c r="Q753" t="str">
        <f>IF(H753="","",MIN(100,100*H753/Parametros!$B$4))</f>
        <v/>
      </c>
      <c r="R753" t="str">
        <f>IF(I753="","",IF(I753=0,100,MIN(100,100*Parametros!$B$5/I753)))</f>
        <v/>
      </c>
      <c r="S753" t="str">
        <f>IF(J753="","",IF(J753=0,100,MIN(100,100*Parametros!$B$6/J753)))</f>
        <v/>
      </c>
      <c r="T753" t="str">
        <f>IF(L753="","",MIN(100,100*L753/Parametros!$B$7))</f>
        <v/>
      </c>
      <c r="U753" t="str">
        <f>IF(K753="","",MIN(100,100*K753/Parametros!$B$8))</f>
        <v/>
      </c>
      <c r="V753" t="str">
        <f ca="1">IFERROR(((AVERAGEIFS(Documentacion!$C$2:$C$1000,Documentacion!$A$2:$A$1000,$A753,Documentacion!$B$2:$B$1000,"&gt;="&amp;DATEVALUE($B753&amp;"-01"),Documentacion!$B$2:$B$1000,"&lt;="&amp;EOMONTH(DATEVALUE($B753&amp;"-01"),0)))-1)/4*100,"")</f>
        <v/>
      </c>
      <c r="W753" t="str">
        <f ca="1">IFERROR(((AVERAGEIFS(Feedback_360!$D$2:$D$1000,Feedback_360!$A$2:$A$1000,$A753,Feedback_360!$B$2:$B$1000,"&gt;="&amp;DATEVALUE($B753&amp;"-01"),Feedback_360!$B$2:$B$1000,"&lt;="&amp;EOMONTH(DATEVALUE($B753&amp;"-01"),0)))-1)/4*100,"")</f>
        <v/>
      </c>
      <c r="X753" t="str">
        <f ca="1">IFERROR(((AVERAGEIFS(Observacion_Directa!$D$2:$D$1000,Observacion_Directa!$A$2:$A$1000,$A753,Observacion_Directa!$B$2:$B$1000,"&gt;="&amp;DATEVALUE($B753&amp;"-01"),Observacion_Directa!$B$2:$B$1000,"&lt;="&amp;EOMONTH(DATEVALUE($B753&amp;"-01"),0)))-1)/4*100,"")</f>
        <v/>
      </c>
      <c r="Y753" t="e">
        <f t="shared" ca="1" si="23"/>
        <v>#DIV/0!</v>
      </c>
    </row>
    <row r="754" spans="12:25" x14ac:dyDescent="0.2">
      <c r="L754" t="str">
        <f t="shared" si="22"/>
        <v/>
      </c>
      <c r="M754" t="str">
        <f>IFERROR(AVERAGEIFS(Prod_5dias!$H$2:$H$1000,Prod_5dias!$A$2:$A$1000,$A754,Prod_5dias!$B$2:$B$1000,$B754),"")</f>
        <v/>
      </c>
      <c r="N754" t="str">
        <f>IF(M754="","",MIN(100,100*M754/Parametros!$B$7))</f>
        <v/>
      </c>
      <c r="O754" t="str">
        <f>IF(F754="","",IF(F754=0,100,MIN(100,100*Parametros!$B$3/F754)))</f>
        <v/>
      </c>
      <c r="P754" t="str">
        <f ca="1">IFERROR(((AVERAGEIFS(Observacion_Directa!$E$2:$E$1000,Observacion_Directa!$A$2:$A$1000,$A754,Observacion_Directa!$B$2:$B$1000,"&gt;="&amp;DATEVALUE($B754&amp;"-01"),Observacion_Directa!$B$2:$B$1000,"&lt;="&amp;EOMONTH(DATEVALUE($B754&amp;"-01"),0)))-1)/4*100,"")</f>
        <v/>
      </c>
      <c r="Q754" t="str">
        <f>IF(H754="","",MIN(100,100*H754/Parametros!$B$4))</f>
        <v/>
      </c>
      <c r="R754" t="str">
        <f>IF(I754="","",IF(I754=0,100,MIN(100,100*Parametros!$B$5/I754)))</f>
        <v/>
      </c>
      <c r="S754" t="str">
        <f>IF(J754="","",IF(J754=0,100,MIN(100,100*Parametros!$B$6/J754)))</f>
        <v/>
      </c>
      <c r="T754" t="str">
        <f>IF(L754="","",MIN(100,100*L754/Parametros!$B$7))</f>
        <v/>
      </c>
      <c r="U754" t="str">
        <f>IF(K754="","",MIN(100,100*K754/Parametros!$B$8))</f>
        <v/>
      </c>
      <c r="V754" t="str">
        <f ca="1">IFERROR(((AVERAGEIFS(Documentacion!$C$2:$C$1000,Documentacion!$A$2:$A$1000,$A754,Documentacion!$B$2:$B$1000,"&gt;="&amp;DATEVALUE($B754&amp;"-01"),Documentacion!$B$2:$B$1000,"&lt;="&amp;EOMONTH(DATEVALUE($B754&amp;"-01"),0)))-1)/4*100,"")</f>
        <v/>
      </c>
      <c r="W754" t="str">
        <f ca="1">IFERROR(((AVERAGEIFS(Feedback_360!$D$2:$D$1000,Feedback_360!$A$2:$A$1000,$A754,Feedback_360!$B$2:$B$1000,"&gt;="&amp;DATEVALUE($B754&amp;"-01"),Feedback_360!$B$2:$B$1000,"&lt;="&amp;EOMONTH(DATEVALUE($B754&amp;"-01"),0)))-1)/4*100,"")</f>
        <v/>
      </c>
      <c r="X754" t="str">
        <f ca="1">IFERROR(((AVERAGEIFS(Observacion_Directa!$D$2:$D$1000,Observacion_Directa!$A$2:$A$1000,$A754,Observacion_Directa!$B$2:$B$1000,"&gt;="&amp;DATEVALUE($B754&amp;"-01"),Observacion_Directa!$B$2:$B$1000,"&lt;="&amp;EOMONTH(DATEVALUE($B754&amp;"-01"),0)))-1)/4*100,"")</f>
        <v/>
      </c>
      <c r="Y754" t="e">
        <f t="shared" ca="1" si="23"/>
        <v>#DIV/0!</v>
      </c>
    </row>
    <row r="755" spans="12:25" x14ac:dyDescent="0.2">
      <c r="L755" t="str">
        <f t="shared" si="22"/>
        <v/>
      </c>
      <c r="M755" t="str">
        <f>IFERROR(AVERAGEIFS(Prod_5dias!$H$2:$H$1000,Prod_5dias!$A$2:$A$1000,$A755,Prod_5dias!$B$2:$B$1000,$B755),"")</f>
        <v/>
      </c>
      <c r="N755" t="str">
        <f>IF(M755="","",MIN(100,100*M755/Parametros!$B$7))</f>
        <v/>
      </c>
      <c r="O755" t="str">
        <f>IF(F755="","",IF(F755=0,100,MIN(100,100*Parametros!$B$3/F755)))</f>
        <v/>
      </c>
      <c r="P755" t="str">
        <f ca="1">IFERROR(((AVERAGEIFS(Observacion_Directa!$E$2:$E$1000,Observacion_Directa!$A$2:$A$1000,$A755,Observacion_Directa!$B$2:$B$1000,"&gt;="&amp;DATEVALUE($B755&amp;"-01"),Observacion_Directa!$B$2:$B$1000,"&lt;="&amp;EOMONTH(DATEVALUE($B755&amp;"-01"),0)))-1)/4*100,"")</f>
        <v/>
      </c>
      <c r="Q755" t="str">
        <f>IF(H755="","",MIN(100,100*H755/Parametros!$B$4))</f>
        <v/>
      </c>
      <c r="R755" t="str">
        <f>IF(I755="","",IF(I755=0,100,MIN(100,100*Parametros!$B$5/I755)))</f>
        <v/>
      </c>
      <c r="S755" t="str">
        <f>IF(J755="","",IF(J755=0,100,MIN(100,100*Parametros!$B$6/J755)))</f>
        <v/>
      </c>
      <c r="T755" t="str">
        <f>IF(L755="","",MIN(100,100*L755/Parametros!$B$7))</f>
        <v/>
      </c>
      <c r="U755" t="str">
        <f>IF(K755="","",MIN(100,100*K755/Parametros!$B$8))</f>
        <v/>
      </c>
      <c r="V755" t="str">
        <f ca="1">IFERROR(((AVERAGEIFS(Documentacion!$C$2:$C$1000,Documentacion!$A$2:$A$1000,$A755,Documentacion!$B$2:$B$1000,"&gt;="&amp;DATEVALUE($B755&amp;"-01"),Documentacion!$B$2:$B$1000,"&lt;="&amp;EOMONTH(DATEVALUE($B755&amp;"-01"),0)))-1)/4*100,"")</f>
        <v/>
      </c>
      <c r="W755" t="str">
        <f ca="1">IFERROR(((AVERAGEIFS(Feedback_360!$D$2:$D$1000,Feedback_360!$A$2:$A$1000,$A755,Feedback_360!$B$2:$B$1000,"&gt;="&amp;DATEVALUE($B755&amp;"-01"),Feedback_360!$B$2:$B$1000,"&lt;="&amp;EOMONTH(DATEVALUE($B755&amp;"-01"),0)))-1)/4*100,"")</f>
        <v/>
      </c>
      <c r="X755" t="str">
        <f ca="1">IFERROR(((AVERAGEIFS(Observacion_Directa!$D$2:$D$1000,Observacion_Directa!$A$2:$A$1000,$A755,Observacion_Directa!$B$2:$B$1000,"&gt;="&amp;DATEVALUE($B755&amp;"-01"),Observacion_Directa!$B$2:$B$1000,"&lt;="&amp;EOMONTH(DATEVALUE($B755&amp;"-01"),0)))-1)/4*100,"")</f>
        <v/>
      </c>
      <c r="Y755" t="e">
        <f t="shared" ca="1" si="23"/>
        <v>#DIV/0!</v>
      </c>
    </row>
    <row r="756" spans="12:25" x14ac:dyDescent="0.2">
      <c r="L756" t="str">
        <f t="shared" si="22"/>
        <v/>
      </c>
      <c r="M756" t="str">
        <f>IFERROR(AVERAGEIFS(Prod_5dias!$H$2:$H$1000,Prod_5dias!$A$2:$A$1000,$A756,Prod_5dias!$B$2:$B$1000,$B756),"")</f>
        <v/>
      </c>
      <c r="N756" t="str">
        <f>IF(M756="","",MIN(100,100*M756/Parametros!$B$7))</f>
        <v/>
      </c>
      <c r="O756" t="str">
        <f>IF(F756="","",IF(F756=0,100,MIN(100,100*Parametros!$B$3/F756)))</f>
        <v/>
      </c>
      <c r="P756" t="str">
        <f ca="1">IFERROR(((AVERAGEIFS(Observacion_Directa!$E$2:$E$1000,Observacion_Directa!$A$2:$A$1000,$A756,Observacion_Directa!$B$2:$B$1000,"&gt;="&amp;DATEVALUE($B756&amp;"-01"),Observacion_Directa!$B$2:$B$1000,"&lt;="&amp;EOMONTH(DATEVALUE($B756&amp;"-01"),0)))-1)/4*100,"")</f>
        <v/>
      </c>
      <c r="Q756" t="str">
        <f>IF(H756="","",MIN(100,100*H756/Parametros!$B$4))</f>
        <v/>
      </c>
      <c r="R756" t="str">
        <f>IF(I756="","",IF(I756=0,100,MIN(100,100*Parametros!$B$5/I756)))</f>
        <v/>
      </c>
      <c r="S756" t="str">
        <f>IF(J756="","",IF(J756=0,100,MIN(100,100*Parametros!$B$6/J756)))</f>
        <v/>
      </c>
      <c r="T756" t="str">
        <f>IF(L756="","",MIN(100,100*L756/Parametros!$B$7))</f>
        <v/>
      </c>
      <c r="U756" t="str">
        <f>IF(K756="","",MIN(100,100*K756/Parametros!$B$8))</f>
        <v/>
      </c>
      <c r="V756" t="str">
        <f ca="1">IFERROR(((AVERAGEIFS(Documentacion!$C$2:$C$1000,Documentacion!$A$2:$A$1000,$A756,Documentacion!$B$2:$B$1000,"&gt;="&amp;DATEVALUE($B756&amp;"-01"),Documentacion!$B$2:$B$1000,"&lt;="&amp;EOMONTH(DATEVALUE($B756&amp;"-01"),0)))-1)/4*100,"")</f>
        <v/>
      </c>
      <c r="W756" t="str">
        <f ca="1">IFERROR(((AVERAGEIFS(Feedback_360!$D$2:$D$1000,Feedback_360!$A$2:$A$1000,$A756,Feedback_360!$B$2:$B$1000,"&gt;="&amp;DATEVALUE($B756&amp;"-01"),Feedback_360!$B$2:$B$1000,"&lt;="&amp;EOMONTH(DATEVALUE($B756&amp;"-01"),0)))-1)/4*100,"")</f>
        <v/>
      </c>
      <c r="X756" t="str">
        <f ca="1">IFERROR(((AVERAGEIFS(Observacion_Directa!$D$2:$D$1000,Observacion_Directa!$A$2:$A$1000,$A756,Observacion_Directa!$B$2:$B$1000,"&gt;="&amp;DATEVALUE($B756&amp;"-01"),Observacion_Directa!$B$2:$B$1000,"&lt;="&amp;EOMONTH(DATEVALUE($B756&amp;"-01"),0)))-1)/4*100,"")</f>
        <v/>
      </c>
      <c r="Y756" t="e">
        <f t="shared" ca="1" si="23"/>
        <v>#DIV/0!</v>
      </c>
    </row>
    <row r="757" spans="12:25" x14ac:dyDescent="0.2">
      <c r="L757" t="str">
        <f t="shared" si="22"/>
        <v/>
      </c>
      <c r="M757" t="str">
        <f>IFERROR(AVERAGEIFS(Prod_5dias!$H$2:$H$1000,Prod_5dias!$A$2:$A$1000,$A757,Prod_5dias!$B$2:$B$1000,$B757),"")</f>
        <v/>
      </c>
      <c r="N757" t="str">
        <f>IF(M757="","",MIN(100,100*M757/Parametros!$B$7))</f>
        <v/>
      </c>
      <c r="O757" t="str">
        <f>IF(F757="","",IF(F757=0,100,MIN(100,100*Parametros!$B$3/F757)))</f>
        <v/>
      </c>
      <c r="P757" t="str">
        <f ca="1">IFERROR(((AVERAGEIFS(Observacion_Directa!$E$2:$E$1000,Observacion_Directa!$A$2:$A$1000,$A757,Observacion_Directa!$B$2:$B$1000,"&gt;="&amp;DATEVALUE($B757&amp;"-01"),Observacion_Directa!$B$2:$B$1000,"&lt;="&amp;EOMONTH(DATEVALUE($B757&amp;"-01"),0)))-1)/4*100,"")</f>
        <v/>
      </c>
      <c r="Q757" t="str">
        <f>IF(H757="","",MIN(100,100*H757/Parametros!$B$4))</f>
        <v/>
      </c>
      <c r="R757" t="str">
        <f>IF(I757="","",IF(I757=0,100,MIN(100,100*Parametros!$B$5/I757)))</f>
        <v/>
      </c>
      <c r="S757" t="str">
        <f>IF(J757="","",IF(J757=0,100,MIN(100,100*Parametros!$B$6/J757)))</f>
        <v/>
      </c>
      <c r="T757" t="str">
        <f>IF(L757="","",MIN(100,100*L757/Parametros!$B$7))</f>
        <v/>
      </c>
      <c r="U757" t="str">
        <f>IF(K757="","",MIN(100,100*K757/Parametros!$B$8))</f>
        <v/>
      </c>
      <c r="V757" t="str">
        <f ca="1">IFERROR(((AVERAGEIFS(Documentacion!$C$2:$C$1000,Documentacion!$A$2:$A$1000,$A757,Documentacion!$B$2:$B$1000,"&gt;="&amp;DATEVALUE($B757&amp;"-01"),Documentacion!$B$2:$B$1000,"&lt;="&amp;EOMONTH(DATEVALUE($B757&amp;"-01"),0)))-1)/4*100,"")</f>
        <v/>
      </c>
      <c r="W757" t="str">
        <f ca="1">IFERROR(((AVERAGEIFS(Feedback_360!$D$2:$D$1000,Feedback_360!$A$2:$A$1000,$A757,Feedback_360!$B$2:$B$1000,"&gt;="&amp;DATEVALUE($B757&amp;"-01"),Feedback_360!$B$2:$B$1000,"&lt;="&amp;EOMONTH(DATEVALUE($B757&amp;"-01"),0)))-1)/4*100,"")</f>
        <v/>
      </c>
      <c r="X757" t="str">
        <f ca="1">IFERROR(((AVERAGEIFS(Observacion_Directa!$D$2:$D$1000,Observacion_Directa!$A$2:$A$1000,$A757,Observacion_Directa!$B$2:$B$1000,"&gt;="&amp;DATEVALUE($B757&amp;"-01"),Observacion_Directa!$B$2:$B$1000,"&lt;="&amp;EOMONTH(DATEVALUE($B757&amp;"-01"),0)))-1)/4*100,"")</f>
        <v/>
      </c>
      <c r="Y757" t="e">
        <f t="shared" ca="1" si="23"/>
        <v>#DIV/0!</v>
      </c>
    </row>
    <row r="758" spans="12:25" x14ac:dyDescent="0.2">
      <c r="L758" t="str">
        <f t="shared" si="22"/>
        <v/>
      </c>
      <c r="M758" t="str">
        <f>IFERROR(AVERAGEIFS(Prod_5dias!$H$2:$H$1000,Prod_5dias!$A$2:$A$1000,$A758,Prod_5dias!$B$2:$B$1000,$B758),"")</f>
        <v/>
      </c>
      <c r="N758" t="str">
        <f>IF(M758="","",MIN(100,100*M758/Parametros!$B$7))</f>
        <v/>
      </c>
      <c r="O758" t="str">
        <f>IF(F758="","",IF(F758=0,100,MIN(100,100*Parametros!$B$3/F758)))</f>
        <v/>
      </c>
      <c r="P758" t="str">
        <f ca="1">IFERROR(((AVERAGEIFS(Observacion_Directa!$E$2:$E$1000,Observacion_Directa!$A$2:$A$1000,$A758,Observacion_Directa!$B$2:$B$1000,"&gt;="&amp;DATEVALUE($B758&amp;"-01"),Observacion_Directa!$B$2:$B$1000,"&lt;="&amp;EOMONTH(DATEVALUE($B758&amp;"-01"),0)))-1)/4*100,"")</f>
        <v/>
      </c>
      <c r="Q758" t="str">
        <f>IF(H758="","",MIN(100,100*H758/Parametros!$B$4))</f>
        <v/>
      </c>
      <c r="R758" t="str">
        <f>IF(I758="","",IF(I758=0,100,MIN(100,100*Parametros!$B$5/I758)))</f>
        <v/>
      </c>
      <c r="S758" t="str">
        <f>IF(J758="","",IF(J758=0,100,MIN(100,100*Parametros!$B$6/J758)))</f>
        <v/>
      </c>
      <c r="T758" t="str">
        <f>IF(L758="","",MIN(100,100*L758/Parametros!$B$7))</f>
        <v/>
      </c>
      <c r="U758" t="str">
        <f>IF(K758="","",MIN(100,100*K758/Parametros!$B$8))</f>
        <v/>
      </c>
      <c r="V758" t="str">
        <f ca="1">IFERROR(((AVERAGEIFS(Documentacion!$C$2:$C$1000,Documentacion!$A$2:$A$1000,$A758,Documentacion!$B$2:$B$1000,"&gt;="&amp;DATEVALUE($B758&amp;"-01"),Documentacion!$B$2:$B$1000,"&lt;="&amp;EOMONTH(DATEVALUE($B758&amp;"-01"),0)))-1)/4*100,"")</f>
        <v/>
      </c>
      <c r="W758" t="str">
        <f ca="1">IFERROR(((AVERAGEIFS(Feedback_360!$D$2:$D$1000,Feedback_360!$A$2:$A$1000,$A758,Feedback_360!$B$2:$B$1000,"&gt;="&amp;DATEVALUE($B758&amp;"-01"),Feedback_360!$B$2:$B$1000,"&lt;="&amp;EOMONTH(DATEVALUE($B758&amp;"-01"),0)))-1)/4*100,"")</f>
        <v/>
      </c>
      <c r="X758" t="str">
        <f ca="1">IFERROR(((AVERAGEIFS(Observacion_Directa!$D$2:$D$1000,Observacion_Directa!$A$2:$A$1000,$A758,Observacion_Directa!$B$2:$B$1000,"&gt;="&amp;DATEVALUE($B758&amp;"-01"),Observacion_Directa!$B$2:$B$1000,"&lt;="&amp;EOMONTH(DATEVALUE($B758&amp;"-01"),0)))-1)/4*100,"")</f>
        <v/>
      </c>
      <c r="Y758" t="e">
        <f t="shared" ca="1" si="23"/>
        <v>#DIV/0!</v>
      </c>
    </row>
    <row r="759" spans="12:25" x14ac:dyDescent="0.2">
      <c r="L759" t="str">
        <f t="shared" si="22"/>
        <v/>
      </c>
      <c r="M759" t="str">
        <f>IFERROR(AVERAGEIFS(Prod_5dias!$H$2:$H$1000,Prod_5dias!$A$2:$A$1000,$A759,Prod_5dias!$B$2:$B$1000,$B759),"")</f>
        <v/>
      </c>
      <c r="N759" t="str">
        <f>IF(M759="","",MIN(100,100*M759/Parametros!$B$7))</f>
        <v/>
      </c>
      <c r="O759" t="str">
        <f>IF(F759="","",IF(F759=0,100,MIN(100,100*Parametros!$B$3/F759)))</f>
        <v/>
      </c>
      <c r="P759" t="str">
        <f ca="1">IFERROR(((AVERAGEIFS(Observacion_Directa!$E$2:$E$1000,Observacion_Directa!$A$2:$A$1000,$A759,Observacion_Directa!$B$2:$B$1000,"&gt;="&amp;DATEVALUE($B759&amp;"-01"),Observacion_Directa!$B$2:$B$1000,"&lt;="&amp;EOMONTH(DATEVALUE($B759&amp;"-01"),0)))-1)/4*100,"")</f>
        <v/>
      </c>
      <c r="Q759" t="str">
        <f>IF(H759="","",MIN(100,100*H759/Parametros!$B$4))</f>
        <v/>
      </c>
      <c r="R759" t="str">
        <f>IF(I759="","",IF(I759=0,100,MIN(100,100*Parametros!$B$5/I759)))</f>
        <v/>
      </c>
      <c r="S759" t="str">
        <f>IF(J759="","",IF(J759=0,100,MIN(100,100*Parametros!$B$6/J759)))</f>
        <v/>
      </c>
      <c r="T759" t="str">
        <f>IF(L759="","",MIN(100,100*L759/Parametros!$B$7))</f>
        <v/>
      </c>
      <c r="U759" t="str">
        <f>IF(K759="","",MIN(100,100*K759/Parametros!$B$8))</f>
        <v/>
      </c>
      <c r="V759" t="str">
        <f ca="1">IFERROR(((AVERAGEIFS(Documentacion!$C$2:$C$1000,Documentacion!$A$2:$A$1000,$A759,Documentacion!$B$2:$B$1000,"&gt;="&amp;DATEVALUE($B759&amp;"-01"),Documentacion!$B$2:$B$1000,"&lt;="&amp;EOMONTH(DATEVALUE($B759&amp;"-01"),0)))-1)/4*100,"")</f>
        <v/>
      </c>
      <c r="W759" t="str">
        <f ca="1">IFERROR(((AVERAGEIFS(Feedback_360!$D$2:$D$1000,Feedback_360!$A$2:$A$1000,$A759,Feedback_360!$B$2:$B$1000,"&gt;="&amp;DATEVALUE($B759&amp;"-01"),Feedback_360!$B$2:$B$1000,"&lt;="&amp;EOMONTH(DATEVALUE($B759&amp;"-01"),0)))-1)/4*100,"")</f>
        <v/>
      </c>
      <c r="X759" t="str">
        <f ca="1">IFERROR(((AVERAGEIFS(Observacion_Directa!$D$2:$D$1000,Observacion_Directa!$A$2:$A$1000,$A759,Observacion_Directa!$B$2:$B$1000,"&gt;="&amp;DATEVALUE($B759&amp;"-01"),Observacion_Directa!$B$2:$B$1000,"&lt;="&amp;EOMONTH(DATEVALUE($B759&amp;"-01"),0)))-1)/4*100,"")</f>
        <v/>
      </c>
      <c r="Y759" t="e">
        <f t="shared" ca="1" si="23"/>
        <v>#DIV/0!</v>
      </c>
    </row>
    <row r="760" spans="12:25" x14ac:dyDescent="0.2">
      <c r="L760" t="str">
        <f t="shared" si="22"/>
        <v/>
      </c>
      <c r="M760" t="str">
        <f>IFERROR(AVERAGEIFS(Prod_5dias!$H$2:$H$1000,Prod_5dias!$A$2:$A$1000,$A760,Prod_5dias!$B$2:$B$1000,$B760),"")</f>
        <v/>
      </c>
      <c r="N760" t="str">
        <f>IF(M760="","",MIN(100,100*M760/Parametros!$B$7))</f>
        <v/>
      </c>
      <c r="O760" t="str">
        <f>IF(F760="","",IF(F760=0,100,MIN(100,100*Parametros!$B$3/F760)))</f>
        <v/>
      </c>
      <c r="P760" t="str">
        <f ca="1">IFERROR(((AVERAGEIFS(Observacion_Directa!$E$2:$E$1000,Observacion_Directa!$A$2:$A$1000,$A760,Observacion_Directa!$B$2:$B$1000,"&gt;="&amp;DATEVALUE($B760&amp;"-01"),Observacion_Directa!$B$2:$B$1000,"&lt;="&amp;EOMONTH(DATEVALUE($B760&amp;"-01"),0)))-1)/4*100,"")</f>
        <v/>
      </c>
      <c r="Q760" t="str">
        <f>IF(H760="","",MIN(100,100*H760/Parametros!$B$4))</f>
        <v/>
      </c>
      <c r="R760" t="str">
        <f>IF(I760="","",IF(I760=0,100,MIN(100,100*Parametros!$B$5/I760)))</f>
        <v/>
      </c>
      <c r="S760" t="str">
        <f>IF(J760="","",IF(J760=0,100,MIN(100,100*Parametros!$B$6/J760)))</f>
        <v/>
      </c>
      <c r="T760" t="str">
        <f>IF(L760="","",MIN(100,100*L760/Parametros!$B$7))</f>
        <v/>
      </c>
      <c r="U760" t="str">
        <f>IF(K760="","",MIN(100,100*K760/Parametros!$B$8))</f>
        <v/>
      </c>
      <c r="V760" t="str">
        <f ca="1">IFERROR(((AVERAGEIFS(Documentacion!$C$2:$C$1000,Documentacion!$A$2:$A$1000,$A760,Documentacion!$B$2:$B$1000,"&gt;="&amp;DATEVALUE($B760&amp;"-01"),Documentacion!$B$2:$B$1000,"&lt;="&amp;EOMONTH(DATEVALUE($B760&amp;"-01"),0)))-1)/4*100,"")</f>
        <v/>
      </c>
      <c r="W760" t="str">
        <f ca="1">IFERROR(((AVERAGEIFS(Feedback_360!$D$2:$D$1000,Feedback_360!$A$2:$A$1000,$A760,Feedback_360!$B$2:$B$1000,"&gt;="&amp;DATEVALUE($B760&amp;"-01"),Feedback_360!$B$2:$B$1000,"&lt;="&amp;EOMONTH(DATEVALUE($B760&amp;"-01"),0)))-1)/4*100,"")</f>
        <v/>
      </c>
      <c r="X760" t="str">
        <f ca="1">IFERROR(((AVERAGEIFS(Observacion_Directa!$D$2:$D$1000,Observacion_Directa!$A$2:$A$1000,$A760,Observacion_Directa!$B$2:$B$1000,"&gt;="&amp;DATEVALUE($B760&amp;"-01"),Observacion_Directa!$B$2:$B$1000,"&lt;="&amp;EOMONTH(DATEVALUE($B760&amp;"-01"),0)))-1)/4*100,"")</f>
        <v/>
      </c>
      <c r="Y760" t="e">
        <f t="shared" ca="1" si="23"/>
        <v>#DIV/0!</v>
      </c>
    </row>
    <row r="761" spans="12:25" x14ac:dyDescent="0.2">
      <c r="L761" t="str">
        <f t="shared" si="22"/>
        <v/>
      </c>
      <c r="M761" t="str">
        <f>IFERROR(AVERAGEIFS(Prod_5dias!$H$2:$H$1000,Prod_5dias!$A$2:$A$1000,$A761,Prod_5dias!$B$2:$B$1000,$B761),"")</f>
        <v/>
      </c>
      <c r="N761" t="str">
        <f>IF(M761="","",MIN(100,100*M761/Parametros!$B$7))</f>
        <v/>
      </c>
      <c r="O761" t="str">
        <f>IF(F761="","",IF(F761=0,100,MIN(100,100*Parametros!$B$3/F761)))</f>
        <v/>
      </c>
      <c r="P761" t="str">
        <f ca="1">IFERROR(((AVERAGEIFS(Observacion_Directa!$E$2:$E$1000,Observacion_Directa!$A$2:$A$1000,$A761,Observacion_Directa!$B$2:$B$1000,"&gt;="&amp;DATEVALUE($B761&amp;"-01"),Observacion_Directa!$B$2:$B$1000,"&lt;="&amp;EOMONTH(DATEVALUE($B761&amp;"-01"),0)))-1)/4*100,"")</f>
        <v/>
      </c>
      <c r="Q761" t="str">
        <f>IF(H761="","",MIN(100,100*H761/Parametros!$B$4))</f>
        <v/>
      </c>
      <c r="R761" t="str">
        <f>IF(I761="","",IF(I761=0,100,MIN(100,100*Parametros!$B$5/I761)))</f>
        <v/>
      </c>
      <c r="S761" t="str">
        <f>IF(J761="","",IF(J761=0,100,MIN(100,100*Parametros!$B$6/J761)))</f>
        <v/>
      </c>
      <c r="T761" t="str">
        <f>IF(L761="","",MIN(100,100*L761/Parametros!$B$7))</f>
        <v/>
      </c>
      <c r="U761" t="str">
        <f>IF(K761="","",MIN(100,100*K761/Parametros!$B$8))</f>
        <v/>
      </c>
      <c r="V761" t="str">
        <f ca="1">IFERROR(((AVERAGEIFS(Documentacion!$C$2:$C$1000,Documentacion!$A$2:$A$1000,$A761,Documentacion!$B$2:$B$1000,"&gt;="&amp;DATEVALUE($B761&amp;"-01"),Documentacion!$B$2:$B$1000,"&lt;="&amp;EOMONTH(DATEVALUE($B761&amp;"-01"),0)))-1)/4*100,"")</f>
        <v/>
      </c>
      <c r="W761" t="str">
        <f ca="1">IFERROR(((AVERAGEIFS(Feedback_360!$D$2:$D$1000,Feedback_360!$A$2:$A$1000,$A761,Feedback_360!$B$2:$B$1000,"&gt;="&amp;DATEVALUE($B761&amp;"-01"),Feedback_360!$B$2:$B$1000,"&lt;="&amp;EOMONTH(DATEVALUE($B761&amp;"-01"),0)))-1)/4*100,"")</f>
        <v/>
      </c>
      <c r="X761" t="str">
        <f ca="1">IFERROR(((AVERAGEIFS(Observacion_Directa!$D$2:$D$1000,Observacion_Directa!$A$2:$A$1000,$A761,Observacion_Directa!$B$2:$B$1000,"&gt;="&amp;DATEVALUE($B761&amp;"-01"),Observacion_Directa!$B$2:$B$1000,"&lt;="&amp;EOMONTH(DATEVALUE($B761&amp;"-01"),0)))-1)/4*100,"")</f>
        <v/>
      </c>
      <c r="Y761" t="e">
        <f t="shared" ca="1" si="23"/>
        <v>#DIV/0!</v>
      </c>
    </row>
    <row r="762" spans="12:25" x14ac:dyDescent="0.2">
      <c r="L762" t="str">
        <f t="shared" si="22"/>
        <v/>
      </c>
      <c r="M762" t="str">
        <f>IFERROR(AVERAGEIFS(Prod_5dias!$H$2:$H$1000,Prod_5dias!$A$2:$A$1000,$A762,Prod_5dias!$B$2:$B$1000,$B762),"")</f>
        <v/>
      </c>
      <c r="N762" t="str">
        <f>IF(M762="","",MIN(100,100*M762/Parametros!$B$7))</f>
        <v/>
      </c>
      <c r="O762" t="str">
        <f>IF(F762="","",IF(F762=0,100,MIN(100,100*Parametros!$B$3/F762)))</f>
        <v/>
      </c>
      <c r="P762" t="str">
        <f ca="1">IFERROR(((AVERAGEIFS(Observacion_Directa!$E$2:$E$1000,Observacion_Directa!$A$2:$A$1000,$A762,Observacion_Directa!$B$2:$B$1000,"&gt;="&amp;DATEVALUE($B762&amp;"-01"),Observacion_Directa!$B$2:$B$1000,"&lt;="&amp;EOMONTH(DATEVALUE($B762&amp;"-01"),0)))-1)/4*100,"")</f>
        <v/>
      </c>
      <c r="Q762" t="str">
        <f>IF(H762="","",MIN(100,100*H762/Parametros!$B$4))</f>
        <v/>
      </c>
      <c r="R762" t="str">
        <f>IF(I762="","",IF(I762=0,100,MIN(100,100*Parametros!$B$5/I762)))</f>
        <v/>
      </c>
      <c r="S762" t="str">
        <f>IF(J762="","",IF(J762=0,100,MIN(100,100*Parametros!$B$6/J762)))</f>
        <v/>
      </c>
      <c r="T762" t="str">
        <f>IF(L762="","",MIN(100,100*L762/Parametros!$B$7))</f>
        <v/>
      </c>
      <c r="U762" t="str">
        <f>IF(K762="","",MIN(100,100*K762/Parametros!$B$8))</f>
        <v/>
      </c>
      <c r="V762" t="str">
        <f ca="1">IFERROR(((AVERAGEIFS(Documentacion!$C$2:$C$1000,Documentacion!$A$2:$A$1000,$A762,Documentacion!$B$2:$B$1000,"&gt;="&amp;DATEVALUE($B762&amp;"-01"),Documentacion!$B$2:$B$1000,"&lt;="&amp;EOMONTH(DATEVALUE($B762&amp;"-01"),0)))-1)/4*100,"")</f>
        <v/>
      </c>
      <c r="W762" t="str">
        <f ca="1">IFERROR(((AVERAGEIFS(Feedback_360!$D$2:$D$1000,Feedback_360!$A$2:$A$1000,$A762,Feedback_360!$B$2:$B$1000,"&gt;="&amp;DATEVALUE($B762&amp;"-01"),Feedback_360!$B$2:$B$1000,"&lt;="&amp;EOMONTH(DATEVALUE($B762&amp;"-01"),0)))-1)/4*100,"")</f>
        <v/>
      </c>
      <c r="X762" t="str">
        <f ca="1">IFERROR(((AVERAGEIFS(Observacion_Directa!$D$2:$D$1000,Observacion_Directa!$A$2:$A$1000,$A762,Observacion_Directa!$B$2:$B$1000,"&gt;="&amp;DATEVALUE($B762&amp;"-01"),Observacion_Directa!$B$2:$B$1000,"&lt;="&amp;EOMONTH(DATEVALUE($B762&amp;"-01"),0)))-1)/4*100,"")</f>
        <v/>
      </c>
      <c r="Y762" t="e">
        <f t="shared" ca="1" si="23"/>
        <v>#DIV/0!</v>
      </c>
    </row>
    <row r="763" spans="12:25" x14ac:dyDescent="0.2">
      <c r="L763" t="str">
        <f t="shared" si="22"/>
        <v/>
      </c>
      <c r="M763" t="str">
        <f>IFERROR(AVERAGEIFS(Prod_5dias!$H$2:$H$1000,Prod_5dias!$A$2:$A$1000,$A763,Prod_5dias!$B$2:$B$1000,$B763),"")</f>
        <v/>
      </c>
      <c r="N763" t="str">
        <f>IF(M763="","",MIN(100,100*M763/Parametros!$B$7))</f>
        <v/>
      </c>
      <c r="O763" t="str">
        <f>IF(F763="","",IF(F763=0,100,MIN(100,100*Parametros!$B$3/F763)))</f>
        <v/>
      </c>
      <c r="P763" t="str">
        <f ca="1">IFERROR(((AVERAGEIFS(Observacion_Directa!$E$2:$E$1000,Observacion_Directa!$A$2:$A$1000,$A763,Observacion_Directa!$B$2:$B$1000,"&gt;="&amp;DATEVALUE($B763&amp;"-01"),Observacion_Directa!$B$2:$B$1000,"&lt;="&amp;EOMONTH(DATEVALUE($B763&amp;"-01"),0)))-1)/4*100,"")</f>
        <v/>
      </c>
      <c r="Q763" t="str">
        <f>IF(H763="","",MIN(100,100*H763/Parametros!$B$4))</f>
        <v/>
      </c>
      <c r="R763" t="str">
        <f>IF(I763="","",IF(I763=0,100,MIN(100,100*Parametros!$B$5/I763)))</f>
        <v/>
      </c>
      <c r="S763" t="str">
        <f>IF(J763="","",IF(J763=0,100,MIN(100,100*Parametros!$B$6/J763)))</f>
        <v/>
      </c>
      <c r="T763" t="str">
        <f>IF(L763="","",MIN(100,100*L763/Parametros!$B$7))</f>
        <v/>
      </c>
      <c r="U763" t="str">
        <f>IF(K763="","",MIN(100,100*K763/Parametros!$B$8))</f>
        <v/>
      </c>
      <c r="V763" t="str">
        <f ca="1">IFERROR(((AVERAGEIFS(Documentacion!$C$2:$C$1000,Documentacion!$A$2:$A$1000,$A763,Documentacion!$B$2:$B$1000,"&gt;="&amp;DATEVALUE($B763&amp;"-01"),Documentacion!$B$2:$B$1000,"&lt;="&amp;EOMONTH(DATEVALUE($B763&amp;"-01"),0)))-1)/4*100,"")</f>
        <v/>
      </c>
      <c r="W763" t="str">
        <f ca="1">IFERROR(((AVERAGEIFS(Feedback_360!$D$2:$D$1000,Feedback_360!$A$2:$A$1000,$A763,Feedback_360!$B$2:$B$1000,"&gt;="&amp;DATEVALUE($B763&amp;"-01"),Feedback_360!$B$2:$B$1000,"&lt;="&amp;EOMONTH(DATEVALUE($B763&amp;"-01"),0)))-1)/4*100,"")</f>
        <v/>
      </c>
      <c r="X763" t="str">
        <f ca="1">IFERROR(((AVERAGEIFS(Observacion_Directa!$D$2:$D$1000,Observacion_Directa!$A$2:$A$1000,$A763,Observacion_Directa!$B$2:$B$1000,"&gt;="&amp;DATEVALUE($B763&amp;"-01"),Observacion_Directa!$B$2:$B$1000,"&lt;="&amp;EOMONTH(DATEVALUE($B763&amp;"-01"),0)))-1)/4*100,"")</f>
        <v/>
      </c>
      <c r="Y763" t="e">
        <f t="shared" ca="1" si="23"/>
        <v>#DIV/0!</v>
      </c>
    </row>
    <row r="764" spans="12:25" x14ac:dyDescent="0.2">
      <c r="L764" t="str">
        <f t="shared" si="22"/>
        <v/>
      </c>
      <c r="M764" t="str">
        <f>IFERROR(AVERAGEIFS(Prod_5dias!$H$2:$H$1000,Prod_5dias!$A$2:$A$1000,$A764,Prod_5dias!$B$2:$B$1000,$B764),"")</f>
        <v/>
      </c>
      <c r="N764" t="str">
        <f>IF(M764="","",MIN(100,100*M764/Parametros!$B$7))</f>
        <v/>
      </c>
      <c r="O764" t="str">
        <f>IF(F764="","",IF(F764=0,100,MIN(100,100*Parametros!$B$3/F764)))</f>
        <v/>
      </c>
      <c r="P764" t="str">
        <f ca="1">IFERROR(((AVERAGEIFS(Observacion_Directa!$E$2:$E$1000,Observacion_Directa!$A$2:$A$1000,$A764,Observacion_Directa!$B$2:$B$1000,"&gt;="&amp;DATEVALUE($B764&amp;"-01"),Observacion_Directa!$B$2:$B$1000,"&lt;="&amp;EOMONTH(DATEVALUE($B764&amp;"-01"),0)))-1)/4*100,"")</f>
        <v/>
      </c>
      <c r="Q764" t="str">
        <f>IF(H764="","",MIN(100,100*H764/Parametros!$B$4))</f>
        <v/>
      </c>
      <c r="R764" t="str">
        <f>IF(I764="","",IF(I764=0,100,MIN(100,100*Parametros!$B$5/I764)))</f>
        <v/>
      </c>
      <c r="S764" t="str">
        <f>IF(J764="","",IF(J764=0,100,MIN(100,100*Parametros!$B$6/J764)))</f>
        <v/>
      </c>
      <c r="T764" t="str">
        <f>IF(L764="","",MIN(100,100*L764/Parametros!$B$7))</f>
        <v/>
      </c>
      <c r="U764" t="str">
        <f>IF(K764="","",MIN(100,100*K764/Parametros!$B$8))</f>
        <v/>
      </c>
      <c r="V764" t="str">
        <f ca="1">IFERROR(((AVERAGEIFS(Documentacion!$C$2:$C$1000,Documentacion!$A$2:$A$1000,$A764,Documentacion!$B$2:$B$1000,"&gt;="&amp;DATEVALUE($B764&amp;"-01"),Documentacion!$B$2:$B$1000,"&lt;="&amp;EOMONTH(DATEVALUE($B764&amp;"-01"),0)))-1)/4*100,"")</f>
        <v/>
      </c>
      <c r="W764" t="str">
        <f ca="1">IFERROR(((AVERAGEIFS(Feedback_360!$D$2:$D$1000,Feedback_360!$A$2:$A$1000,$A764,Feedback_360!$B$2:$B$1000,"&gt;="&amp;DATEVALUE($B764&amp;"-01"),Feedback_360!$B$2:$B$1000,"&lt;="&amp;EOMONTH(DATEVALUE($B764&amp;"-01"),0)))-1)/4*100,"")</f>
        <v/>
      </c>
      <c r="X764" t="str">
        <f ca="1">IFERROR(((AVERAGEIFS(Observacion_Directa!$D$2:$D$1000,Observacion_Directa!$A$2:$A$1000,$A764,Observacion_Directa!$B$2:$B$1000,"&gt;="&amp;DATEVALUE($B764&amp;"-01"),Observacion_Directa!$B$2:$B$1000,"&lt;="&amp;EOMONTH(DATEVALUE($B764&amp;"-01"),0)))-1)/4*100,"")</f>
        <v/>
      </c>
      <c r="Y764" t="e">
        <f t="shared" ca="1" si="23"/>
        <v>#DIV/0!</v>
      </c>
    </row>
    <row r="765" spans="12:25" x14ac:dyDescent="0.2">
      <c r="L765" t="str">
        <f t="shared" si="22"/>
        <v/>
      </c>
      <c r="M765" t="str">
        <f>IFERROR(AVERAGEIFS(Prod_5dias!$H$2:$H$1000,Prod_5dias!$A$2:$A$1000,$A765,Prod_5dias!$B$2:$B$1000,$B765),"")</f>
        <v/>
      </c>
      <c r="N765" t="str">
        <f>IF(M765="","",MIN(100,100*M765/Parametros!$B$7))</f>
        <v/>
      </c>
      <c r="O765" t="str">
        <f>IF(F765="","",IF(F765=0,100,MIN(100,100*Parametros!$B$3/F765)))</f>
        <v/>
      </c>
      <c r="P765" t="str">
        <f ca="1">IFERROR(((AVERAGEIFS(Observacion_Directa!$E$2:$E$1000,Observacion_Directa!$A$2:$A$1000,$A765,Observacion_Directa!$B$2:$B$1000,"&gt;="&amp;DATEVALUE($B765&amp;"-01"),Observacion_Directa!$B$2:$B$1000,"&lt;="&amp;EOMONTH(DATEVALUE($B765&amp;"-01"),0)))-1)/4*100,"")</f>
        <v/>
      </c>
      <c r="Q765" t="str">
        <f>IF(H765="","",MIN(100,100*H765/Parametros!$B$4))</f>
        <v/>
      </c>
      <c r="R765" t="str">
        <f>IF(I765="","",IF(I765=0,100,MIN(100,100*Parametros!$B$5/I765)))</f>
        <v/>
      </c>
      <c r="S765" t="str">
        <f>IF(J765="","",IF(J765=0,100,MIN(100,100*Parametros!$B$6/J765)))</f>
        <v/>
      </c>
      <c r="T765" t="str">
        <f>IF(L765="","",MIN(100,100*L765/Parametros!$B$7))</f>
        <v/>
      </c>
      <c r="U765" t="str">
        <f>IF(K765="","",MIN(100,100*K765/Parametros!$B$8))</f>
        <v/>
      </c>
      <c r="V765" t="str">
        <f ca="1">IFERROR(((AVERAGEIFS(Documentacion!$C$2:$C$1000,Documentacion!$A$2:$A$1000,$A765,Documentacion!$B$2:$B$1000,"&gt;="&amp;DATEVALUE($B765&amp;"-01"),Documentacion!$B$2:$B$1000,"&lt;="&amp;EOMONTH(DATEVALUE($B765&amp;"-01"),0)))-1)/4*100,"")</f>
        <v/>
      </c>
      <c r="W765" t="str">
        <f ca="1">IFERROR(((AVERAGEIFS(Feedback_360!$D$2:$D$1000,Feedback_360!$A$2:$A$1000,$A765,Feedback_360!$B$2:$B$1000,"&gt;="&amp;DATEVALUE($B765&amp;"-01"),Feedback_360!$B$2:$B$1000,"&lt;="&amp;EOMONTH(DATEVALUE($B765&amp;"-01"),0)))-1)/4*100,"")</f>
        <v/>
      </c>
      <c r="X765" t="str">
        <f ca="1">IFERROR(((AVERAGEIFS(Observacion_Directa!$D$2:$D$1000,Observacion_Directa!$A$2:$A$1000,$A765,Observacion_Directa!$B$2:$B$1000,"&gt;="&amp;DATEVALUE($B765&amp;"-01"),Observacion_Directa!$B$2:$B$1000,"&lt;="&amp;EOMONTH(DATEVALUE($B765&amp;"-01"),0)))-1)/4*100,"")</f>
        <v/>
      </c>
      <c r="Y765" t="e">
        <f t="shared" ca="1" si="23"/>
        <v>#DIV/0!</v>
      </c>
    </row>
    <row r="766" spans="12:25" x14ac:dyDescent="0.2">
      <c r="L766" t="str">
        <f t="shared" si="22"/>
        <v/>
      </c>
      <c r="M766" t="str">
        <f>IFERROR(AVERAGEIFS(Prod_5dias!$H$2:$H$1000,Prod_5dias!$A$2:$A$1000,$A766,Prod_5dias!$B$2:$B$1000,$B766),"")</f>
        <v/>
      </c>
      <c r="N766" t="str">
        <f>IF(M766="","",MIN(100,100*M766/Parametros!$B$7))</f>
        <v/>
      </c>
      <c r="O766" t="str">
        <f>IF(F766="","",IF(F766=0,100,MIN(100,100*Parametros!$B$3/F766)))</f>
        <v/>
      </c>
      <c r="P766" t="str">
        <f ca="1">IFERROR(((AVERAGEIFS(Observacion_Directa!$E$2:$E$1000,Observacion_Directa!$A$2:$A$1000,$A766,Observacion_Directa!$B$2:$B$1000,"&gt;="&amp;DATEVALUE($B766&amp;"-01"),Observacion_Directa!$B$2:$B$1000,"&lt;="&amp;EOMONTH(DATEVALUE($B766&amp;"-01"),0)))-1)/4*100,"")</f>
        <v/>
      </c>
      <c r="Q766" t="str">
        <f>IF(H766="","",MIN(100,100*H766/Parametros!$B$4))</f>
        <v/>
      </c>
      <c r="R766" t="str">
        <f>IF(I766="","",IF(I766=0,100,MIN(100,100*Parametros!$B$5/I766)))</f>
        <v/>
      </c>
      <c r="S766" t="str">
        <f>IF(J766="","",IF(J766=0,100,MIN(100,100*Parametros!$B$6/J766)))</f>
        <v/>
      </c>
      <c r="T766" t="str">
        <f>IF(L766="","",MIN(100,100*L766/Parametros!$B$7))</f>
        <v/>
      </c>
      <c r="U766" t="str">
        <f>IF(K766="","",MIN(100,100*K766/Parametros!$B$8))</f>
        <v/>
      </c>
      <c r="V766" t="str">
        <f ca="1">IFERROR(((AVERAGEIFS(Documentacion!$C$2:$C$1000,Documentacion!$A$2:$A$1000,$A766,Documentacion!$B$2:$B$1000,"&gt;="&amp;DATEVALUE($B766&amp;"-01"),Documentacion!$B$2:$B$1000,"&lt;="&amp;EOMONTH(DATEVALUE($B766&amp;"-01"),0)))-1)/4*100,"")</f>
        <v/>
      </c>
      <c r="W766" t="str">
        <f ca="1">IFERROR(((AVERAGEIFS(Feedback_360!$D$2:$D$1000,Feedback_360!$A$2:$A$1000,$A766,Feedback_360!$B$2:$B$1000,"&gt;="&amp;DATEVALUE($B766&amp;"-01"),Feedback_360!$B$2:$B$1000,"&lt;="&amp;EOMONTH(DATEVALUE($B766&amp;"-01"),0)))-1)/4*100,"")</f>
        <v/>
      </c>
      <c r="X766" t="str">
        <f ca="1">IFERROR(((AVERAGEIFS(Observacion_Directa!$D$2:$D$1000,Observacion_Directa!$A$2:$A$1000,$A766,Observacion_Directa!$B$2:$B$1000,"&gt;="&amp;DATEVALUE($B766&amp;"-01"),Observacion_Directa!$B$2:$B$1000,"&lt;="&amp;EOMONTH(DATEVALUE($B766&amp;"-01"),0)))-1)/4*100,"")</f>
        <v/>
      </c>
      <c r="Y766" t="e">
        <f t="shared" ca="1" si="23"/>
        <v>#DIV/0!</v>
      </c>
    </row>
    <row r="767" spans="12:25" x14ac:dyDescent="0.2">
      <c r="L767" t="str">
        <f t="shared" si="22"/>
        <v/>
      </c>
      <c r="M767" t="str">
        <f>IFERROR(AVERAGEIFS(Prod_5dias!$H$2:$H$1000,Prod_5dias!$A$2:$A$1000,$A767,Prod_5dias!$B$2:$B$1000,$B767),"")</f>
        <v/>
      </c>
      <c r="N767" t="str">
        <f>IF(M767="","",MIN(100,100*M767/Parametros!$B$7))</f>
        <v/>
      </c>
      <c r="O767" t="str">
        <f>IF(F767="","",IF(F767=0,100,MIN(100,100*Parametros!$B$3/F767)))</f>
        <v/>
      </c>
      <c r="P767" t="str">
        <f ca="1">IFERROR(((AVERAGEIFS(Observacion_Directa!$E$2:$E$1000,Observacion_Directa!$A$2:$A$1000,$A767,Observacion_Directa!$B$2:$B$1000,"&gt;="&amp;DATEVALUE($B767&amp;"-01"),Observacion_Directa!$B$2:$B$1000,"&lt;="&amp;EOMONTH(DATEVALUE($B767&amp;"-01"),0)))-1)/4*100,"")</f>
        <v/>
      </c>
      <c r="Q767" t="str">
        <f>IF(H767="","",MIN(100,100*H767/Parametros!$B$4))</f>
        <v/>
      </c>
      <c r="R767" t="str">
        <f>IF(I767="","",IF(I767=0,100,MIN(100,100*Parametros!$B$5/I767)))</f>
        <v/>
      </c>
      <c r="S767" t="str">
        <f>IF(J767="","",IF(J767=0,100,MIN(100,100*Parametros!$B$6/J767)))</f>
        <v/>
      </c>
      <c r="T767" t="str">
        <f>IF(L767="","",MIN(100,100*L767/Parametros!$B$7))</f>
        <v/>
      </c>
      <c r="U767" t="str">
        <f>IF(K767="","",MIN(100,100*K767/Parametros!$B$8))</f>
        <v/>
      </c>
      <c r="V767" t="str">
        <f ca="1">IFERROR(((AVERAGEIFS(Documentacion!$C$2:$C$1000,Documentacion!$A$2:$A$1000,$A767,Documentacion!$B$2:$B$1000,"&gt;="&amp;DATEVALUE($B767&amp;"-01"),Documentacion!$B$2:$B$1000,"&lt;="&amp;EOMONTH(DATEVALUE($B767&amp;"-01"),0)))-1)/4*100,"")</f>
        <v/>
      </c>
      <c r="W767" t="str">
        <f ca="1">IFERROR(((AVERAGEIFS(Feedback_360!$D$2:$D$1000,Feedback_360!$A$2:$A$1000,$A767,Feedback_360!$B$2:$B$1000,"&gt;="&amp;DATEVALUE($B767&amp;"-01"),Feedback_360!$B$2:$B$1000,"&lt;="&amp;EOMONTH(DATEVALUE($B767&amp;"-01"),0)))-1)/4*100,"")</f>
        <v/>
      </c>
      <c r="X767" t="str">
        <f ca="1">IFERROR(((AVERAGEIFS(Observacion_Directa!$D$2:$D$1000,Observacion_Directa!$A$2:$A$1000,$A767,Observacion_Directa!$B$2:$B$1000,"&gt;="&amp;DATEVALUE($B767&amp;"-01"),Observacion_Directa!$B$2:$B$1000,"&lt;="&amp;EOMONTH(DATEVALUE($B767&amp;"-01"),0)))-1)/4*100,"")</f>
        <v/>
      </c>
      <c r="Y767" t="e">
        <f t="shared" ca="1" si="23"/>
        <v>#DIV/0!</v>
      </c>
    </row>
    <row r="768" spans="12:25" x14ac:dyDescent="0.2">
      <c r="L768" t="str">
        <f t="shared" si="22"/>
        <v/>
      </c>
      <c r="M768" t="str">
        <f>IFERROR(AVERAGEIFS(Prod_5dias!$H$2:$H$1000,Prod_5dias!$A$2:$A$1000,$A768,Prod_5dias!$B$2:$B$1000,$B768),"")</f>
        <v/>
      </c>
      <c r="N768" t="str">
        <f>IF(M768="","",MIN(100,100*M768/Parametros!$B$7))</f>
        <v/>
      </c>
      <c r="O768" t="str">
        <f>IF(F768="","",IF(F768=0,100,MIN(100,100*Parametros!$B$3/F768)))</f>
        <v/>
      </c>
      <c r="P768" t="str">
        <f ca="1">IFERROR(((AVERAGEIFS(Observacion_Directa!$E$2:$E$1000,Observacion_Directa!$A$2:$A$1000,$A768,Observacion_Directa!$B$2:$B$1000,"&gt;="&amp;DATEVALUE($B768&amp;"-01"),Observacion_Directa!$B$2:$B$1000,"&lt;="&amp;EOMONTH(DATEVALUE($B768&amp;"-01"),0)))-1)/4*100,"")</f>
        <v/>
      </c>
      <c r="Q768" t="str">
        <f>IF(H768="","",MIN(100,100*H768/Parametros!$B$4))</f>
        <v/>
      </c>
      <c r="R768" t="str">
        <f>IF(I768="","",IF(I768=0,100,MIN(100,100*Parametros!$B$5/I768)))</f>
        <v/>
      </c>
      <c r="S768" t="str">
        <f>IF(J768="","",IF(J768=0,100,MIN(100,100*Parametros!$B$6/J768)))</f>
        <v/>
      </c>
      <c r="T768" t="str">
        <f>IF(L768="","",MIN(100,100*L768/Parametros!$B$7))</f>
        <v/>
      </c>
      <c r="U768" t="str">
        <f>IF(K768="","",MIN(100,100*K768/Parametros!$B$8))</f>
        <v/>
      </c>
      <c r="V768" t="str">
        <f ca="1">IFERROR(((AVERAGEIFS(Documentacion!$C$2:$C$1000,Documentacion!$A$2:$A$1000,$A768,Documentacion!$B$2:$B$1000,"&gt;="&amp;DATEVALUE($B768&amp;"-01"),Documentacion!$B$2:$B$1000,"&lt;="&amp;EOMONTH(DATEVALUE($B768&amp;"-01"),0)))-1)/4*100,"")</f>
        <v/>
      </c>
      <c r="W768" t="str">
        <f ca="1">IFERROR(((AVERAGEIFS(Feedback_360!$D$2:$D$1000,Feedback_360!$A$2:$A$1000,$A768,Feedback_360!$B$2:$B$1000,"&gt;="&amp;DATEVALUE($B768&amp;"-01"),Feedback_360!$B$2:$B$1000,"&lt;="&amp;EOMONTH(DATEVALUE($B768&amp;"-01"),0)))-1)/4*100,"")</f>
        <v/>
      </c>
      <c r="X768" t="str">
        <f ca="1">IFERROR(((AVERAGEIFS(Observacion_Directa!$D$2:$D$1000,Observacion_Directa!$A$2:$A$1000,$A768,Observacion_Directa!$B$2:$B$1000,"&gt;="&amp;DATEVALUE($B768&amp;"-01"),Observacion_Directa!$B$2:$B$1000,"&lt;="&amp;EOMONTH(DATEVALUE($B768&amp;"-01"),0)))-1)/4*100,"")</f>
        <v/>
      </c>
      <c r="Y768" t="e">
        <f t="shared" ca="1" si="23"/>
        <v>#DIV/0!</v>
      </c>
    </row>
    <row r="769" spans="12:25" x14ac:dyDescent="0.2">
      <c r="L769" t="str">
        <f t="shared" si="22"/>
        <v/>
      </c>
      <c r="M769" t="str">
        <f>IFERROR(AVERAGEIFS(Prod_5dias!$H$2:$H$1000,Prod_5dias!$A$2:$A$1000,$A769,Prod_5dias!$B$2:$B$1000,$B769),"")</f>
        <v/>
      </c>
      <c r="N769" t="str">
        <f>IF(M769="","",MIN(100,100*M769/Parametros!$B$7))</f>
        <v/>
      </c>
      <c r="O769" t="str">
        <f>IF(F769="","",IF(F769=0,100,MIN(100,100*Parametros!$B$3/F769)))</f>
        <v/>
      </c>
      <c r="P769" t="str">
        <f ca="1">IFERROR(((AVERAGEIFS(Observacion_Directa!$E$2:$E$1000,Observacion_Directa!$A$2:$A$1000,$A769,Observacion_Directa!$B$2:$B$1000,"&gt;="&amp;DATEVALUE($B769&amp;"-01"),Observacion_Directa!$B$2:$B$1000,"&lt;="&amp;EOMONTH(DATEVALUE($B769&amp;"-01"),0)))-1)/4*100,"")</f>
        <v/>
      </c>
      <c r="Q769" t="str">
        <f>IF(H769="","",MIN(100,100*H769/Parametros!$B$4))</f>
        <v/>
      </c>
      <c r="R769" t="str">
        <f>IF(I769="","",IF(I769=0,100,MIN(100,100*Parametros!$B$5/I769)))</f>
        <v/>
      </c>
      <c r="S769" t="str">
        <f>IF(J769="","",IF(J769=0,100,MIN(100,100*Parametros!$B$6/J769)))</f>
        <v/>
      </c>
      <c r="T769" t="str">
        <f>IF(L769="","",MIN(100,100*L769/Parametros!$B$7))</f>
        <v/>
      </c>
      <c r="U769" t="str">
        <f>IF(K769="","",MIN(100,100*K769/Parametros!$B$8))</f>
        <v/>
      </c>
      <c r="V769" t="str">
        <f ca="1">IFERROR(((AVERAGEIFS(Documentacion!$C$2:$C$1000,Documentacion!$A$2:$A$1000,$A769,Documentacion!$B$2:$B$1000,"&gt;="&amp;DATEVALUE($B769&amp;"-01"),Documentacion!$B$2:$B$1000,"&lt;="&amp;EOMONTH(DATEVALUE($B769&amp;"-01"),0)))-1)/4*100,"")</f>
        <v/>
      </c>
      <c r="W769" t="str">
        <f ca="1">IFERROR(((AVERAGEIFS(Feedback_360!$D$2:$D$1000,Feedback_360!$A$2:$A$1000,$A769,Feedback_360!$B$2:$B$1000,"&gt;="&amp;DATEVALUE($B769&amp;"-01"),Feedback_360!$B$2:$B$1000,"&lt;="&amp;EOMONTH(DATEVALUE($B769&amp;"-01"),0)))-1)/4*100,"")</f>
        <v/>
      </c>
      <c r="X769" t="str">
        <f ca="1">IFERROR(((AVERAGEIFS(Observacion_Directa!$D$2:$D$1000,Observacion_Directa!$A$2:$A$1000,$A769,Observacion_Directa!$B$2:$B$1000,"&gt;="&amp;DATEVALUE($B769&amp;"-01"),Observacion_Directa!$B$2:$B$1000,"&lt;="&amp;EOMONTH(DATEVALUE($B769&amp;"-01"),0)))-1)/4*100,"")</f>
        <v/>
      </c>
      <c r="Y769" t="e">
        <f t="shared" ca="1" si="23"/>
        <v>#DIV/0!</v>
      </c>
    </row>
    <row r="770" spans="12:25" x14ac:dyDescent="0.2">
      <c r="L770" t="str">
        <f t="shared" ref="L770:L833" si="24">IF(OR(C770="",D770=""),"",C770/D770)</f>
        <v/>
      </c>
      <c r="M770" t="str">
        <f>IFERROR(AVERAGEIFS(Prod_5dias!$H$2:$H$1000,Prod_5dias!$A$2:$A$1000,$A770,Prod_5dias!$B$2:$B$1000,$B770),"")</f>
        <v/>
      </c>
      <c r="N770" t="str">
        <f>IF(M770="","",MIN(100,100*M770/Parametros!$B$7))</f>
        <v/>
      </c>
      <c r="O770" t="str">
        <f>IF(F770="","",IF(F770=0,100,MIN(100,100*Parametros!$B$3/F770)))</f>
        <v/>
      </c>
      <c r="P770" t="str">
        <f ca="1">IFERROR(((AVERAGEIFS(Observacion_Directa!$E$2:$E$1000,Observacion_Directa!$A$2:$A$1000,$A770,Observacion_Directa!$B$2:$B$1000,"&gt;="&amp;DATEVALUE($B770&amp;"-01"),Observacion_Directa!$B$2:$B$1000,"&lt;="&amp;EOMONTH(DATEVALUE($B770&amp;"-01"),0)))-1)/4*100,"")</f>
        <v/>
      </c>
      <c r="Q770" t="str">
        <f>IF(H770="","",MIN(100,100*H770/Parametros!$B$4))</f>
        <v/>
      </c>
      <c r="R770" t="str">
        <f>IF(I770="","",IF(I770=0,100,MIN(100,100*Parametros!$B$5/I770)))</f>
        <v/>
      </c>
      <c r="S770" t="str">
        <f>IF(J770="","",IF(J770=0,100,MIN(100,100*Parametros!$B$6/J770)))</f>
        <v/>
      </c>
      <c r="T770" t="str">
        <f>IF(L770="","",MIN(100,100*L770/Parametros!$B$7))</f>
        <v/>
      </c>
      <c r="U770" t="str">
        <f>IF(K770="","",MIN(100,100*K770/Parametros!$B$8))</f>
        <v/>
      </c>
      <c r="V770" t="str">
        <f ca="1">IFERROR(((AVERAGEIFS(Documentacion!$C$2:$C$1000,Documentacion!$A$2:$A$1000,$A770,Documentacion!$B$2:$B$1000,"&gt;="&amp;DATEVALUE($B770&amp;"-01"),Documentacion!$B$2:$B$1000,"&lt;="&amp;EOMONTH(DATEVALUE($B770&amp;"-01"),0)))-1)/4*100,"")</f>
        <v/>
      </c>
      <c r="W770" t="str">
        <f ca="1">IFERROR(((AVERAGEIFS(Feedback_360!$D$2:$D$1000,Feedback_360!$A$2:$A$1000,$A770,Feedback_360!$B$2:$B$1000,"&gt;="&amp;DATEVALUE($B770&amp;"-01"),Feedback_360!$B$2:$B$1000,"&lt;="&amp;EOMONTH(DATEVALUE($B770&amp;"-01"),0)))-1)/4*100,"")</f>
        <v/>
      </c>
      <c r="X770" t="str">
        <f ca="1">IFERROR(((AVERAGEIFS(Observacion_Directa!$D$2:$D$1000,Observacion_Directa!$A$2:$A$1000,$A770,Observacion_Directa!$B$2:$B$1000,"&gt;="&amp;DATEVALUE($B770&amp;"-01"),Observacion_Directa!$B$2:$B$1000,"&lt;="&amp;EOMONTH(DATEVALUE($B770&amp;"-01"),0)))-1)/4*100,"")</f>
        <v/>
      </c>
      <c r="Y770" t="e">
        <f t="shared" ref="Y770:Y833" ca="1" si="25">IF(COUNTA(N770:X770)=0,"",AVERAGE(N770:X770))</f>
        <v>#DIV/0!</v>
      </c>
    </row>
    <row r="771" spans="12:25" x14ac:dyDescent="0.2">
      <c r="L771" t="str">
        <f t="shared" si="24"/>
        <v/>
      </c>
      <c r="M771" t="str">
        <f>IFERROR(AVERAGEIFS(Prod_5dias!$H$2:$H$1000,Prod_5dias!$A$2:$A$1000,$A771,Prod_5dias!$B$2:$B$1000,$B771),"")</f>
        <v/>
      </c>
      <c r="N771" t="str">
        <f>IF(M771="","",MIN(100,100*M771/Parametros!$B$7))</f>
        <v/>
      </c>
      <c r="O771" t="str">
        <f>IF(F771="","",IF(F771=0,100,MIN(100,100*Parametros!$B$3/F771)))</f>
        <v/>
      </c>
      <c r="P771" t="str">
        <f ca="1">IFERROR(((AVERAGEIFS(Observacion_Directa!$E$2:$E$1000,Observacion_Directa!$A$2:$A$1000,$A771,Observacion_Directa!$B$2:$B$1000,"&gt;="&amp;DATEVALUE($B771&amp;"-01"),Observacion_Directa!$B$2:$B$1000,"&lt;="&amp;EOMONTH(DATEVALUE($B771&amp;"-01"),0)))-1)/4*100,"")</f>
        <v/>
      </c>
      <c r="Q771" t="str">
        <f>IF(H771="","",MIN(100,100*H771/Parametros!$B$4))</f>
        <v/>
      </c>
      <c r="R771" t="str">
        <f>IF(I771="","",IF(I771=0,100,MIN(100,100*Parametros!$B$5/I771)))</f>
        <v/>
      </c>
      <c r="S771" t="str">
        <f>IF(J771="","",IF(J771=0,100,MIN(100,100*Parametros!$B$6/J771)))</f>
        <v/>
      </c>
      <c r="T771" t="str">
        <f>IF(L771="","",MIN(100,100*L771/Parametros!$B$7))</f>
        <v/>
      </c>
      <c r="U771" t="str">
        <f>IF(K771="","",MIN(100,100*K771/Parametros!$B$8))</f>
        <v/>
      </c>
      <c r="V771" t="str">
        <f ca="1">IFERROR(((AVERAGEIFS(Documentacion!$C$2:$C$1000,Documentacion!$A$2:$A$1000,$A771,Documentacion!$B$2:$B$1000,"&gt;="&amp;DATEVALUE($B771&amp;"-01"),Documentacion!$B$2:$B$1000,"&lt;="&amp;EOMONTH(DATEVALUE($B771&amp;"-01"),0)))-1)/4*100,"")</f>
        <v/>
      </c>
      <c r="W771" t="str">
        <f ca="1">IFERROR(((AVERAGEIFS(Feedback_360!$D$2:$D$1000,Feedback_360!$A$2:$A$1000,$A771,Feedback_360!$B$2:$B$1000,"&gt;="&amp;DATEVALUE($B771&amp;"-01"),Feedback_360!$B$2:$B$1000,"&lt;="&amp;EOMONTH(DATEVALUE($B771&amp;"-01"),0)))-1)/4*100,"")</f>
        <v/>
      </c>
      <c r="X771" t="str">
        <f ca="1">IFERROR(((AVERAGEIFS(Observacion_Directa!$D$2:$D$1000,Observacion_Directa!$A$2:$A$1000,$A771,Observacion_Directa!$B$2:$B$1000,"&gt;="&amp;DATEVALUE($B771&amp;"-01"),Observacion_Directa!$B$2:$B$1000,"&lt;="&amp;EOMONTH(DATEVALUE($B771&amp;"-01"),0)))-1)/4*100,"")</f>
        <v/>
      </c>
      <c r="Y771" t="e">
        <f t="shared" ca="1" si="25"/>
        <v>#DIV/0!</v>
      </c>
    </row>
    <row r="772" spans="12:25" x14ac:dyDescent="0.2">
      <c r="L772" t="str">
        <f t="shared" si="24"/>
        <v/>
      </c>
      <c r="M772" t="str">
        <f>IFERROR(AVERAGEIFS(Prod_5dias!$H$2:$H$1000,Prod_5dias!$A$2:$A$1000,$A772,Prod_5dias!$B$2:$B$1000,$B772),"")</f>
        <v/>
      </c>
      <c r="N772" t="str">
        <f>IF(M772="","",MIN(100,100*M772/Parametros!$B$7))</f>
        <v/>
      </c>
      <c r="O772" t="str">
        <f>IF(F772="","",IF(F772=0,100,MIN(100,100*Parametros!$B$3/F772)))</f>
        <v/>
      </c>
      <c r="P772" t="str">
        <f ca="1">IFERROR(((AVERAGEIFS(Observacion_Directa!$E$2:$E$1000,Observacion_Directa!$A$2:$A$1000,$A772,Observacion_Directa!$B$2:$B$1000,"&gt;="&amp;DATEVALUE($B772&amp;"-01"),Observacion_Directa!$B$2:$B$1000,"&lt;="&amp;EOMONTH(DATEVALUE($B772&amp;"-01"),0)))-1)/4*100,"")</f>
        <v/>
      </c>
      <c r="Q772" t="str">
        <f>IF(H772="","",MIN(100,100*H772/Parametros!$B$4))</f>
        <v/>
      </c>
      <c r="R772" t="str">
        <f>IF(I772="","",IF(I772=0,100,MIN(100,100*Parametros!$B$5/I772)))</f>
        <v/>
      </c>
      <c r="S772" t="str">
        <f>IF(J772="","",IF(J772=0,100,MIN(100,100*Parametros!$B$6/J772)))</f>
        <v/>
      </c>
      <c r="T772" t="str">
        <f>IF(L772="","",MIN(100,100*L772/Parametros!$B$7))</f>
        <v/>
      </c>
      <c r="U772" t="str">
        <f>IF(K772="","",MIN(100,100*K772/Parametros!$B$8))</f>
        <v/>
      </c>
      <c r="V772" t="str">
        <f ca="1">IFERROR(((AVERAGEIFS(Documentacion!$C$2:$C$1000,Documentacion!$A$2:$A$1000,$A772,Documentacion!$B$2:$B$1000,"&gt;="&amp;DATEVALUE($B772&amp;"-01"),Documentacion!$B$2:$B$1000,"&lt;="&amp;EOMONTH(DATEVALUE($B772&amp;"-01"),0)))-1)/4*100,"")</f>
        <v/>
      </c>
      <c r="W772" t="str">
        <f ca="1">IFERROR(((AVERAGEIFS(Feedback_360!$D$2:$D$1000,Feedback_360!$A$2:$A$1000,$A772,Feedback_360!$B$2:$B$1000,"&gt;="&amp;DATEVALUE($B772&amp;"-01"),Feedback_360!$B$2:$B$1000,"&lt;="&amp;EOMONTH(DATEVALUE($B772&amp;"-01"),0)))-1)/4*100,"")</f>
        <v/>
      </c>
      <c r="X772" t="str">
        <f ca="1">IFERROR(((AVERAGEIFS(Observacion_Directa!$D$2:$D$1000,Observacion_Directa!$A$2:$A$1000,$A772,Observacion_Directa!$B$2:$B$1000,"&gt;="&amp;DATEVALUE($B772&amp;"-01"),Observacion_Directa!$B$2:$B$1000,"&lt;="&amp;EOMONTH(DATEVALUE($B772&amp;"-01"),0)))-1)/4*100,"")</f>
        <v/>
      </c>
      <c r="Y772" t="e">
        <f t="shared" ca="1" si="25"/>
        <v>#DIV/0!</v>
      </c>
    </row>
    <row r="773" spans="12:25" x14ac:dyDescent="0.2">
      <c r="L773" t="str">
        <f t="shared" si="24"/>
        <v/>
      </c>
      <c r="M773" t="str">
        <f>IFERROR(AVERAGEIFS(Prod_5dias!$H$2:$H$1000,Prod_5dias!$A$2:$A$1000,$A773,Prod_5dias!$B$2:$B$1000,$B773),"")</f>
        <v/>
      </c>
      <c r="N773" t="str">
        <f>IF(M773="","",MIN(100,100*M773/Parametros!$B$7))</f>
        <v/>
      </c>
      <c r="O773" t="str">
        <f>IF(F773="","",IF(F773=0,100,MIN(100,100*Parametros!$B$3/F773)))</f>
        <v/>
      </c>
      <c r="P773" t="str">
        <f ca="1">IFERROR(((AVERAGEIFS(Observacion_Directa!$E$2:$E$1000,Observacion_Directa!$A$2:$A$1000,$A773,Observacion_Directa!$B$2:$B$1000,"&gt;="&amp;DATEVALUE($B773&amp;"-01"),Observacion_Directa!$B$2:$B$1000,"&lt;="&amp;EOMONTH(DATEVALUE($B773&amp;"-01"),0)))-1)/4*100,"")</f>
        <v/>
      </c>
      <c r="Q773" t="str">
        <f>IF(H773="","",MIN(100,100*H773/Parametros!$B$4))</f>
        <v/>
      </c>
      <c r="R773" t="str">
        <f>IF(I773="","",IF(I773=0,100,MIN(100,100*Parametros!$B$5/I773)))</f>
        <v/>
      </c>
      <c r="S773" t="str">
        <f>IF(J773="","",IF(J773=0,100,MIN(100,100*Parametros!$B$6/J773)))</f>
        <v/>
      </c>
      <c r="T773" t="str">
        <f>IF(L773="","",MIN(100,100*L773/Parametros!$B$7))</f>
        <v/>
      </c>
      <c r="U773" t="str">
        <f>IF(K773="","",MIN(100,100*K773/Parametros!$B$8))</f>
        <v/>
      </c>
      <c r="V773" t="str">
        <f ca="1">IFERROR(((AVERAGEIFS(Documentacion!$C$2:$C$1000,Documentacion!$A$2:$A$1000,$A773,Documentacion!$B$2:$B$1000,"&gt;="&amp;DATEVALUE($B773&amp;"-01"),Documentacion!$B$2:$B$1000,"&lt;="&amp;EOMONTH(DATEVALUE($B773&amp;"-01"),0)))-1)/4*100,"")</f>
        <v/>
      </c>
      <c r="W773" t="str">
        <f ca="1">IFERROR(((AVERAGEIFS(Feedback_360!$D$2:$D$1000,Feedback_360!$A$2:$A$1000,$A773,Feedback_360!$B$2:$B$1000,"&gt;="&amp;DATEVALUE($B773&amp;"-01"),Feedback_360!$B$2:$B$1000,"&lt;="&amp;EOMONTH(DATEVALUE($B773&amp;"-01"),0)))-1)/4*100,"")</f>
        <v/>
      </c>
      <c r="X773" t="str">
        <f ca="1">IFERROR(((AVERAGEIFS(Observacion_Directa!$D$2:$D$1000,Observacion_Directa!$A$2:$A$1000,$A773,Observacion_Directa!$B$2:$B$1000,"&gt;="&amp;DATEVALUE($B773&amp;"-01"),Observacion_Directa!$B$2:$B$1000,"&lt;="&amp;EOMONTH(DATEVALUE($B773&amp;"-01"),0)))-1)/4*100,"")</f>
        <v/>
      </c>
      <c r="Y773" t="e">
        <f t="shared" ca="1" si="25"/>
        <v>#DIV/0!</v>
      </c>
    </row>
    <row r="774" spans="12:25" x14ac:dyDescent="0.2">
      <c r="L774" t="str">
        <f t="shared" si="24"/>
        <v/>
      </c>
      <c r="M774" t="str">
        <f>IFERROR(AVERAGEIFS(Prod_5dias!$H$2:$H$1000,Prod_5dias!$A$2:$A$1000,$A774,Prod_5dias!$B$2:$B$1000,$B774),"")</f>
        <v/>
      </c>
      <c r="N774" t="str">
        <f>IF(M774="","",MIN(100,100*M774/Parametros!$B$7))</f>
        <v/>
      </c>
      <c r="O774" t="str">
        <f>IF(F774="","",IF(F774=0,100,MIN(100,100*Parametros!$B$3/F774)))</f>
        <v/>
      </c>
      <c r="P774" t="str">
        <f ca="1">IFERROR(((AVERAGEIFS(Observacion_Directa!$E$2:$E$1000,Observacion_Directa!$A$2:$A$1000,$A774,Observacion_Directa!$B$2:$B$1000,"&gt;="&amp;DATEVALUE($B774&amp;"-01"),Observacion_Directa!$B$2:$B$1000,"&lt;="&amp;EOMONTH(DATEVALUE($B774&amp;"-01"),0)))-1)/4*100,"")</f>
        <v/>
      </c>
      <c r="Q774" t="str">
        <f>IF(H774="","",MIN(100,100*H774/Parametros!$B$4))</f>
        <v/>
      </c>
      <c r="R774" t="str">
        <f>IF(I774="","",IF(I774=0,100,MIN(100,100*Parametros!$B$5/I774)))</f>
        <v/>
      </c>
      <c r="S774" t="str">
        <f>IF(J774="","",IF(J774=0,100,MIN(100,100*Parametros!$B$6/J774)))</f>
        <v/>
      </c>
      <c r="T774" t="str">
        <f>IF(L774="","",MIN(100,100*L774/Parametros!$B$7))</f>
        <v/>
      </c>
      <c r="U774" t="str">
        <f>IF(K774="","",MIN(100,100*K774/Parametros!$B$8))</f>
        <v/>
      </c>
      <c r="V774" t="str">
        <f ca="1">IFERROR(((AVERAGEIFS(Documentacion!$C$2:$C$1000,Documentacion!$A$2:$A$1000,$A774,Documentacion!$B$2:$B$1000,"&gt;="&amp;DATEVALUE($B774&amp;"-01"),Documentacion!$B$2:$B$1000,"&lt;="&amp;EOMONTH(DATEVALUE($B774&amp;"-01"),0)))-1)/4*100,"")</f>
        <v/>
      </c>
      <c r="W774" t="str">
        <f ca="1">IFERROR(((AVERAGEIFS(Feedback_360!$D$2:$D$1000,Feedback_360!$A$2:$A$1000,$A774,Feedback_360!$B$2:$B$1000,"&gt;="&amp;DATEVALUE($B774&amp;"-01"),Feedback_360!$B$2:$B$1000,"&lt;="&amp;EOMONTH(DATEVALUE($B774&amp;"-01"),0)))-1)/4*100,"")</f>
        <v/>
      </c>
      <c r="X774" t="str">
        <f ca="1">IFERROR(((AVERAGEIFS(Observacion_Directa!$D$2:$D$1000,Observacion_Directa!$A$2:$A$1000,$A774,Observacion_Directa!$B$2:$B$1000,"&gt;="&amp;DATEVALUE($B774&amp;"-01"),Observacion_Directa!$B$2:$B$1000,"&lt;="&amp;EOMONTH(DATEVALUE($B774&amp;"-01"),0)))-1)/4*100,"")</f>
        <v/>
      </c>
      <c r="Y774" t="e">
        <f t="shared" ca="1" si="25"/>
        <v>#DIV/0!</v>
      </c>
    </row>
    <row r="775" spans="12:25" x14ac:dyDescent="0.2">
      <c r="L775" t="str">
        <f t="shared" si="24"/>
        <v/>
      </c>
      <c r="M775" t="str">
        <f>IFERROR(AVERAGEIFS(Prod_5dias!$H$2:$H$1000,Prod_5dias!$A$2:$A$1000,$A775,Prod_5dias!$B$2:$B$1000,$B775),"")</f>
        <v/>
      </c>
      <c r="N775" t="str">
        <f>IF(M775="","",MIN(100,100*M775/Parametros!$B$7))</f>
        <v/>
      </c>
      <c r="O775" t="str">
        <f>IF(F775="","",IF(F775=0,100,MIN(100,100*Parametros!$B$3/F775)))</f>
        <v/>
      </c>
      <c r="P775" t="str">
        <f ca="1">IFERROR(((AVERAGEIFS(Observacion_Directa!$E$2:$E$1000,Observacion_Directa!$A$2:$A$1000,$A775,Observacion_Directa!$B$2:$B$1000,"&gt;="&amp;DATEVALUE($B775&amp;"-01"),Observacion_Directa!$B$2:$B$1000,"&lt;="&amp;EOMONTH(DATEVALUE($B775&amp;"-01"),0)))-1)/4*100,"")</f>
        <v/>
      </c>
      <c r="Q775" t="str">
        <f>IF(H775="","",MIN(100,100*H775/Parametros!$B$4))</f>
        <v/>
      </c>
      <c r="R775" t="str">
        <f>IF(I775="","",IF(I775=0,100,MIN(100,100*Parametros!$B$5/I775)))</f>
        <v/>
      </c>
      <c r="S775" t="str">
        <f>IF(J775="","",IF(J775=0,100,MIN(100,100*Parametros!$B$6/J775)))</f>
        <v/>
      </c>
      <c r="T775" t="str">
        <f>IF(L775="","",MIN(100,100*L775/Parametros!$B$7))</f>
        <v/>
      </c>
      <c r="U775" t="str">
        <f>IF(K775="","",MIN(100,100*K775/Parametros!$B$8))</f>
        <v/>
      </c>
      <c r="V775" t="str">
        <f ca="1">IFERROR(((AVERAGEIFS(Documentacion!$C$2:$C$1000,Documentacion!$A$2:$A$1000,$A775,Documentacion!$B$2:$B$1000,"&gt;="&amp;DATEVALUE($B775&amp;"-01"),Documentacion!$B$2:$B$1000,"&lt;="&amp;EOMONTH(DATEVALUE($B775&amp;"-01"),0)))-1)/4*100,"")</f>
        <v/>
      </c>
      <c r="W775" t="str">
        <f ca="1">IFERROR(((AVERAGEIFS(Feedback_360!$D$2:$D$1000,Feedback_360!$A$2:$A$1000,$A775,Feedback_360!$B$2:$B$1000,"&gt;="&amp;DATEVALUE($B775&amp;"-01"),Feedback_360!$B$2:$B$1000,"&lt;="&amp;EOMONTH(DATEVALUE($B775&amp;"-01"),0)))-1)/4*100,"")</f>
        <v/>
      </c>
      <c r="X775" t="str">
        <f ca="1">IFERROR(((AVERAGEIFS(Observacion_Directa!$D$2:$D$1000,Observacion_Directa!$A$2:$A$1000,$A775,Observacion_Directa!$B$2:$B$1000,"&gt;="&amp;DATEVALUE($B775&amp;"-01"),Observacion_Directa!$B$2:$B$1000,"&lt;="&amp;EOMONTH(DATEVALUE($B775&amp;"-01"),0)))-1)/4*100,"")</f>
        <v/>
      </c>
      <c r="Y775" t="e">
        <f t="shared" ca="1" si="25"/>
        <v>#DIV/0!</v>
      </c>
    </row>
    <row r="776" spans="12:25" x14ac:dyDescent="0.2">
      <c r="L776" t="str">
        <f t="shared" si="24"/>
        <v/>
      </c>
      <c r="M776" t="str">
        <f>IFERROR(AVERAGEIFS(Prod_5dias!$H$2:$H$1000,Prod_5dias!$A$2:$A$1000,$A776,Prod_5dias!$B$2:$B$1000,$B776),"")</f>
        <v/>
      </c>
      <c r="N776" t="str">
        <f>IF(M776="","",MIN(100,100*M776/Parametros!$B$7))</f>
        <v/>
      </c>
      <c r="O776" t="str">
        <f>IF(F776="","",IF(F776=0,100,MIN(100,100*Parametros!$B$3/F776)))</f>
        <v/>
      </c>
      <c r="P776" t="str">
        <f ca="1">IFERROR(((AVERAGEIFS(Observacion_Directa!$E$2:$E$1000,Observacion_Directa!$A$2:$A$1000,$A776,Observacion_Directa!$B$2:$B$1000,"&gt;="&amp;DATEVALUE($B776&amp;"-01"),Observacion_Directa!$B$2:$B$1000,"&lt;="&amp;EOMONTH(DATEVALUE($B776&amp;"-01"),0)))-1)/4*100,"")</f>
        <v/>
      </c>
      <c r="Q776" t="str">
        <f>IF(H776="","",MIN(100,100*H776/Parametros!$B$4))</f>
        <v/>
      </c>
      <c r="R776" t="str">
        <f>IF(I776="","",IF(I776=0,100,MIN(100,100*Parametros!$B$5/I776)))</f>
        <v/>
      </c>
      <c r="S776" t="str">
        <f>IF(J776="","",IF(J776=0,100,MIN(100,100*Parametros!$B$6/J776)))</f>
        <v/>
      </c>
      <c r="T776" t="str">
        <f>IF(L776="","",MIN(100,100*L776/Parametros!$B$7))</f>
        <v/>
      </c>
      <c r="U776" t="str">
        <f>IF(K776="","",MIN(100,100*K776/Parametros!$B$8))</f>
        <v/>
      </c>
      <c r="V776" t="str">
        <f ca="1">IFERROR(((AVERAGEIFS(Documentacion!$C$2:$C$1000,Documentacion!$A$2:$A$1000,$A776,Documentacion!$B$2:$B$1000,"&gt;="&amp;DATEVALUE($B776&amp;"-01"),Documentacion!$B$2:$B$1000,"&lt;="&amp;EOMONTH(DATEVALUE($B776&amp;"-01"),0)))-1)/4*100,"")</f>
        <v/>
      </c>
      <c r="W776" t="str">
        <f ca="1">IFERROR(((AVERAGEIFS(Feedback_360!$D$2:$D$1000,Feedback_360!$A$2:$A$1000,$A776,Feedback_360!$B$2:$B$1000,"&gt;="&amp;DATEVALUE($B776&amp;"-01"),Feedback_360!$B$2:$B$1000,"&lt;="&amp;EOMONTH(DATEVALUE($B776&amp;"-01"),0)))-1)/4*100,"")</f>
        <v/>
      </c>
      <c r="X776" t="str">
        <f ca="1">IFERROR(((AVERAGEIFS(Observacion_Directa!$D$2:$D$1000,Observacion_Directa!$A$2:$A$1000,$A776,Observacion_Directa!$B$2:$B$1000,"&gt;="&amp;DATEVALUE($B776&amp;"-01"),Observacion_Directa!$B$2:$B$1000,"&lt;="&amp;EOMONTH(DATEVALUE($B776&amp;"-01"),0)))-1)/4*100,"")</f>
        <v/>
      </c>
      <c r="Y776" t="e">
        <f t="shared" ca="1" si="25"/>
        <v>#DIV/0!</v>
      </c>
    </row>
    <row r="777" spans="12:25" x14ac:dyDescent="0.2">
      <c r="L777" t="str">
        <f t="shared" si="24"/>
        <v/>
      </c>
      <c r="M777" t="str">
        <f>IFERROR(AVERAGEIFS(Prod_5dias!$H$2:$H$1000,Prod_5dias!$A$2:$A$1000,$A777,Prod_5dias!$B$2:$B$1000,$B777),"")</f>
        <v/>
      </c>
      <c r="N777" t="str">
        <f>IF(M777="","",MIN(100,100*M777/Parametros!$B$7))</f>
        <v/>
      </c>
      <c r="O777" t="str">
        <f>IF(F777="","",IF(F777=0,100,MIN(100,100*Parametros!$B$3/F777)))</f>
        <v/>
      </c>
      <c r="P777" t="str">
        <f ca="1">IFERROR(((AVERAGEIFS(Observacion_Directa!$E$2:$E$1000,Observacion_Directa!$A$2:$A$1000,$A777,Observacion_Directa!$B$2:$B$1000,"&gt;="&amp;DATEVALUE($B777&amp;"-01"),Observacion_Directa!$B$2:$B$1000,"&lt;="&amp;EOMONTH(DATEVALUE($B777&amp;"-01"),0)))-1)/4*100,"")</f>
        <v/>
      </c>
      <c r="Q777" t="str">
        <f>IF(H777="","",MIN(100,100*H777/Parametros!$B$4))</f>
        <v/>
      </c>
      <c r="R777" t="str">
        <f>IF(I777="","",IF(I777=0,100,MIN(100,100*Parametros!$B$5/I777)))</f>
        <v/>
      </c>
      <c r="S777" t="str">
        <f>IF(J777="","",IF(J777=0,100,MIN(100,100*Parametros!$B$6/J777)))</f>
        <v/>
      </c>
      <c r="T777" t="str">
        <f>IF(L777="","",MIN(100,100*L777/Parametros!$B$7))</f>
        <v/>
      </c>
      <c r="U777" t="str">
        <f>IF(K777="","",MIN(100,100*K777/Parametros!$B$8))</f>
        <v/>
      </c>
      <c r="V777" t="str">
        <f ca="1">IFERROR(((AVERAGEIFS(Documentacion!$C$2:$C$1000,Documentacion!$A$2:$A$1000,$A777,Documentacion!$B$2:$B$1000,"&gt;="&amp;DATEVALUE($B777&amp;"-01"),Documentacion!$B$2:$B$1000,"&lt;="&amp;EOMONTH(DATEVALUE($B777&amp;"-01"),0)))-1)/4*100,"")</f>
        <v/>
      </c>
      <c r="W777" t="str">
        <f ca="1">IFERROR(((AVERAGEIFS(Feedback_360!$D$2:$D$1000,Feedback_360!$A$2:$A$1000,$A777,Feedback_360!$B$2:$B$1000,"&gt;="&amp;DATEVALUE($B777&amp;"-01"),Feedback_360!$B$2:$B$1000,"&lt;="&amp;EOMONTH(DATEVALUE($B777&amp;"-01"),0)))-1)/4*100,"")</f>
        <v/>
      </c>
      <c r="X777" t="str">
        <f ca="1">IFERROR(((AVERAGEIFS(Observacion_Directa!$D$2:$D$1000,Observacion_Directa!$A$2:$A$1000,$A777,Observacion_Directa!$B$2:$B$1000,"&gt;="&amp;DATEVALUE($B777&amp;"-01"),Observacion_Directa!$B$2:$B$1000,"&lt;="&amp;EOMONTH(DATEVALUE($B777&amp;"-01"),0)))-1)/4*100,"")</f>
        <v/>
      </c>
      <c r="Y777" t="e">
        <f t="shared" ca="1" si="25"/>
        <v>#DIV/0!</v>
      </c>
    </row>
    <row r="778" spans="12:25" x14ac:dyDescent="0.2">
      <c r="L778" t="str">
        <f t="shared" si="24"/>
        <v/>
      </c>
      <c r="M778" t="str">
        <f>IFERROR(AVERAGEIFS(Prod_5dias!$H$2:$H$1000,Prod_5dias!$A$2:$A$1000,$A778,Prod_5dias!$B$2:$B$1000,$B778),"")</f>
        <v/>
      </c>
      <c r="N778" t="str">
        <f>IF(M778="","",MIN(100,100*M778/Parametros!$B$7))</f>
        <v/>
      </c>
      <c r="O778" t="str">
        <f>IF(F778="","",IF(F778=0,100,MIN(100,100*Parametros!$B$3/F778)))</f>
        <v/>
      </c>
      <c r="P778" t="str">
        <f ca="1">IFERROR(((AVERAGEIFS(Observacion_Directa!$E$2:$E$1000,Observacion_Directa!$A$2:$A$1000,$A778,Observacion_Directa!$B$2:$B$1000,"&gt;="&amp;DATEVALUE($B778&amp;"-01"),Observacion_Directa!$B$2:$B$1000,"&lt;="&amp;EOMONTH(DATEVALUE($B778&amp;"-01"),0)))-1)/4*100,"")</f>
        <v/>
      </c>
      <c r="Q778" t="str">
        <f>IF(H778="","",MIN(100,100*H778/Parametros!$B$4))</f>
        <v/>
      </c>
      <c r="R778" t="str">
        <f>IF(I778="","",IF(I778=0,100,MIN(100,100*Parametros!$B$5/I778)))</f>
        <v/>
      </c>
      <c r="S778" t="str">
        <f>IF(J778="","",IF(J778=0,100,MIN(100,100*Parametros!$B$6/J778)))</f>
        <v/>
      </c>
      <c r="T778" t="str">
        <f>IF(L778="","",MIN(100,100*L778/Parametros!$B$7))</f>
        <v/>
      </c>
      <c r="U778" t="str">
        <f>IF(K778="","",MIN(100,100*K778/Parametros!$B$8))</f>
        <v/>
      </c>
      <c r="V778" t="str">
        <f ca="1">IFERROR(((AVERAGEIFS(Documentacion!$C$2:$C$1000,Documentacion!$A$2:$A$1000,$A778,Documentacion!$B$2:$B$1000,"&gt;="&amp;DATEVALUE($B778&amp;"-01"),Documentacion!$B$2:$B$1000,"&lt;="&amp;EOMONTH(DATEVALUE($B778&amp;"-01"),0)))-1)/4*100,"")</f>
        <v/>
      </c>
      <c r="W778" t="str">
        <f ca="1">IFERROR(((AVERAGEIFS(Feedback_360!$D$2:$D$1000,Feedback_360!$A$2:$A$1000,$A778,Feedback_360!$B$2:$B$1000,"&gt;="&amp;DATEVALUE($B778&amp;"-01"),Feedback_360!$B$2:$B$1000,"&lt;="&amp;EOMONTH(DATEVALUE($B778&amp;"-01"),0)))-1)/4*100,"")</f>
        <v/>
      </c>
      <c r="X778" t="str">
        <f ca="1">IFERROR(((AVERAGEIFS(Observacion_Directa!$D$2:$D$1000,Observacion_Directa!$A$2:$A$1000,$A778,Observacion_Directa!$B$2:$B$1000,"&gt;="&amp;DATEVALUE($B778&amp;"-01"),Observacion_Directa!$B$2:$B$1000,"&lt;="&amp;EOMONTH(DATEVALUE($B778&amp;"-01"),0)))-1)/4*100,"")</f>
        <v/>
      </c>
      <c r="Y778" t="e">
        <f t="shared" ca="1" si="25"/>
        <v>#DIV/0!</v>
      </c>
    </row>
    <row r="779" spans="12:25" x14ac:dyDescent="0.2">
      <c r="L779" t="str">
        <f t="shared" si="24"/>
        <v/>
      </c>
      <c r="M779" t="str">
        <f>IFERROR(AVERAGEIFS(Prod_5dias!$H$2:$H$1000,Prod_5dias!$A$2:$A$1000,$A779,Prod_5dias!$B$2:$B$1000,$B779),"")</f>
        <v/>
      </c>
      <c r="N779" t="str">
        <f>IF(M779="","",MIN(100,100*M779/Parametros!$B$7))</f>
        <v/>
      </c>
      <c r="O779" t="str">
        <f>IF(F779="","",IF(F779=0,100,MIN(100,100*Parametros!$B$3/F779)))</f>
        <v/>
      </c>
      <c r="P779" t="str">
        <f ca="1">IFERROR(((AVERAGEIFS(Observacion_Directa!$E$2:$E$1000,Observacion_Directa!$A$2:$A$1000,$A779,Observacion_Directa!$B$2:$B$1000,"&gt;="&amp;DATEVALUE($B779&amp;"-01"),Observacion_Directa!$B$2:$B$1000,"&lt;="&amp;EOMONTH(DATEVALUE($B779&amp;"-01"),0)))-1)/4*100,"")</f>
        <v/>
      </c>
      <c r="Q779" t="str">
        <f>IF(H779="","",MIN(100,100*H779/Parametros!$B$4))</f>
        <v/>
      </c>
      <c r="R779" t="str">
        <f>IF(I779="","",IF(I779=0,100,MIN(100,100*Parametros!$B$5/I779)))</f>
        <v/>
      </c>
      <c r="S779" t="str">
        <f>IF(J779="","",IF(J779=0,100,MIN(100,100*Parametros!$B$6/J779)))</f>
        <v/>
      </c>
      <c r="T779" t="str">
        <f>IF(L779="","",MIN(100,100*L779/Parametros!$B$7))</f>
        <v/>
      </c>
      <c r="U779" t="str">
        <f>IF(K779="","",MIN(100,100*K779/Parametros!$B$8))</f>
        <v/>
      </c>
      <c r="V779" t="str">
        <f ca="1">IFERROR(((AVERAGEIFS(Documentacion!$C$2:$C$1000,Documentacion!$A$2:$A$1000,$A779,Documentacion!$B$2:$B$1000,"&gt;="&amp;DATEVALUE($B779&amp;"-01"),Documentacion!$B$2:$B$1000,"&lt;="&amp;EOMONTH(DATEVALUE($B779&amp;"-01"),0)))-1)/4*100,"")</f>
        <v/>
      </c>
      <c r="W779" t="str">
        <f ca="1">IFERROR(((AVERAGEIFS(Feedback_360!$D$2:$D$1000,Feedback_360!$A$2:$A$1000,$A779,Feedback_360!$B$2:$B$1000,"&gt;="&amp;DATEVALUE($B779&amp;"-01"),Feedback_360!$B$2:$B$1000,"&lt;="&amp;EOMONTH(DATEVALUE($B779&amp;"-01"),0)))-1)/4*100,"")</f>
        <v/>
      </c>
      <c r="X779" t="str">
        <f ca="1">IFERROR(((AVERAGEIFS(Observacion_Directa!$D$2:$D$1000,Observacion_Directa!$A$2:$A$1000,$A779,Observacion_Directa!$B$2:$B$1000,"&gt;="&amp;DATEVALUE($B779&amp;"-01"),Observacion_Directa!$B$2:$B$1000,"&lt;="&amp;EOMONTH(DATEVALUE($B779&amp;"-01"),0)))-1)/4*100,"")</f>
        <v/>
      </c>
      <c r="Y779" t="e">
        <f t="shared" ca="1" si="25"/>
        <v>#DIV/0!</v>
      </c>
    </row>
    <row r="780" spans="12:25" x14ac:dyDescent="0.2">
      <c r="L780" t="str">
        <f t="shared" si="24"/>
        <v/>
      </c>
      <c r="M780" t="str">
        <f>IFERROR(AVERAGEIFS(Prod_5dias!$H$2:$H$1000,Prod_5dias!$A$2:$A$1000,$A780,Prod_5dias!$B$2:$B$1000,$B780),"")</f>
        <v/>
      </c>
      <c r="N780" t="str">
        <f>IF(M780="","",MIN(100,100*M780/Parametros!$B$7))</f>
        <v/>
      </c>
      <c r="O780" t="str">
        <f>IF(F780="","",IF(F780=0,100,MIN(100,100*Parametros!$B$3/F780)))</f>
        <v/>
      </c>
      <c r="P780" t="str">
        <f ca="1">IFERROR(((AVERAGEIFS(Observacion_Directa!$E$2:$E$1000,Observacion_Directa!$A$2:$A$1000,$A780,Observacion_Directa!$B$2:$B$1000,"&gt;="&amp;DATEVALUE($B780&amp;"-01"),Observacion_Directa!$B$2:$B$1000,"&lt;="&amp;EOMONTH(DATEVALUE($B780&amp;"-01"),0)))-1)/4*100,"")</f>
        <v/>
      </c>
      <c r="Q780" t="str">
        <f>IF(H780="","",MIN(100,100*H780/Parametros!$B$4))</f>
        <v/>
      </c>
      <c r="R780" t="str">
        <f>IF(I780="","",IF(I780=0,100,MIN(100,100*Parametros!$B$5/I780)))</f>
        <v/>
      </c>
      <c r="S780" t="str">
        <f>IF(J780="","",IF(J780=0,100,MIN(100,100*Parametros!$B$6/J780)))</f>
        <v/>
      </c>
      <c r="T780" t="str">
        <f>IF(L780="","",MIN(100,100*L780/Parametros!$B$7))</f>
        <v/>
      </c>
      <c r="U780" t="str">
        <f>IF(K780="","",MIN(100,100*K780/Parametros!$B$8))</f>
        <v/>
      </c>
      <c r="V780" t="str">
        <f ca="1">IFERROR(((AVERAGEIFS(Documentacion!$C$2:$C$1000,Documentacion!$A$2:$A$1000,$A780,Documentacion!$B$2:$B$1000,"&gt;="&amp;DATEVALUE($B780&amp;"-01"),Documentacion!$B$2:$B$1000,"&lt;="&amp;EOMONTH(DATEVALUE($B780&amp;"-01"),0)))-1)/4*100,"")</f>
        <v/>
      </c>
      <c r="W780" t="str">
        <f ca="1">IFERROR(((AVERAGEIFS(Feedback_360!$D$2:$D$1000,Feedback_360!$A$2:$A$1000,$A780,Feedback_360!$B$2:$B$1000,"&gt;="&amp;DATEVALUE($B780&amp;"-01"),Feedback_360!$B$2:$B$1000,"&lt;="&amp;EOMONTH(DATEVALUE($B780&amp;"-01"),0)))-1)/4*100,"")</f>
        <v/>
      </c>
      <c r="X780" t="str">
        <f ca="1">IFERROR(((AVERAGEIFS(Observacion_Directa!$D$2:$D$1000,Observacion_Directa!$A$2:$A$1000,$A780,Observacion_Directa!$B$2:$B$1000,"&gt;="&amp;DATEVALUE($B780&amp;"-01"),Observacion_Directa!$B$2:$B$1000,"&lt;="&amp;EOMONTH(DATEVALUE($B780&amp;"-01"),0)))-1)/4*100,"")</f>
        <v/>
      </c>
      <c r="Y780" t="e">
        <f t="shared" ca="1" si="25"/>
        <v>#DIV/0!</v>
      </c>
    </row>
    <row r="781" spans="12:25" x14ac:dyDescent="0.2">
      <c r="L781" t="str">
        <f t="shared" si="24"/>
        <v/>
      </c>
      <c r="M781" t="str">
        <f>IFERROR(AVERAGEIFS(Prod_5dias!$H$2:$H$1000,Prod_5dias!$A$2:$A$1000,$A781,Prod_5dias!$B$2:$B$1000,$B781),"")</f>
        <v/>
      </c>
      <c r="N781" t="str">
        <f>IF(M781="","",MIN(100,100*M781/Parametros!$B$7))</f>
        <v/>
      </c>
      <c r="O781" t="str">
        <f>IF(F781="","",IF(F781=0,100,MIN(100,100*Parametros!$B$3/F781)))</f>
        <v/>
      </c>
      <c r="P781" t="str">
        <f ca="1">IFERROR(((AVERAGEIFS(Observacion_Directa!$E$2:$E$1000,Observacion_Directa!$A$2:$A$1000,$A781,Observacion_Directa!$B$2:$B$1000,"&gt;="&amp;DATEVALUE($B781&amp;"-01"),Observacion_Directa!$B$2:$B$1000,"&lt;="&amp;EOMONTH(DATEVALUE($B781&amp;"-01"),0)))-1)/4*100,"")</f>
        <v/>
      </c>
      <c r="Q781" t="str">
        <f>IF(H781="","",MIN(100,100*H781/Parametros!$B$4))</f>
        <v/>
      </c>
      <c r="R781" t="str">
        <f>IF(I781="","",IF(I781=0,100,MIN(100,100*Parametros!$B$5/I781)))</f>
        <v/>
      </c>
      <c r="S781" t="str">
        <f>IF(J781="","",IF(J781=0,100,MIN(100,100*Parametros!$B$6/J781)))</f>
        <v/>
      </c>
      <c r="T781" t="str">
        <f>IF(L781="","",MIN(100,100*L781/Parametros!$B$7))</f>
        <v/>
      </c>
      <c r="U781" t="str">
        <f>IF(K781="","",MIN(100,100*K781/Parametros!$B$8))</f>
        <v/>
      </c>
      <c r="V781" t="str">
        <f ca="1">IFERROR(((AVERAGEIFS(Documentacion!$C$2:$C$1000,Documentacion!$A$2:$A$1000,$A781,Documentacion!$B$2:$B$1000,"&gt;="&amp;DATEVALUE($B781&amp;"-01"),Documentacion!$B$2:$B$1000,"&lt;="&amp;EOMONTH(DATEVALUE($B781&amp;"-01"),0)))-1)/4*100,"")</f>
        <v/>
      </c>
      <c r="W781" t="str">
        <f ca="1">IFERROR(((AVERAGEIFS(Feedback_360!$D$2:$D$1000,Feedback_360!$A$2:$A$1000,$A781,Feedback_360!$B$2:$B$1000,"&gt;="&amp;DATEVALUE($B781&amp;"-01"),Feedback_360!$B$2:$B$1000,"&lt;="&amp;EOMONTH(DATEVALUE($B781&amp;"-01"),0)))-1)/4*100,"")</f>
        <v/>
      </c>
      <c r="X781" t="str">
        <f ca="1">IFERROR(((AVERAGEIFS(Observacion_Directa!$D$2:$D$1000,Observacion_Directa!$A$2:$A$1000,$A781,Observacion_Directa!$B$2:$B$1000,"&gt;="&amp;DATEVALUE($B781&amp;"-01"),Observacion_Directa!$B$2:$B$1000,"&lt;="&amp;EOMONTH(DATEVALUE($B781&amp;"-01"),0)))-1)/4*100,"")</f>
        <v/>
      </c>
      <c r="Y781" t="e">
        <f t="shared" ca="1" si="25"/>
        <v>#DIV/0!</v>
      </c>
    </row>
    <row r="782" spans="12:25" x14ac:dyDescent="0.2">
      <c r="L782" t="str">
        <f t="shared" si="24"/>
        <v/>
      </c>
      <c r="M782" t="str">
        <f>IFERROR(AVERAGEIFS(Prod_5dias!$H$2:$H$1000,Prod_5dias!$A$2:$A$1000,$A782,Prod_5dias!$B$2:$B$1000,$B782),"")</f>
        <v/>
      </c>
      <c r="N782" t="str">
        <f>IF(M782="","",MIN(100,100*M782/Parametros!$B$7))</f>
        <v/>
      </c>
      <c r="O782" t="str">
        <f>IF(F782="","",IF(F782=0,100,MIN(100,100*Parametros!$B$3/F782)))</f>
        <v/>
      </c>
      <c r="P782" t="str">
        <f ca="1">IFERROR(((AVERAGEIFS(Observacion_Directa!$E$2:$E$1000,Observacion_Directa!$A$2:$A$1000,$A782,Observacion_Directa!$B$2:$B$1000,"&gt;="&amp;DATEVALUE($B782&amp;"-01"),Observacion_Directa!$B$2:$B$1000,"&lt;="&amp;EOMONTH(DATEVALUE($B782&amp;"-01"),0)))-1)/4*100,"")</f>
        <v/>
      </c>
      <c r="Q782" t="str">
        <f>IF(H782="","",MIN(100,100*H782/Parametros!$B$4))</f>
        <v/>
      </c>
      <c r="R782" t="str">
        <f>IF(I782="","",IF(I782=0,100,MIN(100,100*Parametros!$B$5/I782)))</f>
        <v/>
      </c>
      <c r="S782" t="str">
        <f>IF(J782="","",IF(J782=0,100,MIN(100,100*Parametros!$B$6/J782)))</f>
        <v/>
      </c>
      <c r="T782" t="str">
        <f>IF(L782="","",MIN(100,100*L782/Parametros!$B$7))</f>
        <v/>
      </c>
      <c r="U782" t="str">
        <f>IF(K782="","",MIN(100,100*K782/Parametros!$B$8))</f>
        <v/>
      </c>
      <c r="V782" t="str">
        <f ca="1">IFERROR(((AVERAGEIFS(Documentacion!$C$2:$C$1000,Documentacion!$A$2:$A$1000,$A782,Documentacion!$B$2:$B$1000,"&gt;="&amp;DATEVALUE($B782&amp;"-01"),Documentacion!$B$2:$B$1000,"&lt;="&amp;EOMONTH(DATEVALUE($B782&amp;"-01"),0)))-1)/4*100,"")</f>
        <v/>
      </c>
      <c r="W782" t="str">
        <f ca="1">IFERROR(((AVERAGEIFS(Feedback_360!$D$2:$D$1000,Feedback_360!$A$2:$A$1000,$A782,Feedback_360!$B$2:$B$1000,"&gt;="&amp;DATEVALUE($B782&amp;"-01"),Feedback_360!$B$2:$B$1000,"&lt;="&amp;EOMONTH(DATEVALUE($B782&amp;"-01"),0)))-1)/4*100,"")</f>
        <v/>
      </c>
      <c r="X782" t="str">
        <f ca="1">IFERROR(((AVERAGEIFS(Observacion_Directa!$D$2:$D$1000,Observacion_Directa!$A$2:$A$1000,$A782,Observacion_Directa!$B$2:$B$1000,"&gt;="&amp;DATEVALUE($B782&amp;"-01"),Observacion_Directa!$B$2:$B$1000,"&lt;="&amp;EOMONTH(DATEVALUE($B782&amp;"-01"),0)))-1)/4*100,"")</f>
        <v/>
      </c>
      <c r="Y782" t="e">
        <f t="shared" ca="1" si="25"/>
        <v>#DIV/0!</v>
      </c>
    </row>
    <row r="783" spans="12:25" x14ac:dyDescent="0.2">
      <c r="L783" t="str">
        <f t="shared" si="24"/>
        <v/>
      </c>
      <c r="M783" t="str">
        <f>IFERROR(AVERAGEIFS(Prod_5dias!$H$2:$H$1000,Prod_5dias!$A$2:$A$1000,$A783,Prod_5dias!$B$2:$B$1000,$B783),"")</f>
        <v/>
      </c>
      <c r="N783" t="str">
        <f>IF(M783="","",MIN(100,100*M783/Parametros!$B$7))</f>
        <v/>
      </c>
      <c r="O783" t="str">
        <f>IF(F783="","",IF(F783=0,100,MIN(100,100*Parametros!$B$3/F783)))</f>
        <v/>
      </c>
      <c r="P783" t="str">
        <f ca="1">IFERROR(((AVERAGEIFS(Observacion_Directa!$E$2:$E$1000,Observacion_Directa!$A$2:$A$1000,$A783,Observacion_Directa!$B$2:$B$1000,"&gt;="&amp;DATEVALUE($B783&amp;"-01"),Observacion_Directa!$B$2:$B$1000,"&lt;="&amp;EOMONTH(DATEVALUE($B783&amp;"-01"),0)))-1)/4*100,"")</f>
        <v/>
      </c>
      <c r="Q783" t="str">
        <f>IF(H783="","",MIN(100,100*H783/Parametros!$B$4))</f>
        <v/>
      </c>
      <c r="R783" t="str">
        <f>IF(I783="","",IF(I783=0,100,MIN(100,100*Parametros!$B$5/I783)))</f>
        <v/>
      </c>
      <c r="S783" t="str">
        <f>IF(J783="","",IF(J783=0,100,MIN(100,100*Parametros!$B$6/J783)))</f>
        <v/>
      </c>
      <c r="T783" t="str">
        <f>IF(L783="","",MIN(100,100*L783/Parametros!$B$7))</f>
        <v/>
      </c>
      <c r="U783" t="str">
        <f>IF(K783="","",MIN(100,100*K783/Parametros!$B$8))</f>
        <v/>
      </c>
      <c r="V783" t="str">
        <f ca="1">IFERROR(((AVERAGEIFS(Documentacion!$C$2:$C$1000,Documentacion!$A$2:$A$1000,$A783,Documentacion!$B$2:$B$1000,"&gt;="&amp;DATEVALUE($B783&amp;"-01"),Documentacion!$B$2:$B$1000,"&lt;="&amp;EOMONTH(DATEVALUE($B783&amp;"-01"),0)))-1)/4*100,"")</f>
        <v/>
      </c>
      <c r="W783" t="str">
        <f ca="1">IFERROR(((AVERAGEIFS(Feedback_360!$D$2:$D$1000,Feedback_360!$A$2:$A$1000,$A783,Feedback_360!$B$2:$B$1000,"&gt;="&amp;DATEVALUE($B783&amp;"-01"),Feedback_360!$B$2:$B$1000,"&lt;="&amp;EOMONTH(DATEVALUE($B783&amp;"-01"),0)))-1)/4*100,"")</f>
        <v/>
      </c>
      <c r="X783" t="str">
        <f ca="1">IFERROR(((AVERAGEIFS(Observacion_Directa!$D$2:$D$1000,Observacion_Directa!$A$2:$A$1000,$A783,Observacion_Directa!$B$2:$B$1000,"&gt;="&amp;DATEVALUE($B783&amp;"-01"),Observacion_Directa!$B$2:$B$1000,"&lt;="&amp;EOMONTH(DATEVALUE($B783&amp;"-01"),0)))-1)/4*100,"")</f>
        <v/>
      </c>
      <c r="Y783" t="e">
        <f t="shared" ca="1" si="25"/>
        <v>#DIV/0!</v>
      </c>
    </row>
    <row r="784" spans="12:25" x14ac:dyDescent="0.2">
      <c r="L784" t="str">
        <f t="shared" si="24"/>
        <v/>
      </c>
      <c r="M784" t="str">
        <f>IFERROR(AVERAGEIFS(Prod_5dias!$H$2:$H$1000,Prod_5dias!$A$2:$A$1000,$A784,Prod_5dias!$B$2:$B$1000,$B784),"")</f>
        <v/>
      </c>
      <c r="N784" t="str">
        <f>IF(M784="","",MIN(100,100*M784/Parametros!$B$7))</f>
        <v/>
      </c>
      <c r="O784" t="str">
        <f>IF(F784="","",IF(F784=0,100,MIN(100,100*Parametros!$B$3/F784)))</f>
        <v/>
      </c>
      <c r="P784" t="str">
        <f ca="1">IFERROR(((AVERAGEIFS(Observacion_Directa!$E$2:$E$1000,Observacion_Directa!$A$2:$A$1000,$A784,Observacion_Directa!$B$2:$B$1000,"&gt;="&amp;DATEVALUE($B784&amp;"-01"),Observacion_Directa!$B$2:$B$1000,"&lt;="&amp;EOMONTH(DATEVALUE($B784&amp;"-01"),0)))-1)/4*100,"")</f>
        <v/>
      </c>
      <c r="Q784" t="str">
        <f>IF(H784="","",MIN(100,100*H784/Parametros!$B$4))</f>
        <v/>
      </c>
      <c r="R784" t="str">
        <f>IF(I784="","",IF(I784=0,100,MIN(100,100*Parametros!$B$5/I784)))</f>
        <v/>
      </c>
      <c r="S784" t="str">
        <f>IF(J784="","",IF(J784=0,100,MIN(100,100*Parametros!$B$6/J784)))</f>
        <v/>
      </c>
      <c r="T784" t="str">
        <f>IF(L784="","",MIN(100,100*L784/Parametros!$B$7))</f>
        <v/>
      </c>
      <c r="U784" t="str">
        <f>IF(K784="","",MIN(100,100*K784/Parametros!$B$8))</f>
        <v/>
      </c>
      <c r="V784" t="str">
        <f ca="1">IFERROR(((AVERAGEIFS(Documentacion!$C$2:$C$1000,Documentacion!$A$2:$A$1000,$A784,Documentacion!$B$2:$B$1000,"&gt;="&amp;DATEVALUE($B784&amp;"-01"),Documentacion!$B$2:$B$1000,"&lt;="&amp;EOMONTH(DATEVALUE($B784&amp;"-01"),0)))-1)/4*100,"")</f>
        <v/>
      </c>
      <c r="W784" t="str">
        <f ca="1">IFERROR(((AVERAGEIFS(Feedback_360!$D$2:$D$1000,Feedback_360!$A$2:$A$1000,$A784,Feedback_360!$B$2:$B$1000,"&gt;="&amp;DATEVALUE($B784&amp;"-01"),Feedback_360!$B$2:$B$1000,"&lt;="&amp;EOMONTH(DATEVALUE($B784&amp;"-01"),0)))-1)/4*100,"")</f>
        <v/>
      </c>
      <c r="X784" t="str">
        <f ca="1">IFERROR(((AVERAGEIFS(Observacion_Directa!$D$2:$D$1000,Observacion_Directa!$A$2:$A$1000,$A784,Observacion_Directa!$B$2:$B$1000,"&gt;="&amp;DATEVALUE($B784&amp;"-01"),Observacion_Directa!$B$2:$B$1000,"&lt;="&amp;EOMONTH(DATEVALUE($B784&amp;"-01"),0)))-1)/4*100,"")</f>
        <v/>
      </c>
      <c r="Y784" t="e">
        <f t="shared" ca="1" si="25"/>
        <v>#DIV/0!</v>
      </c>
    </row>
    <row r="785" spans="12:25" x14ac:dyDescent="0.2">
      <c r="L785" t="str">
        <f t="shared" si="24"/>
        <v/>
      </c>
      <c r="M785" t="str">
        <f>IFERROR(AVERAGEIFS(Prod_5dias!$H$2:$H$1000,Prod_5dias!$A$2:$A$1000,$A785,Prod_5dias!$B$2:$B$1000,$B785),"")</f>
        <v/>
      </c>
      <c r="N785" t="str">
        <f>IF(M785="","",MIN(100,100*M785/Parametros!$B$7))</f>
        <v/>
      </c>
      <c r="O785" t="str">
        <f>IF(F785="","",IF(F785=0,100,MIN(100,100*Parametros!$B$3/F785)))</f>
        <v/>
      </c>
      <c r="P785" t="str">
        <f ca="1">IFERROR(((AVERAGEIFS(Observacion_Directa!$E$2:$E$1000,Observacion_Directa!$A$2:$A$1000,$A785,Observacion_Directa!$B$2:$B$1000,"&gt;="&amp;DATEVALUE($B785&amp;"-01"),Observacion_Directa!$B$2:$B$1000,"&lt;="&amp;EOMONTH(DATEVALUE($B785&amp;"-01"),0)))-1)/4*100,"")</f>
        <v/>
      </c>
      <c r="Q785" t="str">
        <f>IF(H785="","",MIN(100,100*H785/Parametros!$B$4))</f>
        <v/>
      </c>
      <c r="R785" t="str">
        <f>IF(I785="","",IF(I785=0,100,MIN(100,100*Parametros!$B$5/I785)))</f>
        <v/>
      </c>
      <c r="S785" t="str">
        <f>IF(J785="","",IF(J785=0,100,MIN(100,100*Parametros!$B$6/J785)))</f>
        <v/>
      </c>
      <c r="T785" t="str">
        <f>IF(L785="","",MIN(100,100*L785/Parametros!$B$7))</f>
        <v/>
      </c>
      <c r="U785" t="str">
        <f>IF(K785="","",MIN(100,100*K785/Parametros!$B$8))</f>
        <v/>
      </c>
      <c r="V785" t="str">
        <f ca="1">IFERROR(((AVERAGEIFS(Documentacion!$C$2:$C$1000,Documentacion!$A$2:$A$1000,$A785,Documentacion!$B$2:$B$1000,"&gt;="&amp;DATEVALUE($B785&amp;"-01"),Documentacion!$B$2:$B$1000,"&lt;="&amp;EOMONTH(DATEVALUE($B785&amp;"-01"),0)))-1)/4*100,"")</f>
        <v/>
      </c>
      <c r="W785" t="str">
        <f ca="1">IFERROR(((AVERAGEIFS(Feedback_360!$D$2:$D$1000,Feedback_360!$A$2:$A$1000,$A785,Feedback_360!$B$2:$B$1000,"&gt;="&amp;DATEVALUE($B785&amp;"-01"),Feedback_360!$B$2:$B$1000,"&lt;="&amp;EOMONTH(DATEVALUE($B785&amp;"-01"),0)))-1)/4*100,"")</f>
        <v/>
      </c>
      <c r="X785" t="str">
        <f ca="1">IFERROR(((AVERAGEIFS(Observacion_Directa!$D$2:$D$1000,Observacion_Directa!$A$2:$A$1000,$A785,Observacion_Directa!$B$2:$B$1000,"&gt;="&amp;DATEVALUE($B785&amp;"-01"),Observacion_Directa!$B$2:$B$1000,"&lt;="&amp;EOMONTH(DATEVALUE($B785&amp;"-01"),0)))-1)/4*100,"")</f>
        <v/>
      </c>
      <c r="Y785" t="e">
        <f t="shared" ca="1" si="25"/>
        <v>#DIV/0!</v>
      </c>
    </row>
    <row r="786" spans="12:25" x14ac:dyDescent="0.2">
      <c r="L786" t="str">
        <f t="shared" si="24"/>
        <v/>
      </c>
      <c r="M786" t="str">
        <f>IFERROR(AVERAGEIFS(Prod_5dias!$H$2:$H$1000,Prod_5dias!$A$2:$A$1000,$A786,Prod_5dias!$B$2:$B$1000,$B786),"")</f>
        <v/>
      </c>
      <c r="N786" t="str">
        <f>IF(M786="","",MIN(100,100*M786/Parametros!$B$7))</f>
        <v/>
      </c>
      <c r="O786" t="str">
        <f>IF(F786="","",IF(F786=0,100,MIN(100,100*Parametros!$B$3/F786)))</f>
        <v/>
      </c>
      <c r="P786" t="str">
        <f ca="1">IFERROR(((AVERAGEIFS(Observacion_Directa!$E$2:$E$1000,Observacion_Directa!$A$2:$A$1000,$A786,Observacion_Directa!$B$2:$B$1000,"&gt;="&amp;DATEVALUE($B786&amp;"-01"),Observacion_Directa!$B$2:$B$1000,"&lt;="&amp;EOMONTH(DATEVALUE($B786&amp;"-01"),0)))-1)/4*100,"")</f>
        <v/>
      </c>
      <c r="Q786" t="str">
        <f>IF(H786="","",MIN(100,100*H786/Parametros!$B$4))</f>
        <v/>
      </c>
      <c r="R786" t="str">
        <f>IF(I786="","",IF(I786=0,100,MIN(100,100*Parametros!$B$5/I786)))</f>
        <v/>
      </c>
      <c r="S786" t="str">
        <f>IF(J786="","",IF(J786=0,100,MIN(100,100*Parametros!$B$6/J786)))</f>
        <v/>
      </c>
      <c r="T786" t="str">
        <f>IF(L786="","",MIN(100,100*L786/Parametros!$B$7))</f>
        <v/>
      </c>
      <c r="U786" t="str">
        <f>IF(K786="","",MIN(100,100*K786/Parametros!$B$8))</f>
        <v/>
      </c>
      <c r="V786" t="str">
        <f ca="1">IFERROR(((AVERAGEIFS(Documentacion!$C$2:$C$1000,Documentacion!$A$2:$A$1000,$A786,Documentacion!$B$2:$B$1000,"&gt;="&amp;DATEVALUE($B786&amp;"-01"),Documentacion!$B$2:$B$1000,"&lt;="&amp;EOMONTH(DATEVALUE($B786&amp;"-01"),0)))-1)/4*100,"")</f>
        <v/>
      </c>
      <c r="W786" t="str">
        <f ca="1">IFERROR(((AVERAGEIFS(Feedback_360!$D$2:$D$1000,Feedback_360!$A$2:$A$1000,$A786,Feedback_360!$B$2:$B$1000,"&gt;="&amp;DATEVALUE($B786&amp;"-01"),Feedback_360!$B$2:$B$1000,"&lt;="&amp;EOMONTH(DATEVALUE($B786&amp;"-01"),0)))-1)/4*100,"")</f>
        <v/>
      </c>
      <c r="X786" t="str">
        <f ca="1">IFERROR(((AVERAGEIFS(Observacion_Directa!$D$2:$D$1000,Observacion_Directa!$A$2:$A$1000,$A786,Observacion_Directa!$B$2:$B$1000,"&gt;="&amp;DATEVALUE($B786&amp;"-01"),Observacion_Directa!$B$2:$B$1000,"&lt;="&amp;EOMONTH(DATEVALUE($B786&amp;"-01"),0)))-1)/4*100,"")</f>
        <v/>
      </c>
      <c r="Y786" t="e">
        <f t="shared" ca="1" si="25"/>
        <v>#DIV/0!</v>
      </c>
    </row>
    <row r="787" spans="12:25" x14ac:dyDescent="0.2">
      <c r="L787" t="str">
        <f t="shared" si="24"/>
        <v/>
      </c>
      <c r="M787" t="str">
        <f>IFERROR(AVERAGEIFS(Prod_5dias!$H$2:$H$1000,Prod_5dias!$A$2:$A$1000,$A787,Prod_5dias!$B$2:$B$1000,$B787),"")</f>
        <v/>
      </c>
      <c r="N787" t="str">
        <f>IF(M787="","",MIN(100,100*M787/Parametros!$B$7))</f>
        <v/>
      </c>
      <c r="O787" t="str">
        <f>IF(F787="","",IF(F787=0,100,MIN(100,100*Parametros!$B$3/F787)))</f>
        <v/>
      </c>
      <c r="P787" t="str">
        <f ca="1">IFERROR(((AVERAGEIFS(Observacion_Directa!$E$2:$E$1000,Observacion_Directa!$A$2:$A$1000,$A787,Observacion_Directa!$B$2:$B$1000,"&gt;="&amp;DATEVALUE($B787&amp;"-01"),Observacion_Directa!$B$2:$B$1000,"&lt;="&amp;EOMONTH(DATEVALUE($B787&amp;"-01"),0)))-1)/4*100,"")</f>
        <v/>
      </c>
      <c r="Q787" t="str">
        <f>IF(H787="","",MIN(100,100*H787/Parametros!$B$4))</f>
        <v/>
      </c>
      <c r="R787" t="str">
        <f>IF(I787="","",IF(I787=0,100,MIN(100,100*Parametros!$B$5/I787)))</f>
        <v/>
      </c>
      <c r="S787" t="str">
        <f>IF(J787="","",IF(J787=0,100,MIN(100,100*Parametros!$B$6/J787)))</f>
        <v/>
      </c>
      <c r="T787" t="str">
        <f>IF(L787="","",MIN(100,100*L787/Parametros!$B$7))</f>
        <v/>
      </c>
      <c r="U787" t="str">
        <f>IF(K787="","",MIN(100,100*K787/Parametros!$B$8))</f>
        <v/>
      </c>
      <c r="V787" t="str">
        <f ca="1">IFERROR(((AVERAGEIFS(Documentacion!$C$2:$C$1000,Documentacion!$A$2:$A$1000,$A787,Documentacion!$B$2:$B$1000,"&gt;="&amp;DATEVALUE($B787&amp;"-01"),Documentacion!$B$2:$B$1000,"&lt;="&amp;EOMONTH(DATEVALUE($B787&amp;"-01"),0)))-1)/4*100,"")</f>
        <v/>
      </c>
      <c r="W787" t="str">
        <f ca="1">IFERROR(((AVERAGEIFS(Feedback_360!$D$2:$D$1000,Feedback_360!$A$2:$A$1000,$A787,Feedback_360!$B$2:$B$1000,"&gt;="&amp;DATEVALUE($B787&amp;"-01"),Feedback_360!$B$2:$B$1000,"&lt;="&amp;EOMONTH(DATEVALUE($B787&amp;"-01"),0)))-1)/4*100,"")</f>
        <v/>
      </c>
      <c r="X787" t="str">
        <f ca="1">IFERROR(((AVERAGEIFS(Observacion_Directa!$D$2:$D$1000,Observacion_Directa!$A$2:$A$1000,$A787,Observacion_Directa!$B$2:$B$1000,"&gt;="&amp;DATEVALUE($B787&amp;"-01"),Observacion_Directa!$B$2:$B$1000,"&lt;="&amp;EOMONTH(DATEVALUE($B787&amp;"-01"),0)))-1)/4*100,"")</f>
        <v/>
      </c>
      <c r="Y787" t="e">
        <f t="shared" ca="1" si="25"/>
        <v>#DIV/0!</v>
      </c>
    </row>
    <row r="788" spans="12:25" x14ac:dyDescent="0.2">
      <c r="L788" t="str">
        <f t="shared" si="24"/>
        <v/>
      </c>
      <c r="M788" t="str">
        <f>IFERROR(AVERAGEIFS(Prod_5dias!$H$2:$H$1000,Prod_5dias!$A$2:$A$1000,$A788,Prod_5dias!$B$2:$B$1000,$B788),"")</f>
        <v/>
      </c>
      <c r="N788" t="str">
        <f>IF(M788="","",MIN(100,100*M788/Parametros!$B$7))</f>
        <v/>
      </c>
      <c r="O788" t="str">
        <f>IF(F788="","",IF(F788=0,100,MIN(100,100*Parametros!$B$3/F788)))</f>
        <v/>
      </c>
      <c r="P788" t="str">
        <f ca="1">IFERROR(((AVERAGEIFS(Observacion_Directa!$E$2:$E$1000,Observacion_Directa!$A$2:$A$1000,$A788,Observacion_Directa!$B$2:$B$1000,"&gt;="&amp;DATEVALUE($B788&amp;"-01"),Observacion_Directa!$B$2:$B$1000,"&lt;="&amp;EOMONTH(DATEVALUE($B788&amp;"-01"),0)))-1)/4*100,"")</f>
        <v/>
      </c>
      <c r="Q788" t="str">
        <f>IF(H788="","",MIN(100,100*H788/Parametros!$B$4))</f>
        <v/>
      </c>
      <c r="R788" t="str">
        <f>IF(I788="","",IF(I788=0,100,MIN(100,100*Parametros!$B$5/I788)))</f>
        <v/>
      </c>
      <c r="S788" t="str">
        <f>IF(J788="","",IF(J788=0,100,MIN(100,100*Parametros!$B$6/J788)))</f>
        <v/>
      </c>
      <c r="T788" t="str">
        <f>IF(L788="","",MIN(100,100*L788/Parametros!$B$7))</f>
        <v/>
      </c>
      <c r="U788" t="str">
        <f>IF(K788="","",MIN(100,100*K788/Parametros!$B$8))</f>
        <v/>
      </c>
      <c r="V788" t="str">
        <f ca="1">IFERROR(((AVERAGEIFS(Documentacion!$C$2:$C$1000,Documentacion!$A$2:$A$1000,$A788,Documentacion!$B$2:$B$1000,"&gt;="&amp;DATEVALUE($B788&amp;"-01"),Documentacion!$B$2:$B$1000,"&lt;="&amp;EOMONTH(DATEVALUE($B788&amp;"-01"),0)))-1)/4*100,"")</f>
        <v/>
      </c>
      <c r="W788" t="str">
        <f ca="1">IFERROR(((AVERAGEIFS(Feedback_360!$D$2:$D$1000,Feedback_360!$A$2:$A$1000,$A788,Feedback_360!$B$2:$B$1000,"&gt;="&amp;DATEVALUE($B788&amp;"-01"),Feedback_360!$B$2:$B$1000,"&lt;="&amp;EOMONTH(DATEVALUE($B788&amp;"-01"),0)))-1)/4*100,"")</f>
        <v/>
      </c>
      <c r="X788" t="str">
        <f ca="1">IFERROR(((AVERAGEIFS(Observacion_Directa!$D$2:$D$1000,Observacion_Directa!$A$2:$A$1000,$A788,Observacion_Directa!$B$2:$B$1000,"&gt;="&amp;DATEVALUE($B788&amp;"-01"),Observacion_Directa!$B$2:$B$1000,"&lt;="&amp;EOMONTH(DATEVALUE($B788&amp;"-01"),0)))-1)/4*100,"")</f>
        <v/>
      </c>
      <c r="Y788" t="e">
        <f t="shared" ca="1" si="25"/>
        <v>#DIV/0!</v>
      </c>
    </row>
    <row r="789" spans="12:25" x14ac:dyDescent="0.2">
      <c r="L789" t="str">
        <f t="shared" si="24"/>
        <v/>
      </c>
      <c r="M789" t="str">
        <f>IFERROR(AVERAGEIFS(Prod_5dias!$H$2:$H$1000,Prod_5dias!$A$2:$A$1000,$A789,Prod_5dias!$B$2:$B$1000,$B789),"")</f>
        <v/>
      </c>
      <c r="N789" t="str">
        <f>IF(M789="","",MIN(100,100*M789/Parametros!$B$7))</f>
        <v/>
      </c>
      <c r="O789" t="str">
        <f>IF(F789="","",IF(F789=0,100,MIN(100,100*Parametros!$B$3/F789)))</f>
        <v/>
      </c>
      <c r="P789" t="str">
        <f ca="1">IFERROR(((AVERAGEIFS(Observacion_Directa!$E$2:$E$1000,Observacion_Directa!$A$2:$A$1000,$A789,Observacion_Directa!$B$2:$B$1000,"&gt;="&amp;DATEVALUE($B789&amp;"-01"),Observacion_Directa!$B$2:$B$1000,"&lt;="&amp;EOMONTH(DATEVALUE($B789&amp;"-01"),0)))-1)/4*100,"")</f>
        <v/>
      </c>
      <c r="Q789" t="str">
        <f>IF(H789="","",MIN(100,100*H789/Parametros!$B$4))</f>
        <v/>
      </c>
      <c r="R789" t="str">
        <f>IF(I789="","",IF(I789=0,100,MIN(100,100*Parametros!$B$5/I789)))</f>
        <v/>
      </c>
      <c r="S789" t="str">
        <f>IF(J789="","",IF(J789=0,100,MIN(100,100*Parametros!$B$6/J789)))</f>
        <v/>
      </c>
      <c r="T789" t="str">
        <f>IF(L789="","",MIN(100,100*L789/Parametros!$B$7))</f>
        <v/>
      </c>
      <c r="U789" t="str">
        <f>IF(K789="","",MIN(100,100*K789/Parametros!$B$8))</f>
        <v/>
      </c>
      <c r="V789" t="str">
        <f ca="1">IFERROR(((AVERAGEIFS(Documentacion!$C$2:$C$1000,Documentacion!$A$2:$A$1000,$A789,Documentacion!$B$2:$B$1000,"&gt;="&amp;DATEVALUE($B789&amp;"-01"),Documentacion!$B$2:$B$1000,"&lt;="&amp;EOMONTH(DATEVALUE($B789&amp;"-01"),0)))-1)/4*100,"")</f>
        <v/>
      </c>
      <c r="W789" t="str">
        <f ca="1">IFERROR(((AVERAGEIFS(Feedback_360!$D$2:$D$1000,Feedback_360!$A$2:$A$1000,$A789,Feedback_360!$B$2:$B$1000,"&gt;="&amp;DATEVALUE($B789&amp;"-01"),Feedback_360!$B$2:$B$1000,"&lt;="&amp;EOMONTH(DATEVALUE($B789&amp;"-01"),0)))-1)/4*100,"")</f>
        <v/>
      </c>
      <c r="X789" t="str">
        <f ca="1">IFERROR(((AVERAGEIFS(Observacion_Directa!$D$2:$D$1000,Observacion_Directa!$A$2:$A$1000,$A789,Observacion_Directa!$B$2:$B$1000,"&gt;="&amp;DATEVALUE($B789&amp;"-01"),Observacion_Directa!$B$2:$B$1000,"&lt;="&amp;EOMONTH(DATEVALUE($B789&amp;"-01"),0)))-1)/4*100,"")</f>
        <v/>
      </c>
      <c r="Y789" t="e">
        <f t="shared" ca="1" si="25"/>
        <v>#DIV/0!</v>
      </c>
    </row>
    <row r="790" spans="12:25" x14ac:dyDescent="0.2">
      <c r="L790" t="str">
        <f t="shared" si="24"/>
        <v/>
      </c>
      <c r="M790" t="str">
        <f>IFERROR(AVERAGEIFS(Prod_5dias!$H$2:$H$1000,Prod_5dias!$A$2:$A$1000,$A790,Prod_5dias!$B$2:$B$1000,$B790),"")</f>
        <v/>
      </c>
      <c r="N790" t="str">
        <f>IF(M790="","",MIN(100,100*M790/Parametros!$B$7))</f>
        <v/>
      </c>
      <c r="O790" t="str">
        <f>IF(F790="","",IF(F790=0,100,MIN(100,100*Parametros!$B$3/F790)))</f>
        <v/>
      </c>
      <c r="P790" t="str">
        <f ca="1">IFERROR(((AVERAGEIFS(Observacion_Directa!$E$2:$E$1000,Observacion_Directa!$A$2:$A$1000,$A790,Observacion_Directa!$B$2:$B$1000,"&gt;="&amp;DATEVALUE($B790&amp;"-01"),Observacion_Directa!$B$2:$B$1000,"&lt;="&amp;EOMONTH(DATEVALUE($B790&amp;"-01"),0)))-1)/4*100,"")</f>
        <v/>
      </c>
      <c r="Q790" t="str">
        <f>IF(H790="","",MIN(100,100*H790/Parametros!$B$4))</f>
        <v/>
      </c>
      <c r="R790" t="str">
        <f>IF(I790="","",IF(I790=0,100,MIN(100,100*Parametros!$B$5/I790)))</f>
        <v/>
      </c>
      <c r="S790" t="str">
        <f>IF(J790="","",IF(J790=0,100,MIN(100,100*Parametros!$B$6/J790)))</f>
        <v/>
      </c>
      <c r="T790" t="str">
        <f>IF(L790="","",MIN(100,100*L790/Parametros!$B$7))</f>
        <v/>
      </c>
      <c r="U790" t="str">
        <f>IF(K790="","",MIN(100,100*K790/Parametros!$B$8))</f>
        <v/>
      </c>
      <c r="V790" t="str">
        <f ca="1">IFERROR(((AVERAGEIFS(Documentacion!$C$2:$C$1000,Documentacion!$A$2:$A$1000,$A790,Documentacion!$B$2:$B$1000,"&gt;="&amp;DATEVALUE($B790&amp;"-01"),Documentacion!$B$2:$B$1000,"&lt;="&amp;EOMONTH(DATEVALUE($B790&amp;"-01"),0)))-1)/4*100,"")</f>
        <v/>
      </c>
      <c r="W790" t="str">
        <f ca="1">IFERROR(((AVERAGEIFS(Feedback_360!$D$2:$D$1000,Feedback_360!$A$2:$A$1000,$A790,Feedback_360!$B$2:$B$1000,"&gt;="&amp;DATEVALUE($B790&amp;"-01"),Feedback_360!$B$2:$B$1000,"&lt;="&amp;EOMONTH(DATEVALUE($B790&amp;"-01"),0)))-1)/4*100,"")</f>
        <v/>
      </c>
      <c r="X790" t="str">
        <f ca="1">IFERROR(((AVERAGEIFS(Observacion_Directa!$D$2:$D$1000,Observacion_Directa!$A$2:$A$1000,$A790,Observacion_Directa!$B$2:$B$1000,"&gt;="&amp;DATEVALUE($B790&amp;"-01"),Observacion_Directa!$B$2:$B$1000,"&lt;="&amp;EOMONTH(DATEVALUE($B790&amp;"-01"),0)))-1)/4*100,"")</f>
        <v/>
      </c>
      <c r="Y790" t="e">
        <f t="shared" ca="1" si="25"/>
        <v>#DIV/0!</v>
      </c>
    </row>
    <row r="791" spans="12:25" x14ac:dyDescent="0.2">
      <c r="L791" t="str">
        <f t="shared" si="24"/>
        <v/>
      </c>
      <c r="M791" t="str">
        <f>IFERROR(AVERAGEIFS(Prod_5dias!$H$2:$H$1000,Prod_5dias!$A$2:$A$1000,$A791,Prod_5dias!$B$2:$B$1000,$B791),"")</f>
        <v/>
      </c>
      <c r="N791" t="str">
        <f>IF(M791="","",MIN(100,100*M791/Parametros!$B$7))</f>
        <v/>
      </c>
      <c r="O791" t="str">
        <f>IF(F791="","",IF(F791=0,100,MIN(100,100*Parametros!$B$3/F791)))</f>
        <v/>
      </c>
      <c r="P791" t="str">
        <f ca="1">IFERROR(((AVERAGEIFS(Observacion_Directa!$E$2:$E$1000,Observacion_Directa!$A$2:$A$1000,$A791,Observacion_Directa!$B$2:$B$1000,"&gt;="&amp;DATEVALUE($B791&amp;"-01"),Observacion_Directa!$B$2:$B$1000,"&lt;="&amp;EOMONTH(DATEVALUE($B791&amp;"-01"),0)))-1)/4*100,"")</f>
        <v/>
      </c>
      <c r="Q791" t="str">
        <f>IF(H791="","",MIN(100,100*H791/Parametros!$B$4))</f>
        <v/>
      </c>
      <c r="R791" t="str">
        <f>IF(I791="","",IF(I791=0,100,MIN(100,100*Parametros!$B$5/I791)))</f>
        <v/>
      </c>
      <c r="S791" t="str">
        <f>IF(J791="","",IF(J791=0,100,MIN(100,100*Parametros!$B$6/J791)))</f>
        <v/>
      </c>
      <c r="T791" t="str">
        <f>IF(L791="","",MIN(100,100*L791/Parametros!$B$7))</f>
        <v/>
      </c>
      <c r="U791" t="str">
        <f>IF(K791="","",MIN(100,100*K791/Parametros!$B$8))</f>
        <v/>
      </c>
      <c r="V791" t="str">
        <f ca="1">IFERROR(((AVERAGEIFS(Documentacion!$C$2:$C$1000,Documentacion!$A$2:$A$1000,$A791,Documentacion!$B$2:$B$1000,"&gt;="&amp;DATEVALUE($B791&amp;"-01"),Documentacion!$B$2:$B$1000,"&lt;="&amp;EOMONTH(DATEVALUE($B791&amp;"-01"),0)))-1)/4*100,"")</f>
        <v/>
      </c>
      <c r="W791" t="str">
        <f ca="1">IFERROR(((AVERAGEIFS(Feedback_360!$D$2:$D$1000,Feedback_360!$A$2:$A$1000,$A791,Feedback_360!$B$2:$B$1000,"&gt;="&amp;DATEVALUE($B791&amp;"-01"),Feedback_360!$B$2:$B$1000,"&lt;="&amp;EOMONTH(DATEVALUE($B791&amp;"-01"),0)))-1)/4*100,"")</f>
        <v/>
      </c>
      <c r="X791" t="str">
        <f ca="1">IFERROR(((AVERAGEIFS(Observacion_Directa!$D$2:$D$1000,Observacion_Directa!$A$2:$A$1000,$A791,Observacion_Directa!$B$2:$B$1000,"&gt;="&amp;DATEVALUE($B791&amp;"-01"),Observacion_Directa!$B$2:$B$1000,"&lt;="&amp;EOMONTH(DATEVALUE($B791&amp;"-01"),0)))-1)/4*100,"")</f>
        <v/>
      </c>
      <c r="Y791" t="e">
        <f t="shared" ca="1" si="25"/>
        <v>#DIV/0!</v>
      </c>
    </row>
    <row r="792" spans="12:25" x14ac:dyDescent="0.2">
      <c r="L792" t="str">
        <f t="shared" si="24"/>
        <v/>
      </c>
      <c r="M792" t="str">
        <f>IFERROR(AVERAGEIFS(Prod_5dias!$H$2:$H$1000,Prod_5dias!$A$2:$A$1000,$A792,Prod_5dias!$B$2:$B$1000,$B792),"")</f>
        <v/>
      </c>
      <c r="N792" t="str">
        <f>IF(M792="","",MIN(100,100*M792/Parametros!$B$7))</f>
        <v/>
      </c>
      <c r="O792" t="str">
        <f>IF(F792="","",IF(F792=0,100,MIN(100,100*Parametros!$B$3/F792)))</f>
        <v/>
      </c>
      <c r="P792" t="str">
        <f ca="1">IFERROR(((AVERAGEIFS(Observacion_Directa!$E$2:$E$1000,Observacion_Directa!$A$2:$A$1000,$A792,Observacion_Directa!$B$2:$B$1000,"&gt;="&amp;DATEVALUE($B792&amp;"-01"),Observacion_Directa!$B$2:$B$1000,"&lt;="&amp;EOMONTH(DATEVALUE($B792&amp;"-01"),0)))-1)/4*100,"")</f>
        <v/>
      </c>
      <c r="Q792" t="str">
        <f>IF(H792="","",MIN(100,100*H792/Parametros!$B$4))</f>
        <v/>
      </c>
      <c r="R792" t="str">
        <f>IF(I792="","",IF(I792=0,100,MIN(100,100*Parametros!$B$5/I792)))</f>
        <v/>
      </c>
      <c r="S792" t="str">
        <f>IF(J792="","",IF(J792=0,100,MIN(100,100*Parametros!$B$6/J792)))</f>
        <v/>
      </c>
      <c r="T792" t="str">
        <f>IF(L792="","",MIN(100,100*L792/Parametros!$B$7))</f>
        <v/>
      </c>
      <c r="U792" t="str">
        <f>IF(K792="","",MIN(100,100*K792/Parametros!$B$8))</f>
        <v/>
      </c>
      <c r="V792" t="str">
        <f ca="1">IFERROR(((AVERAGEIFS(Documentacion!$C$2:$C$1000,Documentacion!$A$2:$A$1000,$A792,Documentacion!$B$2:$B$1000,"&gt;="&amp;DATEVALUE($B792&amp;"-01"),Documentacion!$B$2:$B$1000,"&lt;="&amp;EOMONTH(DATEVALUE($B792&amp;"-01"),0)))-1)/4*100,"")</f>
        <v/>
      </c>
      <c r="W792" t="str">
        <f ca="1">IFERROR(((AVERAGEIFS(Feedback_360!$D$2:$D$1000,Feedback_360!$A$2:$A$1000,$A792,Feedback_360!$B$2:$B$1000,"&gt;="&amp;DATEVALUE($B792&amp;"-01"),Feedback_360!$B$2:$B$1000,"&lt;="&amp;EOMONTH(DATEVALUE($B792&amp;"-01"),0)))-1)/4*100,"")</f>
        <v/>
      </c>
      <c r="X792" t="str">
        <f ca="1">IFERROR(((AVERAGEIFS(Observacion_Directa!$D$2:$D$1000,Observacion_Directa!$A$2:$A$1000,$A792,Observacion_Directa!$B$2:$B$1000,"&gt;="&amp;DATEVALUE($B792&amp;"-01"),Observacion_Directa!$B$2:$B$1000,"&lt;="&amp;EOMONTH(DATEVALUE($B792&amp;"-01"),0)))-1)/4*100,"")</f>
        <v/>
      </c>
      <c r="Y792" t="e">
        <f t="shared" ca="1" si="25"/>
        <v>#DIV/0!</v>
      </c>
    </row>
    <row r="793" spans="12:25" x14ac:dyDescent="0.2">
      <c r="L793" t="str">
        <f t="shared" si="24"/>
        <v/>
      </c>
      <c r="M793" t="str">
        <f>IFERROR(AVERAGEIFS(Prod_5dias!$H$2:$H$1000,Prod_5dias!$A$2:$A$1000,$A793,Prod_5dias!$B$2:$B$1000,$B793),"")</f>
        <v/>
      </c>
      <c r="N793" t="str">
        <f>IF(M793="","",MIN(100,100*M793/Parametros!$B$7))</f>
        <v/>
      </c>
      <c r="O793" t="str">
        <f>IF(F793="","",IF(F793=0,100,MIN(100,100*Parametros!$B$3/F793)))</f>
        <v/>
      </c>
      <c r="P793" t="str">
        <f ca="1">IFERROR(((AVERAGEIFS(Observacion_Directa!$E$2:$E$1000,Observacion_Directa!$A$2:$A$1000,$A793,Observacion_Directa!$B$2:$B$1000,"&gt;="&amp;DATEVALUE($B793&amp;"-01"),Observacion_Directa!$B$2:$B$1000,"&lt;="&amp;EOMONTH(DATEVALUE($B793&amp;"-01"),0)))-1)/4*100,"")</f>
        <v/>
      </c>
      <c r="Q793" t="str">
        <f>IF(H793="","",MIN(100,100*H793/Parametros!$B$4))</f>
        <v/>
      </c>
      <c r="R793" t="str">
        <f>IF(I793="","",IF(I793=0,100,MIN(100,100*Parametros!$B$5/I793)))</f>
        <v/>
      </c>
      <c r="S793" t="str">
        <f>IF(J793="","",IF(J793=0,100,MIN(100,100*Parametros!$B$6/J793)))</f>
        <v/>
      </c>
      <c r="T793" t="str">
        <f>IF(L793="","",MIN(100,100*L793/Parametros!$B$7))</f>
        <v/>
      </c>
      <c r="U793" t="str">
        <f>IF(K793="","",MIN(100,100*K793/Parametros!$B$8))</f>
        <v/>
      </c>
      <c r="V793" t="str">
        <f ca="1">IFERROR(((AVERAGEIFS(Documentacion!$C$2:$C$1000,Documentacion!$A$2:$A$1000,$A793,Documentacion!$B$2:$B$1000,"&gt;="&amp;DATEVALUE($B793&amp;"-01"),Documentacion!$B$2:$B$1000,"&lt;="&amp;EOMONTH(DATEVALUE($B793&amp;"-01"),0)))-1)/4*100,"")</f>
        <v/>
      </c>
      <c r="W793" t="str">
        <f ca="1">IFERROR(((AVERAGEIFS(Feedback_360!$D$2:$D$1000,Feedback_360!$A$2:$A$1000,$A793,Feedback_360!$B$2:$B$1000,"&gt;="&amp;DATEVALUE($B793&amp;"-01"),Feedback_360!$B$2:$B$1000,"&lt;="&amp;EOMONTH(DATEVALUE($B793&amp;"-01"),0)))-1)/4*100,"")</f>
        <v/>
      </c>
      <c r="X793" t="str">
        <f ca="1">IFERROR(((AVERAGEIFS(Observacion_Directa!$D$2:$D$1000,Observacion_Directa!$A$2:$A$1000,$A793,Observacion_Directa!$B$2:$B$1000,"&gt;="&amp;DATEVALUE($B793&amp;"-01"),Observacion_Directa!$B$2:$B$1000,"&lt;="&amp;EOMONTH(DATEVALUE($B793&amp;"-01"),0)))-1)/4*100,"")</f>
        <v/>
      </c>
      <c r="Y793" t="e">
        <f t="shared" ca="1" si="25"/>
        <v>#DIV/0!</v>
      </c>
    </row>
    <row r="794" spans="12:25" x14ac:dyDescent="0.2">
      <c r="L794" t="str">
        <f t="shared" si="24"/>
        <v/>
      </c>
      <c r="M794" t="str">
        <f>IFERROR(AVERAGEIFS(Prod_5dias!$H$2:$H$1000,Prod_5dias!$A$2:$A$1000,$A794,Prod_5dias!$B$2:$B$1000,$B794),"")</f>
        <v/>
      </c>
      <c r="N794" t="str">
        <f>IF(M794="","",MIN(100,100*M794/Parametros!$B$7))</f>
        <v/>
      </c>
      <c r="O794" t="str">
        <f>IF(F794="","",IF(F794=0,100,MIN(100,100*Parametros!$B$3/F794)))</f>
        <v/>
      </c>
      <c r="P794" t="str">
        <f ca="1">IFERROR(((AVERAGEIFS(Observacion_Directa!$E$2:$E$1000,Observacion_Directa!$A$2:$A$1000,$A794,Observacion_Directa!$B$2:$B$1000,"&gt;="&amp;DATEVALUE($B794&amp;"-01"),Observacion_Directa!$B$2:$B$1000,"&lt;="&amp;EOMONTH(DATEVALUE($B794&amp;"-01"),0)))-1)/4*100,"")</f>
        <v/>
      </c>
      <c r="Q794" t="str">
        <f>IF(H794="","",MIN(100,100*H794/Parametros!$B$4))</f>
        <v/>
      </c>
      <c r="R794" t="str">
        <f>IF(I794="","",IF(I794=0,100,MIN(100,100*Parametros!$B$5/I794)))</f>
        <v/>
      </c>
      <c r="S794" t="str">
        <f>IF(J794="","",IF(J794=0,100,MIN(100,100*Parametros!$B$6/J794)))</f>
        <v/>
      </c>
      <c r="T794" t="str">
        <f>IF(L794="","",MIN(100,100*L794/Parametros!$B$7))</f>
        <v/>
      </c>
      <c r="U794" t="str">
        <f>IF(K794="","",MIN(100,100*K794/Parametros!$B$8))</f>
        <v/>
      </c>
      <c r="V794" t="str">
        <f ca="1">IFERROR(((AVERAGEIFS(Documentacion!$C$2:$C$1000,Documentacion!$A$2:$A$1000,$A794,Documentacion!$B$2:$B$1000,"&gt;="&amp;DATEVALUE($B794&amp;"-01"),Documentacion!$B$2:$B$1000,"&lt;="&amp;EOMONTH(DATEVALUE($B794&amp;"-01"),0)))-1)/4*100,"")</f>
        <v/>
      </c>
      <c r="W794" t="str">
        <f ca="1">IFERROR(((AVERAGEIFS(Feedback_360!$D$2:$D$1000,Feedback_360!$A$2:$A$1000,$A794,Feedback_360!$B$2:$B$1000,"&gt;="&amp;DATEVALUE($B794&amp;"-01"),Feedback_360!$B$2:$B$1000,"&lt;="&amp;EOMONTH(DATEVALUE($B794&amp;"-01"),0)))-1)/4*100,"")</f>
        <v/>
      </c>
      <c r="X794" t="str">
        <f ca="1">IFERROR(((AVERAGEIFS(Observacion_Directa!$D$2:$D$1000,Observacion_Directa!$A$2:$A$1000,$A794,Observacion_Directa!$B$2:$B$1000,"&gt;="&amp;DATEVALUE($B794&amp;"-01"),Observacion_Directa!$B$2:$B$1000,"&lt;="&amp;EOMONTH(DATEVALUE($B794&amp;"-01"),0)))-1)/4*100,"")</f>
        <v/>
      </c>
      <c r="Y794" t="e">
        <f t="shared" ca="1" si="25"/>
        <v>#DIV/0!</v>
      </c>
    </row>
    <row r="795" spans="12:25" x14ac:dyDescent="0.2">
      <c r="L795" t="str">
        <f t="shared" si="24"/>
        <v/>
      </c>
      <c r="M795" t="str">
        <f>IFERROR(AVERAGEIFS(Prod_5dias!$H$2:$H$1000,Prod_5dias!$A$2:$A$1000,$A795,Prod_5dias!$B$2:$B$1000,$B795),"")</f>
        <v/>
      </c>
      <c r="N795" t="str">
        <f>IF(M795="","",MIN(100,100*M795/Parametros!$B$7))</f>
        <v/>
      </c>
      <c r="O795" t="str">
        <f>IF(F795="","",IF(F795=0,100,MIN(100,100*Parametros!$B$3/F795)))</f>
        <v/>
      </c>
      <c r="P795" t="str">
        <f ca="1">IFERROR(((AVERAGEIFS(Observacion_Directa!$E$2:$E$1000,Observacion_Directa!$A$2:$A$1000,$A795,Observacion_Directa!$B$2:$B$1000,"&gt;="&amp;DATEVALUE($B795&amp;"-01"),Observacion_Directa!$B$2:$B$1000,"&lt;="&amp;EOMONTH(DATEVALUE($B795&amp;"-01"),0)))-1)/4*100,"")</f>
        <v/>
      </c>
      <c r="Q795" t="str">
        <f>IF(H795="","",MIN(100,100*H795/Parametros!$B$4))</f>
        <v/>
      </c>
      <c r="R795" t="str">
        <f>IF(I795="","",IF(I795=0,100,MIN(100,100*Parametros!$B$5/I795)))</f>
        <v/>
      </c>
      <c r="S795" t="str">
        <f>IF(J795="","",IF(J795=0,100,MIN(100,100*Parametros!$B$6/J795)))</f>
        <v/>
      </c>
      <c r="T795" t="str">
        <f>IF(L795="","",MIN(100,100*L795/Parametros!$B$7))</f>
        <v/>
      </c>
      <c r="U795" t="str">
        <f>IF(K795="","",MIN(100,100*K795/Parametros!$B$8))</f>
        <v/>
      </c>
      <c r="V795" t="str">
        <f ca="1">IFERROR(((AVERAGEIFS(Documentacion!$C$2:$C$1000,Documentacion!$A$2:$A$1000,$A795,Documentacion!$B$2:$B$1000,"&gt;="&amp;DATEVALUE($B795&amp;"-01"),Documentacion!$B$2:$B$1000,"&lt;="&amp;EOMONTH(DATEVALUE($B795&amp;"-01"),0)))-1)/4*100,"")</f>
        <v/>
      </c>
      <c r="W795" t="str">
        <f ca="1">IFERROR(((AVERAGEIFS(Feedback_360!$D$2:$D$1000,Feedback_360!$A$2:$A$1000,$A795,Feedback_360!$B$2:$B$1000,"&gt;="&amp;DATEVALUE($B795&amp;"-01"),Feedback_360!$B$2:$B$1000,"&lt;="&amp;EOMONTH(DATEVALUE($B795&amp;"-01"),0)))-1)/4*100,"")</f>
        <v/>
      </c>
      <c r="X795" t="str">
        <f ca="1">IFERROR(((AVERAGEIFS(Observacion_Directa!$D$2:$D$1000,Observacion_Directa!$A$2:$A$1000,$A795,Observacion_Directa!$B$2:$B$1000,"&gt;="&amp;DATEVALUE($B795&amp;"-01"),Observacion_Directa!$B$2:$B$1000,"&lt;="&amp;EOMONTH(DATEVALUE($B795&amp;"-01"),0)))-1)/4*100,"")</f>
        <v/>
      </c>
      <c r="Y795" t="e">
        <f t="shared" ca="1" si="25"/>
        <v>#DIV/0!</v>
      </c>
    </row>
    <row r="796" spans="12:25" x14ac:dyDescent="0.2">
      <c r="L796" t="str">
        <f t="shared" si="24"/>
        <v/>
      </c>
      <c r="M796" t="str">
        <f>IFERROR(AVERAGEIFS(Prod_5dias!$H$2:$H$1000,Prod_5dias!$A$2:$A$1000,$A796,Prod_5dias!$B$2:$B$1000,$B796),"")</f>
        <v/>
      </c>
      <c r="N796" t="str">
        <f>IF(M796="","",MIN(100,100*M796/Parametros!$B$7))</f>
        <v/>
      </c>
      <c r="O796" t="str">
        <f>IF(F796="","",IF(F796=0,100,MIN(100,100*Parametros!$B$3/F796)))</f>
        <v/>
      </c>
      <c r="P796" t="str">
        <f ca="1">IFERROR(((AVERAGEIFS(Observacion_Directa!$E$2:$E$1000,Observacion_Directa!$A$2:$A$1000,$A796,Observacion_Directa!$B$2:$B$1000,"&gt;="&amp;DATEVALUE($B796&amp;"-01"),Observacion_Directa!$B$2:$B$1000,"&lt;="&amp;EOMONTH(DATEVALUE($B796&amp;"-01"),0)))-1)/4*100,"")</f>
        <v/>
      </c>
      <c r="Q796" t="str">
        <f>IF(H796="","",MIN(100,100*H796/Parametros!$B$4))</f>
        <v/>
      </c>
      <c r="R796" t="str">
        <f>IF(I796="","",IF(I796=0,100,MIN(100,100*Parametros!$B$5/I796)))</f>
        <v/>
      </c>
      <c r="S796" t="str">
        <f>IF(J796="","",IF(J796=0,100,MIN(100,100*Parametros!$B$6/J796)))</f>
        <v/>
      </c>
      <c r="T796" t="str">
        <f>IF(L796="","",MIN(100,100*L796/Parametros!$B$7))</f>
        <v/>
      </c>
      <c r="U796" t="str">
        <f>IF(K796="","",MIN(100,100*K796/Parametros!$B$8))</f>
        <v/>
      </c>
      <c r="V796" t="str">
        <f ca="1">IFERROR(((AVERAGEIFS(Documentacion!$C$2:$C$1000,Documentacion!$A$2:$A$1000,$A796,Documentacion!$B$2:$B$1000,"&gt;="&amp;DATEVALUE($B796&amp;"-01"),Documentacion!$B$2:$B$1000,"&lt;="&amp;EOMONTH(DATEVALUE($B796&amp;"-01"),0)))-1)/4*100,"")</f>
        <v/>
      </c>
      <c r="W796" t="str">
        <f ca="1">IFERROR(((AVERAGEIFS(Feedback_360!$D$2:$D$1000,Feedback_360!$A$2:$A$1000,$A796,Feedback_360!$B$2:$B$1000,"&gt;="&amp;DATEVALUE($B796&amp;"-01"),Feedback_360!$B$2:$B$1000,"&lt;="&amp;EOMONTH(DATEVALUE($B796&amp;"-01"),0)))-1)/4*100,"")</f>
        <v/>
      </c>
      <c r="X796" t="str">
        <f ca="1">IFERROR(((AVERAGEIFS(Observacion_Directa!$D$2:$D$1000,Observacion_Directa!$A$2:$A$1000,$A796,Observacion_Directa!$B$2:$B$1000,"&gt;="&amp;DATEVALUE($B796&amp;"-01"),Observacion_Directa!$B$2:$B$1000,"&lt;="&amp;EOMONTH(DATEVALUE($B796&amp;"-01"),0)))-1)/4*100,"")</f>
        <v/>
      </c>
      <c r="Y796" t="e">
        <f t="shared" ca="1" si="25"/>
        <v>#DIV/0!</v>
      </c>
    </row>
    <row r="797" spans="12:25" x14ac:dyDescent="0.2">
      <c r="L797" t="str">
        <f t="shared" si="24"/>
        <v/>
      </c>
      <c r="M797" t="str">
        <f>IFERROR(AVERAGEIFS(Prod_5dias!$H$2:$H$1000,Prod_5dias!$A$2:$A$1000,$A797,Prod_5dias!$B$2:$B$1000,$B797),"")</f>
        <v/>
      </c>
      <c r="N797" t="str">
        <f>IF(M797="","",MIN(100,100*M797/Parametros!$B$7))</f>
        <v/>
      </c>
      <c r="O797" t="str">
        <f>IF(F797="","",IF(F797=0,100,MIN(100,100*Parametros!$B$3/F797)))</f>
        <v/>
      </c>
      <c r="P797" t="str">
        <f ca="1">IFERROR(((AVERAGEIFS(Observacion_Directa!$E$2:$E$1000,Observacion_Directa!$A$2:$A$1000,$A797,Observacion_Directa!$B$2:$B$1000,"&gt;="&amp;DATEVALUE($B797&amp;"-01"),Observacion_Directa!$B$2:$B$1000,"&lt;="&amp;EOMONTH(DATEVALUE($B797&amp;"-01"),0)))-1)/4*100,"")</f>
        <v/>
      </c>
      <c r="Q797" t="str">
        <f>IF(H797="","",MIN(100,100*H797/Parametros!$B$4))</f>
        <v/>
      </c>
      <c r="R797" t="str">
        <f>IF(I797="","",IF(I797=0,100,MIN(100,100*Parametros!$B$5/I797)))</f>
        <v/>
      </c>
      <c r="S797" t="str">
        <f>IF(J797="","",IF(J797=0,100,MIN(100,100*Parametros!$B$6/J797)))</f>
        <v/>
      </c>
      <c r="T797" t="str">
        <f>IF(L797="","",MIN(100,100*L797/Parametros!$B$7))</f>
        <v/>
      </c>
      <c r="U797" t="str">
        <f>IF(K797="","",MIN(100,100*K797/Parametros!$B$8))</f>
        <v/>
      </c>
      <c r="V797" t="str">
        <f ca="1">IFERROR(((AVERAGEIFS(Documentacion!$C$2:$C$1000,Documentacion!$A$2:$A$1000,$A797,Documentacion!$B$2:$B$1000,"&gt;="&amp;DATEVALUE($B797&amp;"-01"),Documentacion!$B$2:$B$1000,"&lt;="&amp;EOMONTH(DATEVALUE($B797&amp;"-01"),0)))-1)/4*100,"")</f>
        <v/>
      </c>
      <c r="W797" t="str">
        <f ca="1">IFERROR(((AVERAGEIFS(Feedback_360!$D$2:$D$1000,Feedback_360!$A$2:$A$1000,$A797,Feedback_360!$B$2:$B$1000,"&gt;="&amp;DATEVALUE($B797&amp;"-01"),Feedback_360!$B$2:$B$1000,"&lt;="&amp;EOMONTH(DATEVALUE($B797&amp;"-01"),0)))-1)/4*100,"")</f>
        <v/>
      </c>
      <c r="X797" t="str">
        <f ca="1">IFERROR(((AVERAGEIFS(Observacion_Directa!$D$2:$D$1000,Observacion_Directa!$A$2:$A$1000,$A797,Observacion_Directa!$B$2:$B$1000,"&gt;="&amp;DATEVALUE($B797&amp;"-01"),Observacion_Directa!$B$2:$B$1000,"&lt;="&amp;EOMONTH(DATEVALUE($B797&amp;"-01"),0)))-1)/4*100,"")</f>
        <v/>
      </c>
      <c r="Y797" t="e">
        <f t="shared" ca="1" si="25"/>
        <v>#DIV/0!</v>
      </c>
    </row>
    <row r="798" spans="12:25" x14ac:dyDescent="0.2">
      <c r="L798" t="str">
        <f t="shared" si="24"/>
        <v/>
      </c>
      <c r="M798" t="str">
        <f>IFERROR(AVERAGEIFS(Prod_5dias!$H$2:$H$1000,Prod_5dias!$A$2:$A$1000,$A798,Prod_5dias!$B$2:$B$1000,$B798),"")</f>
        <v/>
      </c>
      <c r="N798" t="str">
        <f>IF(M798="","",MIN(100,100*M798/Parametros!$B$7))</f>
        <v/>
      </c>
      <c r="O798" t="str">
        <f>IF(F798="","",IF(F798=0,100,MIN(100,100*Parametros!$B$3/F798)))</f>
        <v/>
      </c>
      <c r="P798" t="str">
        <f ca="1">IFERROR(((AVERAGEIFS(Observacion_Directa!$E$2:$E$1000,Observacion_Directa!$A$2:$A$1000,$A798,Observacion_Directa!$B$2:$B$1000,"&gt;="&amp;DATEVALUE($B798&amp;"-01"),Observacion_Directa!$B$2:$B$1000,"&lt;="&amp;EOMONTH(DATEVALUE($B798&amp;"-01"),0)))-1)/4*100,"")</f>
        <v/>
      </c>
      <c r="Q798" t="str">
        <f>IF(H798="","",MIN(100,100*H798/Parametros!$B$4))</f>
        <v/>
      </c>
      <c r="R798" t="str">
        <f>IF(I798="","",IF(I798=0,100,MIN(100,100*Parametros!$B$5/I798)))</f>
        <v/>
      </c>
      <c r="S798" t="str">
        <f>IF(J798="","",IF(J798=0,100,MIN(100,100*Parametros!$B$6/J798)))</f>
        <v/>
      </c>
      <c r="T798" t="str">
        <f>IF(L798="","",MIN(100,100*L798/Parametros!$B$7))</f>
        <v/>
      </c>
      <c r="U798" t="str">
        <f>IF(K798="","",MIN(100,100*K798/Parametros!$B$8))</f>
        <v/>
      </c>
      <c r="V798" t="str">
        <f ca="1">IFERROR(((AVERAGEIFS(Documentacion!$C$2:$C$1000,Documentacion!$A$2:$A$1000,$A798,Documentacion!$B$2:$B$1000,"&gt;="&amp;DATEVALUE($B798&amp;"-01"),Documentacion!$B$2:$B$1000,"&lt;="&amp;EOMONTH(DATEVALUE($B798&amp;"-01"),0)))-1)/4*100,"")</f>
        <v/>
      </c>
      <c r="W798" t="str">
        <f ca="1">IFERROR(((AVERAGEIFS(Feedback_360!$D$2:$D$1000,Feedback_360!$A$2:$A$1000,$A798,Feedback_360!$B$2:$B$1000,"&gt;="&amp;DATEVALUE($B798&amp;"-01"),Feedback_360!$B$2:$B$1000,"&lt;="&amp;EOMONTH(DATEVALUE($B798&amp;"-01"),0)))-1)/4*100,"")</f>
        <v/>
      </c>
      <c r="X798" t="str">
        <f ca="1">IFERROR(((AVERAGEIFS(Observacion_Directa!$D$2:$D$1000,Observacion_Directa!$A$2:$A$1000,$A798,Observacion_Directa!$B$2:$B$1000,"&gt;="&amp;DATEVALUE($B798&amp;"-01"),Observacion_Directa!$B$2:$B$1000,"&lt;="&amp;EOMONTH(DATEVALUE($B798&amp;"-01"),0)))-1)/4*100,"")</f>
        <v/>
      </c>
      <c r="Y798" t="e">
        <f t="shared" ca="1" si="25"/>
        <v>#DIV/0!</v>
      </c>
    </row>
    <row r="799" spans="12:25" x14ac:dyDescent="0.2">
      <c r="L799" t="str">
        <f t="shared" si="24"/>
        <v/>
      </c>
      <c r="M799" t="str">
        <f>IFERROR(AVERAGEIFS(Prod_5dias!$H$2:$H$1000,Prod_5dias!$A$2:$A$1000,$A799,Prod_5dias!$B$2:$B$1000,$B799),"")</f>
        <v/>
      </c>
      <c r="N799" t="str">
        <f>IF(M799="","",MIN(100,100*M799/Parametros!$B$7))</f>
        <v/>
      </c>
      <c r="O799" t="str">
        <f>IF(F799="","",IF(F799=0,100,MIN(100,100*Parametros!$B$3/F799)))</f>
        <v/>
      </c>
      <c r="P799" t="str">
        <f ca="1">IFERROR(((AVERAGEIFS(Observacion_Directa!$E$2:$E$1000,Observacion_Directa!$A$2:$A$1000,$A799,Observacion_Directa!$B$2:$B$1000,"&gt;="&amp;DATEVALUE($B799&amp;"-01"),Observacion_Directa!$B$2:$B$1000,"&lt;="&amp;EOMONTH(DATEVALUE($B799&amp;"-01"),0)))-1)/4*100,"")</f>
        <v/>
      </c>
      <c r="Q799" t="str">
        <f>IF(H799="","",MIN(100,100*H799/Parametros!$B$4))</f>
        <v/>
      </c>
      <c r="R799" t="str">
        <f>IF(I799="","",IF(I799=0,100,MIN(100,100*Parametros!$B$5/I799)))</f>
        <v/>
      </c>
      <c r="S799" t="str">
        <f>IF(J799="","",IF(J799=0,100,MIN(100,100*Parametros!$B$6/J799)))</f>
        <v/>
      </c>
      <c r="T799" t="str">
        <f>IF(L799="","",MIN(100,100*L799/Parametros!$B$7))</f>
        <v/>
      </c>
      <c r="U799" t="str">
        <f>IF(K799="","",MIN(100,100*K799/Parametros!$B$8))</f>
        <v/>
      </c>
      <c r="V799" t="str">
        <f ca="1">IFERROR(((AVERAGEIFS(Documentacion!$C$2:$C$1000,Documentacion!$A$2:$A$1000,$A799,Documentacion!$B$2:$B$1000,"&gt;="&amp;DATEVALUE($B799&amp;"-01"),Documentacion!$B$2:$B$1000,"&lt;="&amp;EOMONTH(DATEVALUE($B799&amp;"-01"),0)))-1)/4*100,"")</f>
        <v/>
      </c>
      <c r="W799" t="str">
        <f ca="1">IFERROR(((AVERAGEIFS(Feedback_360!$D$2:$D$1000,Feedback_360!$A$2:$A$1000,$A799,Feedback_360!$B$2:$B$1000,"&gt;="&amp;DATEVALUE($B799&amp;"-01"),Feedback_360!$B$2:$B$1000,"&lt;="&amp;EOMONTH(DATEVALUE($B799&amp;"-01"),0)))-1)/4*100,"")</f>
        <v/>
      </c>
      <c r="X799" t="str">
        <f ca="1">IFERROR(((AVERAGEIFS(Observacion_Directa!$D$2:$D$1000,Observacion_Directa!$A$2:$A$1000,$A799,Observacion_Directa!$B$2:$B$1000,"&gt;="&amp;DATEVALUE($B799&amp;"-01"),Observacion_Directa!$B$2:$B$1000,"&lt;="&amp;EOMONTH(DATEVALUE($B799&amp;"-01"),0)))-1)/4*100,"")</f>
        <v/>
      </c>
      <c r="Y799" t="e">
        <f t="shared" ca="1" si="25"/>
        <v>#DIV/0!</v>
      </c>
    </row>
    <row r="800" spans="12:25" x14ac:dyDescent="0.2">
      <c r="L800" t="str">
        <f t="shared" si="24"/>
        <v/>
      </c>
      <c r="M800" t="str">
        <f>IFERROR(AVERAGEIFS(Prod_5dias!$H$2:$H$1000,Prod_5dias!$A$2:$A$1000,$A800,Prod_5dias!$B$2:$B$1000,$B800),"")</f>
        <v/>
      </c>
      <c r="N800" t="str">
        <f>IF(M800="","",MIN(100,100*M800/Parametros!$B$7))</f>
        <v/>
      </c>
      <c r="O800" t="str">
        <f>IF(F800="","",IF(F800=0,100,MIN(100,100*Parametros!$B$3/F800)))</f>
        <v/>
      </c>
      <c r="P800" t="str">
        <f ca="1">IFERROR(((AVERAGEIFS(Observacion_Directa!$E$2:$E$1000,Observacion_Directa!$A$2:$A$1000,$A800,Observacion_Directa!$B$2:$B$1000,"&gt;="&amp;DATEVALUE($B800&amp;"-01"),Observacion_Directa!$B$2:$B$1000,"&lt;="&amp;EOMONTH(DATEVALUE($B800&amp;"-01"),0)))-1)/4*100,"")</f>
        <v/>
      </c>
      <c r="Q800" t="str">
        <f>IF(H800="","",MIN(100,100*H800/Parametros!$B$4))</f>
        <v/>
      </c>
      <c r="R800" t="str">
        <f>IF(I800="","",IF(I800=0,100,MIN(100,100*Parametros!$B$5/I800)))</f>
        <v/>
      </c>
      <c r="S800" t="str">
        <f>IF(J800="","",IF(J800=0,100,MIN(100,100*Parametros!$B$6/J800)))</f>
        <v/>
      </c>
      <c r="T800" t="str">
        <f>IF(L800="","",MIN(100,100*L800/Parametros!$B$7))</f>
        <v/>
      </c>
      <c r="U800" t="str">
        <f>IF(K800="","",MIN(100,100*K800/Parametros!$B$8))</f>
        <v/>
      </c>
      <c r="V800" t="str">
        <f ca="1">IFERROR(((AVERAGEIFS(Documentacion!$C$2:$C$1000,Documentacion!$A$2:$A$1000,$A800,Documentacion!$B$2:$B$1000,"&gt;="&amp;DATEVALUE($B800&amp;"-01"),Documentacion!$B$2:$B$1000,"&lt;="&amp;EOMONTH(DATEVALUE($B800&amp;"-01"),0)))-1)/4*100,"")</f>
        <v/>
      </c>
      <c r="W800" t="str">
        <f ca="1">IFERROR(((AVERAGEIFS(Feedback_360!$D$2:$D$1000,Feedback_360!$A$2:$A$1000,$A800,Feedback_360!$B$2:$B$1000,"&gt;="&amp;DATEVALUE($B800&amp;"-01"),Feedback_360!$B$2:$B$1000,"&lt;="&amp;EOMONTH(DATEVALUE($B800&amp;"-01"),0)))-1)/4*100,"")</f>
        <v/>
      </c>
      <c r="X800" t="str">
        <f ca="1">IFERROR(((AVERAGEIFS(Observacion_Directa!$D$2:$D$1000,Observacion_Directa!$A$2:$A$1000,$A800,Observacion_Directa!$B$2:$B$1000,"&gt;="&amp;DATEVALUE($B800&amp;"-01"),Observacion_Directa!$B$2:$B$1000,"&lt;="&amp;EOMONTH(DATEVALUE($B800&amp;"-01"),0)))-1)/4*100,"")</f>
        <v/>
      </c>
      <c r="Y800" t="e">
        <f t="shared" ca="1" si="25"/>
        <v>#DIV/0!</v>
      </c>
    </row>
    <row r="801" spans="12:25" x14ac:dyDescent="0.2">
      <c r="L801" t="str">
        <f t="shared" si="24"/>
        <v/>
      </c>
      <c r="M801" t="str">
        <f>IFERROR(AVERAGEIFS(Prod_5dias!$H$2:$H$1000,Prod_5dias!$A$2:$A$1000,$A801,Prod_5dias!$B$2:$B$1000,$B801),"")</f>
        <v/>
      </c>
      <c r="N801" t="str">
        <f>IF(M801="","",MIN(100,100*M801/Parametros!$B$7))</f>
        <v/>
      </c>
      <c r="O801" t="str">
        <f>IF(F801="","",IF(F801=0,100,MIN(100,100*Parametros!$B$3/F801)))</f>
        <v/>
      </c>
      <c r="P801" t="str">
        <f ca="1">IFERROR(((AVERAGEIFS(Observacion_Directa!$E$2:$E$1000,Observacion_Directa!$A$2:$A$1000,$A801,Observacion_Directa!$B$2:$B$1000,"&gt;="&amp;DATEVALUE($B801&amp;"-01"),Observacion_Directa!$B$2:$B$1000,"&lt;="&amp;EOMONTH(DATEVALUE($B801&amp;"-01"),0)))-1)/4*100,"")</f>
        <v/>
      </c>
      <c r="Q801" t="str">
        <f>IF(H801="","",MIN(100,100*H801/Parametros!$B$4))</f>
        <v/>
      </c>
      <c r="R801" t="str">
        <f>IF(I801="","",IF(I801=0,100,MIN(100,100*Parametros!$B$5/I801)))</f>
        <v/>
      </c>
      <c r="S801" t="str">
        <f>IF(J801="","",IF(J801=0,100,MIN(100,100*Parametros!$B$6/J801)))</f>
        <v/>
      </c>
      <c r="T801" t="str">
        <f>IF(L801="","",MIN(100,100*L801/Parametros!$B$7))</f>
        <v/>
      </c>
      <c r="U801" t="str">
        <f>IF(K801="","",MIN(100,100*K801/Parametros!$B$8))</f>
        <v/>
      </c>
      <c r="V801" t="str">
        <f ca="1">IFERROR(((AVERAGEIFS(Documentacion!$C$2:$C$1000,Documentacion!$A$2:$A$1000,$A801,Documentacion!$B$2:$B$1000,"&gt;="&amp;DATEVALUE($B801&amp;"-01"),Documentacion!$B$2:$B$1000,"&lt;="&amp;EOMONTH(DATEVALUE($B801&amp;"-01"),0)))-1)/4*100,"")</f>
        <v/>
      </c>
      <c r="W801" t="str">
        <f ca="1">IFERROR(((AVERAGEIFS(Feedback_360!$D$2:$D$1000,Feedback_360!$A$2:$A$1000,$A801,Feedback_360!$B$2:$B$1000,"&gt;="&amp;DATEVALUE($B801&amp;"-01"),Feedback_360!$B$2:$B$1000,"&lt;="&amp;EOMONTH(DATEVALUE($B801&amp;"-01"),0)))-1)/4*100,"")</f>
        <v/>
      </c>
      <c r="X801" t="str">
        <f ca="1">IFERROR(((AVERAGEIFS(Observacion_Directa!$D$2:$D$1000,Observacion_Directa!$A$2:$A$1000,$A801,Observacion_Directa!$B$2:$B$1000,"&gt;="&amp;DATEVALUE($B801&amp;"-01"),Observacion_Directa!$B$2:$B$1000,"&lt;="&amp;EOMONTH(DATEVALUE($B801&amp;"-01"),0)))-1)/4*100,"")</f>
        <v/>
      </c>
      <c r="Y801" t="e">
        <f t="shared" ca="1" si="25"/>
        <v>#DIV/0!</v>
      </c>
    </row>
    <row r="802" spans="12:25" x14ac:dyDescent="0.2">
      <c r="L802" t="str">
        <f t="shared" si="24"/>
        <v/>
      </c>
      <c r="M802" t="str">
        <f>IFERROR(AVERAGEIFS(Prod_5dias!$H$2:$H$1000,Prod_5dias!$A$2:$A$1000,$A802,Prod_5dias!$B$2:$B$1000,$B802),"")</f>
        <v/>
      </c>
      <c r="N802" t="str">
        <f>IF(M802="","",MIN(100,100*M802/Parametros!$B$7))</f>
        <v/>
      </c>
      <c r="O802" t="str">
        <f>IF(F802="","",IF(F802=0,100,MIN(100,100*Parametros!$B$3/F802)))</f>
        <v/>
      </c>
      <c r="P802" t="str">
        <f ca="1">IFERROR(((AVERAGEIFS(Observacion_Directa!$E$2:$E$1000,Observacion_Directa!$A$2:$A$1000,$A802,Observacion_Directa!$B$2:$B$1000,"&gt;="&amp;DATEVALUE($B802&amp;"-01"),Observacion_Directa!$B$2:$B$1000,"&lt;="&amp;EOMONTH(DATEVALUE($B802&amp;"-01"),0)))-1)/4*100,"")</f>
        <v/>
      </c>
      <c r="Q802" t="str">
        <f>IF(H802="","",MIN(100,100*H802/Parametros!$B$4))</f>
        <v/>
      </c>
      <c r="R802" t="str">
        <f>IF(I802="","",IF(I802=0,100,MIN(100,100*Parametros!$B$5/I802)))</f>
        <v/>
      </c>
      <c r="S802" t="str">
        <f>IF(J802="","",IF(J802=0,100,MIN(100,100*Parametros!$B$6/J802)))</f>
        <v/>
      </c>
      <c r="T802" t="str">
        <f>IF(L802="","",MIN(100,100*L802/Parametros!$B$7))</f>
        <v/>
      </c>
      <c r="U802" t="str">
        <f>IF(K802="","",MIN(100,100*K802/Parametros!$B$8))</f>
        <v/>
      </c>
      <c r="V802" t="str">
        <f ca="1">IFERROR(((AVERAGEIFS(Documentacion!$C$2:$C$1000,Documentacion!$A$2:$A$1000,$A802,Documentacion!$B$2:$B$1000,"&gt;="&amp;DATEVALUE($B802&amp;"-01"),Documentacion!$B$2:$B$1000,"&lt;="&amp;EOMONTH(DATEVALUE($B802&amp;"-01"),0)))-1)/4*100,"")</f>
        <v/>
      </c>
      <c r="W802" t="str">
        <f ca="1">IFERROR(((AVERAGEIFS(Feedback_360!$D$2:$D$1000,Feedback_360!$A$2:$A$1000,$A802,Feedback_360!$B$2:$B$1000,"&gt;="&amp;DATEVALUE($B802&amp;"-01"),Feedback_360!$B$2:$B$1000,"&lt;="&amp;EOMONTH(DATEVALUE($B802&amp;"-01"),0)))-1)/4*100,"")</f>
        <v/>
      </c>
      <c r="X802" t="str">
        <f ca="1">IFERROR(((AVERAGEIFS(Observacion_Directa!$D$2:$D$1000,Observacion_Directa!$A$2:$A$1000,$A802,Observacion_Directa!$B$2:$B$1000,"&gt;="&amp;DATEVALUE($B802&amp;"-01"),Observacion_Directa!$B$2:$B$1000,"&lt;="&amp;EOMONTH(DATEVALUE($B802&amp;"-01"),0)))-1)/4*100,"")</f>
        <v/>
      </c>
      <c r="Y802" t="e">
        <f t="shared" ca="1" si="25"/>
        <v>#DIV/0!</v>
      </c>
    </row>
    <row r="803" spans="12:25" x14ac:dyDescent="0.2">
      <c r="L803" t="str">
        <f t="shared" si="24"/>
        <v/>
      </c>
      <c r="M803" t="str">
        <f>IFERROR(AVERAGEIFS(Prod_5dias!$H$2:$H$1000,Prod_5dias!$A$2:$A$1000,$A803,Prod_5dias!$B$2:$B$1000,$B803),"")</f>
        <v/>
      </c>
      <c r="N803" t="str">
        <f>IF(M803="","",MIN(100,100*M803/Parametros!$B$7))</f>
        <v/>
      </c>
      <c r="O803" t="str">
        <f>IF(F803="","",IF(F803=0,100,MIN(100,100*Parametros!$B$3/F803)))</f>
        <v/>
      </c>
      <c r="P803" t="str">
        <f ca="1">IFERROR(((AVERAGEIFS(Observacion_Directa!$E$2:$E$1000,Observacion_Directa!$A$2:$A$1000,$A803,Observacion_Directa!$B$2:$B$1000,"&gt;="&amp;DATEVALUE($B803&amp;"-01"),Observacion_Directa!$B$2:$B$1000,"&lt;="&amp;EOMONTH(DATEVALUE($B803&amp;"-01"),0)))-1)/4*100,"")</f>
        <v/>
      </c>
      <c r="Q803" t="str">
        <f>IF(H803="","",MIN(100,100*H803/Parametros!$B$4))</f>
        <v/>
      </c>
      <c r="R803" t="str">
        <f>IF(I803="","",IF(I803=0,100,MIN(100,100*Parametros!$B$5/I803)))</f>
        <v/>
      </c>
      <c r="S803" t="str">
        <f>IF(J803="","",IF(J803=0,100,MIN(100,100*Parametros!$B$6/J803)))</f>
        <v/>
      </c>
      <c r="T803" t="str">
        <f>IF(L803="","",MIN(100,100*L803/Parametros!$B$7))</f>
        <v/>
      </c>
      <c r="U803" t="str">
        <f>IF(K803="","",MIN(100,100*K803/Parametros!$B$8))</f>
        <v/>
      </c>
      <c r="V803" t="str">
        <f ca="1">IFERROR(((AVERAGEIFS(Documentacion!$C$2:$C$1000,Documentacion!$A$2:$A$1000,$A803,Documentacion!$B$2:$B$1000,"&gt;="&amp;DATEVALUE($B803&amp;"-01"),Documentacion!$B$2:$B$1000,"&lt;="&amp;EOMONTH(DATEVALUE($B803&amp;"-01"),0)))-1)/4*100,"")</f>
        <v/>
      </c>
      <c r="W803" t="str">
        <f ca="1">IFERROR(((AVERAGEIFS(Feedback_360!$D$2:$D$1000,Feedback_360!$A$2:$A$1000,$A803,Feedback_360!$B$2:$B$1000,"&gt;="&amp;DATEVALUE($B803&amp;"-01"),Feedback_360!$B$2:$B$1000,"&lt;="&amp;EOMONTH(DATEVALUE($B803&amp;"-01"),0)))-1)/4*100,"")</f>
        <v/>
      </c>
      <c r="X803" t="str">
        <f ca="1">IFERROR(((AVERAGEIFS(Observacion_Directa!$D$2:$D$1000,Observacion_Directa!$A$2:$A$1000,$A803,Observacion_Directa!$B$2:$B$1000,"&gt;="&amp;DATEVALUE($B803&amp;"-01"),Observacion_Directa!$B$2:$B$1000,"&lt;="&amp;EOMONTH(DATEVALUE($B803&amp;"-01"),0)))-1)/4*100,"")</f>
        <v/>
      </c>
      <c r="Y803" t="e">
        <f t="shared" ca="1" si="25"/>
        <v>#DIV/0!</v>
      </c>
    </row>
    <row r="804" spans="12:25" x14ac:dyDescent="0.2">
      <c r="L804" t="str">
        <f t="shared" si="24"/>
        <v/>
      </c>
      <c r="M804" t="str">
        <f>IFERROR(AVERAGEIFS(Prod_5dias!$H$2:$H$1000,Prod_5dias!$A$2:$A$1000,$A804,Prod_5dias!$B$2:$B$1000,$B804),"")</f>
        <v/>
      </c>
      <c r="N804" t="str">
        <f>IF(M804="","",MIN(100,100*M804/Parametros!$B$7))</f>
        <v/>
      </c>
      <c r="O804" t="str">
        <f>IF(F804="","",IF(F804=0,100,MIN(100,100*Parametros!$B$3/F804)))</f>
        <v/>
      </c>
      <c r="P804" t="str">
        <f ca="1">IFERROR(((AVERAGEIFS(Observacion_Directa!$E$2:$E$1000,Observacion_Directa!$A$2:$A$1000,$A804,Observacion_Directa!$B$2:$B$1000,"&gt;="&amp;DATEVALUE($B804&amp;"-01"),Observacion_Directa!$B$2:$B$1000,"&lt;="&amp;EOMONTH(DATEVALUE($B804&amp;"-01"),0)))-1)/4*100,"")</f>
        <v/>
      </c>
      <c r="Q804" t="str">
        <f>IF(H804="","",MIN(100,100*H804/Parametros!$B$4))</f>
        <v/>
      </c>
      <c r="R804" t="str">
        <f>IF(I804="","",IF(I804=0,100,MIN(100,100*Parametros!$B$5/I804)))</f>
        <v/>
      </c>
      <c r="S804" t="str">
        <f>IF(J804="","",IF(J804=0,100,MIN(100,100*Parametros!$B$6/J804)))</f>
        <v/>
      </c>
      <c r="T804" t="str">
        <f>IF(L804="","",MIN(100,100*L804/Parametros!$B$7))</f>
        <v/>
      </c>
      <c r="U804" t="str">
        <f>IF(K804="","",MIN(100,100*K804/Parametros!$B$8))</f>
        <v/>
      </c>
      <c r="V804" t="str">
        <f ca="1">IFERROR(((AVERAGEIFS(Documentacion!$C$2:$C$1000,Documentacion!$A$2:$A$1000,$A804,Documentacion!$B$2:$B$1000,"&gt;="&amp;DATEVALUE($B804&amp;"-01"),Documentacion!$B$2:$B$1000,"&lt;="&amp;EOMONTH(DATEVALUE($B804&amp;"-01"),0)))-1)/4*100,"")</f>
        <v/>
      </c>
      <c r="W804" t="str">
        <f ca="1">IFERROR(((AVERAGEIFS(Feedback_360!$D$2:$D$1000,Feedback_360!$A$2:$A$1000,$A804,Feedback_360!$B$2:$B$1000,"&gt;="&amp;DATEVALUE($B804&amp;"-01"),Feedback_360!$B$2:$B$1000,"&lt;="&amp;EOMONTH(DATEVALUE($B804&amp;"-01"),0)))-1)/4*100,"")</f>
        <v/>
      </c>
      <c r="X804" t="str">
        <f ca="1">IFERROR(((AVERAGEIFS(Observacion_Directa!$D$2:$D$1000,Observacion_Directa!$A$2:$A$1000,$A804,Observacion_Directa!$B$2:$B$1000,"&gt;="&amp;DATEVALUE($B804&amp;"-01"),Observacion_Directa!$B$2:$B$1000,"&lt;="&amp;EOMONTH(DATEVALUE($B804&amp;"-01"),0)))-1)/4*100,"")</f>
        <v/>
      </c>
      <c r="Y804" t="e">
        <f t="shared" ca="1" si="25"/>
        <v>#DIV/0!</v>
      </c>
    </row>
    <row r="805" spans="12:25" x14ac:dyDescent="0.2">
      <c r="L805" t="str">
        <f t="shared" si="24"/>
        <v/>
      </c>
      <c r="M805" t="str">
        <f>IFERROR(AVERAGEIFS(Prod_5dias!$H$2:$H$1000,Prod_5dias!$A$2:$A$1000,$A805,Prod_5dias!$B$2:$B$1000,$B805),"")</f>
        <v/>
      </c>
      <c r="N805" t="str">
        <f>IF(M805="","",MIN(100,100*M805/Parametros!$B$7))</f>
        <v/>
      </c>
      <c r="O805" t="str">
        <f>IF(F805="","",IF(F805=0,100,MIN(100,100*Parametros!$B$3/F805)))</f>
        <v/>
      </c>
      <c r="P805" t="str">
        <f ca="1">IFERROR(((AVERAGEIFS(Observacion_Directa!$E$2:$E$1000,Observacion_Directa!$A$2:$A$1000,$A805,Observacion_Directa!$B$2:$B$1000,"&gt;="&amp;DATEVALUE($B805&amp;"-01"),Observacion_Directa!$B$2:$B$1000,"&lt;="&amp;EOMONTH(DATEVALUE($B805&amp;"-01"),0)))-1)/4*100,"")</f>
        <v/>
      </c>
      <c r="Q805" t="str">
        <f>IF(H805="","",MIN(100,100*H805/Parametros!$B$4))</f>
        <v/>
      </c>
      <c r="R805" t="str">
        <f>IF(I805="","",IF(I805=0,100,MIN(100,100*Parametros!$B$5/I805)))</f>
        <v/>
      </c>
      <c r="S805" t="str">
        <f>IF(J805="","",IF(J805=0,100,MIN(100,100*Parametros!$B$6/J805)))</f>
        <v/>
      </c>
      <c r="T805" t="str">
        <f>IF(L805="","",MIN(100,100*L805/Parametros!$B$7))</f>
        <v/>
      </c>
      <c r="U805" t="str">
        <f>IF(K805="","",MIN(100,100*K805/Parametros!$B$8))</f>
        <v/>
      </c>
      <c r="V805" t="str">
        <f ca="1">IFERROR(((AVERAGEIFS(Documentacion!$C$2:$C$1000,Documentacion!$A$2:$A$1000,$A805,Documentacion!$B$2:$B$1000,"&gt;="&amp;DATEVALUE($B805&amp;"-01"),Documentacion!$B$2:$B$1000,"&lt;="&amp;EOMONTH(DATEVALUE($B805&amp;"-01"),0)))-1)/4*100,"")</f>
        <v/>
      </c>
      <c r="W805" t="str">
        <f ca="1">IFERROR(((AVERAGEIFS(Feedback_360!$D$2:$D$1000,Feedback_360!$A$2:$A$1000,$A805,Feedback_360!$B$2:$B$1000,"&gt;="&amp;DATEVALUE($B805&amp;"-01"),Feedback_360!$B$2:$B$1000,"&lt;="&amp;EOMONTH(DATEVALUE($B805&amp;"-01"),0)))-1)/4*100,"")</f>
        <v/>
      </c>
      <c r="X805" t="str">
        <f ca="1">IFERROR(((AVERAGEIFS(Observacion_Directa!$D$2:$D$1000,Observacion_Directa!$A$2:$A$1000,$A805,Observacion_Directa!$B$2:$B$1000,"&gt;="&amp;DATEVALUE($B805&amp;"-01"),Observacion_Directa!$B$2:$B$1000,"&lt;="&amp;EOMONTH(DATEVALUE($B805&amp;"-01"),0)))-1)/4*100,"")</f>
        <v/>
      </c>
      <c r="Y805" t="e">
        <f t="shared" ca="1" si="25"/>
        <v>#DIV/0!</v>
      </c>
    </row>
    <row r="806" spans="12:25" x14ac:dyDescent="0.2">
      <c r="L806" t="str">
        <f t="shared" si="24"/>
        <v/>
      </c>
      <c r="M806" t="str">
        <f>IFERROR(AVERAGEIFS(Prod_5dias!$H$2:$H$1000,Prod_5dias!$A$2:$A$1000,$A806,Prod_5dias!$B$2:$B$1000,$B806),"")</f>
        <v/>
      </c>
      <c r="N806" t="str">
        <f>IF(M806="","",MIN(100,100*M806/Parametros!$B$7))</f>
        <v/>
      </c>
      <c r="O806" t="str">
        <f>IF(F806="","",IF(F806=0,100,MIN(100,100*Parametros!$B$3/F806)))</f>
        <v/>
      </c>
      <c r="P806" t="str">
        <f ca="1">IFERROR(((AVERAGEIFS(Observacion_Directa!$E$2:$E$1000,Observacion_Directa!$A$2:$A$1000,$A806,Observacion_Directa!$B$2:$B$1000,"&gt;="&amp;DATEVALUE($B806&amp;"-01"),Observacion_Directa!$B$2:$B$1000,"&lt;="&amp;EOMONTH(DATEVALUE($B806&amp;"-01"),0)))-1)/4*100,"")</f>
        <v/>
      </c>
      <c r="Q806" t="str">
        <f>IF(H806="","",MIN(100,100*H806/Parametros!$B$4))</f>
        <v/>
      </c>
      <c r="R806" t="str">
        <f>IF(I806="","",IF(I806=0,100,MIN(100,100*Parametros!$B$5/I806)))</f>
        <v/>
      </c>
      <c r="S806" t="str">
        <f>IF(J806="","",IF(J806=0,100,MIN(100,100*Parametros!$B$6/J806)))</f>
        <v/>
      </c>
      <c r="T806" t="str">
        <f>IF(L806="","",MIN(100,100*L806/Parametros!$B$7))</f>
        <v/>
      </c>
      <c r="U806" t="str">
        <f>IF(K806="","",MIN(100,100*K806/Parametros!$B$8))</f>
        <v/>
      </c>
      <c r="V806" t="str">
        <f ca="1">IFERROR(((AVERAGEIFS(Documentacion!$C$2:$C$1000,Documentacion!$A$2:$A$1000,$A806,Documentacion!$B$2:$B$1000,"&gt;="&amp;DATEVALUE($B806&amp;"-01"),Documentacion!$B$2:$B$1000,"&lt;="&amp;EOMONTH(DATEVALUE($B806&amp;"-01"),0)))-1)/4*100,"")</f>
        <v/>
      </c>
      <c r="W806" t="str">
        <f ca="1">IFERROR(((AVERAGEIFS(Feedback_360!$D$2:$D$1000,Feedback_360!$A$2:$A$1000,$A806,Feedback_360!$B$2:$B$1000,"&gt;="&amp;DATEVALUE($B806&amp;"-01"),Feedback_360!$B$2:$B$1000,"&lt;="&amp;EOMONTH(DATEVALUE($B806&amp;"-01"),0)))-1)/4*100,"")</f>
        <v/>
      </c>
      <c r="X806" t="str">
        <f ca="1">IFERROR(((AVERAGEIFS(Observacion_Directa!$D$2:$D$1000,Observacion_Directa!$A$2:$A$1000,$A806,Observacion_Directa!$B$2:$B$1000,"&gt;="&amp;DATEVALUE($B806&amp;"-01"),Observacion_Directa!$B$2:$B$1000,"&lt;="&amp;EOMONTH(DATEVALUE($B806&amp;"-01"),0)))-1)/4*100,"")</f>
        <v/>
      </c>
      <c r="Y806" t="e">
        <f t="shared" ca="1" si="25"/>
        <v>#DIV/0!</v>
      </c>
    </row>
    <row r="807" spans="12:25" x14ac:dyDescent="0.2">
      <c r="L807" t="str">
        <f t="shared" si="24"/>
        <v/>
      </c>
      <c r="M807" t="str">
        <f>IFERROR(AVERAGEIFS(Prod_5dias!$H$2:$H$1000,Prod_5dias!$A$2:$A$1000,$A807,Prod_5dias!$B$2:$B$1000,$B807),"")</f>
        <v/>
      </c>
      <c r="N807" t="str">
        <f>IF(M807="","",MIN(100,100*M807/Parametros!$B$7))</f>
        <v/>
      </c>
      <c r="O807" t="str">
        <f>IF(F807="","",IF(F807=0,100,MIN(100,100*Parametros!$B$3/F807)))</f>
        <v/>
      </c>
      <c r="P807" t="str">
        <f ca="1">IFERROR(((AVERAGEIFS(Observacion_Directa!$E$2:$E$1000,Observacion_Directa!$A$2:$A$1000,$A807,Observacion_Directa!$B$2:$B$1000,"&gt;="&amp;DATEVALUE($B807&amp;"-01"),Observacion_Directa!$B$2:$B$1000,"&lt;="&amp;EOMONTH(DATEVALUE($B807&amp;"-01"),0)))-1)/4*100,"")</f>
        <v/>
      </c>
      <c r="Q807" t="str">
        <f>IF(H807="","",MIN(100,100*H807/Parametros!$B$4))</f>
        <v/>
      </c>
      <c r="R807" t="str">
        <f>IF(I807="","",IF(I807=0,100,MIN(100,100*Parametros!$B$5/I807)))</f>
        <v/>
      </c>
      <c r="S807" t="str">
        <f>IF(J807="","",IF(J807=0,100,MIN(100,100*Parametros!$B$6/J807)))</f>
        <v/>
      </c>
      <c r="T807" t="str">
        <f>IF(L807="","",MIN(100,100*L807/Parametros!$B$7))</f>
        <v/>
      </c>
      <c r="U807" t="str">
        <f>IF(K807="","",MIN(100,100*K807/Parametros!$B$8))</f>
        <v/>
      </c>
      <c r="V807" t="str">
        <f ca="1">IFERROR(((AVERAGEIFS(Documentacion!$C$2:$C$1000,Documentacion!$A$2:$A$1000,$A807,Documentacion!$B$2:$B$1000,"&gt;="&amp;DATEVALUE($B807&amp;"-01"),Documentacion!$B$2:$B$1000,"&lt;="&amp;EOMONTH(DATEVALUE($B807&amp;"-01"),0)))-1)/4*100,"")</f>
        <v/>
      </c>
      <c r="W807" t="str">
        <f ca="1">IFERROR(((AVERAGEIFS(Feedback_360!$D$2:$D$1000,Feedback_360!$A$2:$A$1000,$A807,Feedback_360!$B$2:$B$1000,"&gt;="&amp;DATEVALUE($B807&amp;"-01"),Feedback_360!$B$2:$B$1000,"&lt;="&amp;EOMONTH(DATEVALUE($B807&amp;"-01"),0)))-1)/4*100,"")</f>
        <v/>
      </c>
      <c r="X807" t="str">
        <f ca="1">IFERROR(((AVERAGEIFS(Observacion_Directa!$D$2:$D$1000,Observacion_Directa!$A$2:$A$1000,$A807,Observacion_Directa!$B$2:$B$1000,"&gt;="&amp;DATEVALUE($B807&amp;"-01"),Observacion_Directa!$B$2:$B$1000,"&lt;="&amp;EOMONTH(DATEVALUE($B807&amp;"-01"),0)))-1)/4*100,"")</f>
        <v/>
      </c>
      <c r="Y807" t="e">
        <f t="shared" ca="1" si="25"/>
        <v>#DIV/0!</v>
      </c>
    </row>
    <row r="808" spans="12:25" x14ac:dyDescent="0.2">
      <c r="L808" t="str">
        <f t="shared" si="24"/>
        <v/>
      </c>
      <c r="M808" t="str">
        <f>IFERROR(AVERAGEIFS(Prod_5dias!$H$2:$H$1000,Prod_5dias!$A$2:$A$1000,$A808,Prod_5dias!$B$2:$B$1000,$B808),"")</f>
        <v/>
      </c>
      <c r="N808" t="str">
        <f>IF(M808="","",MIN(100,100*M808/Parametros!$B$7))</f>
        <v/>
      </c>
      <c r="O808" t="str">
        <f>IF(F808="","",IF(F808=0,100,MIN(100,100*Parametros!$B$3/F808)))</f>
        <v/>
      </c>
      <c r="P808" t="str">
        <f ca="1">IFERROR(((AVERAGEIFS(Observacion_Directa!$E$2:$E$1000,Observacion_Directa!$A$2:$A$1000,$A808,Observacion_Directa!$B$2:$B$1000,"&gt;="&amp;DATEVALUE($B808&amp;"-01"),Observacion_Directa!$B$2:$B$1000,"&lt;="&amp;EOMONTH(DATEVALUE($B808&amp;"-01"),0)))-1)/4*100,"")</f>
        <v/>
      </c>
      <c r="Q808" t="str">
        <f>IF(H808="","",MIN(100,100*H808/Parametros!$B$4))</f>
        <v/>
      </c>
      <c r="R808" t="str">
        <f>IF(I808="","",IF(I808=0,100,MIN(100,100*Parametros!$B$5/I808)))</f>
        <v/>
      </c>
      <c r="S808" t="str">
        <f>IF(J808="","",IF(J808=0,100,MIN(100,100*Parametros!$B$6/J808)))</f>
        <v/>
      </c>
      <c r="T808" t="str">
        <f>IF(L808="","",MIN(100,100*L808/Parametros!$B$7))</f>
        <v/>
      </c>
      <c r="U808" t="str">
        <f>IF(K808="","",MIN(100,100*K808/Parametros!$B$8))</f>
        <v/>
      </c>
      <c r="V808" t="str">
        <f ca="1">IFERROR(((AVERAGEIFS(Documentacion!$C$2:$C$1000,Documentacion!$A$2:$A$1000,$A808,Documentacion!$B$2:$B$1000,"&gt;="&amp;DATEVALUE($B808&amp;"-01"),Documentacion!$B$2:$B$1000,"&lt;="&amp;EOMONTH(DATEVALUE($B808&amp;"-01"),0)))-1)/4*100,"")</f>
        <v/>
      </c>
      <c r="W808" t="str">
        <f ca="1">IFERROR(((AVERAGEIFS(Feedback_360!$D$2:$D$1000,Feedback_360!$A$2:$A$1000,$A808,Feedback_360!$B$2:$B$1000,"&gt;="&amp;DATEVALUE($B808&amp;"-01"),Feedback_360!$B$2:$B$1000,"&lt;="&amp;EOMONTH(DATEVALUE($B808&amp;"-01"),0)))-1)/4*100,"")</f>
        <v/>
      </c>
      <c r="X808" t="str">
        <f ca="1">IFERROR(((AVERAGEIFS(Observacion_Directa!$D$2:$D$1000,Observacion_Directa!$A$2:$A$1000,$A808,Observacion_Directa!$B$2:$B$1000,"&gt;="&amp;DATEVALUE($B808&amp;"-01"),Observacion_Directa!$B$2:$B$1000,"&lt;="&amp;EOMONTH(DATEVALUE($B808&amp;"-01"),0)))-1)/4*100,"")</f>
        <v/>
      </c>
      <c r="Y808" t="e">
        <f t="shared" ca="1" si="25"/>
        <v>#DIV/0!</v>
      </c>
    </row>
    <row r="809" spans="12:25" x14ac:dyDescent="0.2">
      <c r="L809" t="str">
        <f t="shared" si="24"/>
        <v/>
      </c>
      <c r="M809" t="str">
        <f>IFERROR(AVERAGEIFS(Prod_5dias!$H$2:$H$1000,Prod_5dias!$A$2:$A$1000,$A809,Prod_5dias!$B$2:$B$1000,$B809),"")</f>
        <v/>
      </c>
      <c r="N809" t="str">
        <f>IF(M809="","",MIN(100,100*M809/Parametros!$B$7))</f>
        <v/>
      </c>
      <c r="O809" t="str">
        <f>IF(F809="","",IF(F809=0,100,MIN(100,100*Parametros!$B$3/F809)))</f>
        <v/>
      </c>
      <c r="P809" t="str">
        <f ca="1">IFERROR(((AVERAGEIFS(Observacion_Directa!$E$2:$E$1000,Observacion_Directa!$A$2:$A$1000,$A809,Observacion_Directa!$B$2:$B$1000,"&gt;="&amp;DATEVALUE($B809&amp;"-01"),Observacion_Directa!$B$2:$B$1000,"&lt;="&amp;EOMONTH(DATEVALUE($B809&amp;"-01"),0)))-1)/4*100,"")</f>
        <v/>
      </c>
      <c r="Q809" t="str">
        <f>IF(H809="","",MIN(100,100*H809/Parametros!$B$4))</f>
        <v/>
      </c>
      <c r="R809" t="str">
        <f>IF(I809="","",IF(I809=0,100,MIN(100,100*Parametros!$B$5/I809)))</f>
        <v/>
      </c>
      <c r="S809" t="str">
        <f>IF(J809="","",IF(J809=0,100,MIN(100,100*Parametros!$B$6/J809)))</f>
        <v/>
      </c>
      <c r="T809" t="str">
        <f>IF(L809="","",MIN(100,100*L809/Parametros!$B$7))</f>
        <v/>
      </c>
      <c r="U809" t="str">
        <f>IF(K809="","",MIN(100,100*K809/Parametros!$B$8))</f>
        <v/>
      </c>
      <c r="V809" t="str">
        <f ca="1">IFERROR(((AVERAGEIFS(Documentacion!$C$2:$C$1000,Documentacion!$A$2:$A$1000,$A809,Documentacion!$B$2:$B$1000,"&gt;="&amp;DATEVALUE($B809&amp;"-01"),Documentacion!$B$2:$B$1000,"&lt;="&amp;EOMONTH(DATEVALUE($B809&amp;"-01"),0)))-1)/4*100,"")</f>
        <v/>
      </c>
      <c r="W809" t="str">
        <f ca="1">IFERROR(((AVERAGEIFS(Feedback_360!$D$2:$D$1000,Feedback_360!$A$2:$A$1000,$A809,Feedback_360!$B$2:$B$1000,"&gt;="&amp;DATEVALUE($B809&amp;"-01"),Feedback_360!$B$2:$B$1000,"&lt;="&amp;EOMONTH(DATEVALUE($B809&amp;"-01"),0)))-1)/4*100,"")</f>
        <v/>
      </c>
      <c r="X809" t="str">
        <f ca="1">IFERROR(((AVERAGEIFS(Observacion_Directa!$D$2:$D$1000,Observacion_Directa!$A$2:$A$1000,$A809,Observacion_Directa!$B$2:$B$1000,"&gt;="&amp;DATEVALUE($B809&amp;"-01"),Observacion_Directa!$B$2:$B$1000,"&lt;="&amp;EOMONTH(DATEVALUE($B809&amp;"-01"),0)))-1)/4*100,"")</f>
        <v/>
      </c>
      <c r="Y809" t="e">
        <f t="shared" ca="1" si="25"/>
        <v>#DIV/0!</v>
      </c>
    </row>
    <row r="810" spans="12:25" x14ac:dyDescent="0.2">
      <c r="L810" t="str">
        <f t="shared" si="24"/>
        <v/>
      </c>
      <c r="M810" t="str">
        <f>IFERROR(AVERAGEIFS(Prod_5dias!$H$2:$H$1000,Prod_5dias!$A$2:$A$1000,$A810,Prod_5dias!$B$2:$B$1000,$B810),"")</f>
        <v/>
      </c>
      <c r="N810" t="str">
        <f>IF(M810="","",MIN(100,100*M810/Parametros!$B$7))</f>
        <v/>
      </c>
      <c r="O810" t="str">
        <f>IF(F810="","",IF(F810=0,100,MIN(100,100*Parametros!$B$3/F810)))</f>
        <v/>
      </c>
      <c r="P810" t="str">
        <f ca="1">IFERROR(((AVERAGEIFS(Observacion_Directa!$E$2:$E$1000,Observacion_Directa!$A$2:$A$1000,$A810,Observacion_Directa!$B$2:$B$1000,"&gt;="&amp;DATEVALUE($B810&amp;"-01"),Observacion_Directa!$B$2:$B$1000,"&lt;="&amp;EOMONTH(DATEVALUE($B810&amp;"-01"),0)))-1)/4*100,"")</f>
        <v/>
      </c>
      <c r="Q810" t="str">
        <f>IF(H810="","",MIN(100,100*H810/Parametros!$B$4))</f>
        <v/>
      </c>
      <c r="R810" t="str">
        <f>IF(I810="","",IF(I810=0,100,MIN(100,100*Parametros!$B$5/I810)))</f>
        <v/>
      </c>
      <c r="S810" t="str">
        <f>IF(J810="","",IF(J810=0,100,MIN(100,100*Parametros!$B$6/J810)))</f>
        <v/>
      </c>
      <c r="T810" t="str">
        <f>IF(L810="","",MIN(100,100*L810/Parametros!$B$7))</f>
        <v/>
      </c>
      <c r="U810" t="str">
        <f>IF(K810="","",MIN(100,100*K810/Parametros!$B$8))</f>
        <v/>
      </c>
      <c r="V810" t="str">
        <f ca="1">IFERROR(((AVERAGEIFS(Documentacion!$C$2:$C$1000,Documentacion!$A$2:$A$1000,$A810,Documentacion!$B$2:$B$1000,"&gt;="&amp;DATEVALUE($B810&amp;"-01"),Documentacion!$B$2:$B$1000,"&lt;="&amp;EOMONTH(DATEVALUE($B810&amp;"-01"),0)))-1)/4*100,"")</f>
        <v/>
      </c>
      <c r="W810" t="str">
        <f ca="1">IFERROR(((AVERAGEIFS(Feedback_360!$D$2:$D$1000,Feedback_360!$A$2:$A$1000,$A810,Feedback_360!$B$2:$B$1000,"&gt;="&amp;DATEVALUE($B810&amp;"-01"),Feedback_360!$B$2:$B$1000,"&lt;="&amp;EOMONTH(DATEVALUE($B810&amp;"-01"),0)))-1)/4*100,"")</f>
        <v/>
      </c>
      <c r="X810" t="str">
        <f ca="1">IFERROR(((AVERAGEIFS(Observacion_Directa!$D$2:$D$1000,Observacion_Directa!$A$2:$A$1000,$A810,Observacion_Directa!$B$2:$B$1000,"&gt;="&amp;DATEVALUE($B810&amp;"-01"),Observacion_Directa!$B$2:$B$1000,"&lt;="&amp;EOMONTH(DATEVALUE($B810&amp;"-01"),0)))-1)/4*100,"")</f>
        <v/>
      </c>
      <c r="Y810" t="e">
        <f t="shared" ca="1" si="25"/>
        <v>#DIV/0!</v>
      </c>
    </row>
    <row r="811" spans="12:25" x14ac:dyDescent="0.2">
      <c r="L811" t="str">
        <f t="shared" si="24"/>
        <v/>
      </c>
      <c r="M811" t="str">
        <f>IFERROR(AVERAGEIFS(Prod_5dias!$H$2:$H$1000,Prod_5dias!$A$2:$A$1000,$A811,Prod_5dias!$B$2:$B$1000,$B811),"")</f>
        <v/>
      </c>
      <c r="N811" t="str">
        <f>IF(M811="","",MIN(100,100*M811/Parametros!$B$7))</f>
        <v/>
      </c>
      <c r="O811" t="str">
        <f>IF(F811="","",IF(F811=0,100,MIN(100,100*Parametros!$B$3/F811)))</f>
        <v/>
      </c>
      <c r="P811" t="str">
        <f ca="1">IFERROR(((AVERAGEIFS(Observacion_Directa!$E$2:$E$1000,Observacion_Directa!$A$2:$A$1000,$A811,Observacion_Directa!$B$2:$B$1000,"&gt;="&amp;DATEVALUE($B811&amp;"-01"),Observacion_Directa!$B$2:$B$1000,"&lt;="&amp;EOMONTH(DATEVALUE($B811&amp;"-01"),0)))-1)/4*100,"")</f>
        <v/>
      </c>
      <c r="Q811" t="str">
        <f>IF(H811="","",MIN(100,100*H811/Parametros!$B$4))</f>
        <v/>
      </c>
      <c r="R811" t="str">
        <f>IF(I811="","",IF(I811=0,100,MIN(100,100*Parametros!$B$5/I811)))</f>
        <v/>
      </c>
      <c r="S811" t="str">
        <f>IF(J811="","",IF(J811=0,100,MIN(100,100*Parametros!$B$6/J811)))</f>
        <v/>
      </c>
      <c r="T811" t="str">
        <f>IF(L811="","",MIN(100,100*L811/Parametros!$B$7))</f>
        <v/>
      </c>
      <c r="U811" t="str">
        <f>IF(K811="","",MIN(100,100*K811/Parametros!$B$8))</f>
        <v/>
      </c>
      <c r="V811" t="str">
        <f ca="1">IFERROR(((AVERAGEIFS(Documentacion!$C$2:$C$1000,Documentacion!$A$2:$A$1000,$A811,Documentacion!$B$2:$B$1000,"&gt;="&amp;DATEVALUE($B811&amp;"-01"),Documentacion!$B$2:$B$1000,"&lt;="&amp;EOMONTH(DATEVALUE($B811&amp;"-01"),0)))-1)/4*100,"")</f>
        <v/>
      </c>
      <c r="W811" t="str">
        <f ca="1">IFERROR(((AVERAGEIFS(Feedback_360!$D$2:$D$1000,Feedback_360!$A$2:$A$1000,$A811,Feedback_360!$B$2:$B$1000,"&gt;="&amp;DATEVALUE($B811&amp;"-01"),Feedback_360!$B$2:$B$1000,"&lt;="&amp;EOMONTH(DATEVALUE($B811&amp;"-01"),0)))-1)/4*100,"")</f>
        <v/>
      </c>
      <c r="X811" t="str">
        <f ca="1">IFERROR(((AVERAGEIFS(Observacion_Directa!$D$2:$D$1000,Observacion_Directa!$A$2:$A$1000,$A811,Observacion_Directa!$B$2:$B$1000,"&gt;="&amp;DATEVALUE($B811&amp;"-01"),Observacion_Directa!$B$2:$B$1000,"&lt;="&amp;EOMONTH(DATEVALUE($B811&amp;"-01"),0)))-1)/4*100,"")</f>
        <v/>
      </c>
      <c r="Y811" t="e">
        <f t="shared" ca="1" si="25"/>
        <v>#DIV/0!</v>
      </c>
    </row>
    <row r="812" spans="12:25" x14ac:dyDescent="0.2">
      <c r="L812" t="str">
        <f t="shared" si="24"/>
        <v/>
      </c>
      <c r="M812" t="str">
        <f>IFERROR(AVERAGEIFS(Prod_5dias!$H$2:$H$1000,Prod_5dias!$A$2:$A$1000,$A812,Prod_5dias!$B$2:$B$1000,$B812),"")</f>
        <v/>
      </c>
      <c r="N812" t="str">
        <f>IF(M812="","",MIN(100,100*M812/Parametros!$B$7))</f>
        <v/>
      </c>
      <c r="O812" t="str">
        <f>IF(F812="","",IF(F812=0,100,MIN(100,100*Parametros!$B$3/F812)))</f>
        <v/>
      </c>
      <c r="P812" t="str">
        <f ca="1">IFERROR(((AVERAGEIFS(Observacion_Directa!$E$2:$E$1000,Observacion_Directa!$A$2:$A$1000,$A812,Observacion_Directa!$B$2:$B$1000,"&gt;="&amp;DATEVALUE($B812&amp;"-01"),Observacion_Directa!$B$2:$B$1000,"&lt;="&amp;EOMONTH(DATEVALUE($B812&amp;"-01"),0)))-1)/4*100,"")</f>
        <v/>
      </c>
      <c r="Q812" t="str">
        <f>IF(H812="","",MIN(100,100*H812/Parametros!$B$4))</f>
        <v/>
      </c>
      <c r="R812" t="str">
        <f>IF(I812="","",IF(I812=0,100,MIN(100,100*Parametros!$B$5/I812)))</f>
        <v/>
      </c>
      <c r="S812" t="str">
        <f>IF(J812="","",IF(J812=0,100,MIN(100,100*Parametros!$B$6/J812)))</f>
        <v/>
      </c>
      <c r="T812" t="str">
        <f>IF(L812="","",MIN(100,100*L812/Parametros!$B$7))</f>
        <v/>
      </c>
      <c r="U812" t="str">
        <f>IF(K812="","",MIN(100,100*K812/Parametros!$B$8))</f>
        <v/>
      </c>
      <c r="V812" t="str">
        <f ca="1">IFERROR(((AVERAGEIFS(Documentacion!$C$2:$C$1000,Documentacion!$A$2:$A$1000,$A812,Documentacion!$B$2:$B$1000,"&gt;="&amp;DATEVALUE($B812&amp;"-01"),Documentacion!$B$2:$B$1000,"&lt;="&amp;EOMONTH(DATEVALUE($B812&amp;"-01"),0)))-1)/4*100,"")</f>
        <v/>
      </c>
      <c r="W812" t="str">
        <f ca="1">IFERROR(((AVERAGEIFS(Feedback_360!$D$2:$D$1000,Feedback_360!$A$2:$A$1000,$A812,Feedback_360!$B$2:$B$1000,"&gt;="&amp;DATEVALUE($B812&amp;"-01"),Feedback_360!$B$2:$B$1000,"&lt;="&amp;EOMONTH(DATEVALUE($B812&amp;"-01"),0)))-1)/4*100,"")</f>
        <v/>
      </c>
      <c r="X812" t="str">
        <f ca="1">IFERROR(((AVERAGEIFS(Observacion_Directa!$D$2:$D$1000,Observacion_Directa!$A$2:$A$1000,$A812,Observacion_Directa!$B$2:$B$1000,"&gt;="&amp;DATEVALUE($B812&amp;"-01"),Observacion_Directa!$B$2:$B$1000,"&lt;="&amp;EOMONTH(DATEVALUE($B812&amp;"-01"),0)))-1)/4*100,"")</f>
        <v/>
      </c>
      <c r="Y812" t="e">
        <f t="shared" ca="1" si="25"/>
        <v>#DIV/0!</v>
      </c>
    </row>
    <row r="813" spans="12:25" x14ac:dyDescent="0.2">
      <c r="L813" t="str">
        <f t="shared" si="24"/>
        <v/>
      </c>
      <c r="M813" t="str">
        <f>IFERROR(AVERAGEIFS(Prod_5dias!$H$2:$H$1000,Prod_5dias!$A$2:$A$1000,$A813,Prod_5dias!$B$2:$B$1000,$B813),"")</f>
        <v/>
      </c>
      <c r="N813" t="str">
        <f>IF(M813="","",MIN(100,100*M813/Parametros!$B$7))</f>
        <v/>
      </c>
      <c r="O813" t="str">
        <f>IF(F813="","",IF(F813=0,100,MIN(100,100*Parametros!$B$3/F813)))</f>
        <v/>
      </c>
      <c r="P813" t="str">
        <f ca="1">IFERROR(((AVERAGEIFS(Observacion_Directa!$E$2:$E$1000,Observacion_Directa!$A$2:$A$1000,$A813,Observacion_Directa!$B$2:$B$1000,"&gt;="&amp;DATEVALUE($B813&amp;"-01"),Observacion_Directa!$B$2:$B$1000,"&lt;="&amp;EOMONTH(DATEVALUE($B813&amp;"-01"),0)))-1)/4*100,"")</f>
        <v/>
      </c>
      <c r="Q813" t="str">
        <f>IF(H813="","",MIN(100,100*H813/Parametros!$B$4))</f>
        <v/>
      </c>
      <c r="R813" t="str">
        <f>IF(I813="","",IF(I813=0,100,MIN(100,100*Parametros!$B$5/I813)))</f>
        <v/>
      </c>
      <c r="S813" t="str">
        <f>IF(J813="","",IF(J813=0,100,MIN(100,100*Parametros!$B$6/J813)))</f>
        <v/>
      </c>
      <c r="T813" t="str">
        <f>IF(L813="","",MIN(100,100*L813/Parametros!$B$7))</f>
        <v/>
      </c>
      <c r="U813" t="str">
        <f>IF(K813="","",MIN(100,100*K813/Parametros!$B$8))</f>
        <v/>
      </c>
      <c r="V813" t="str">
        <f ca="1">IFERROR(((AVERAGEIFS(Documentacion!$C$2:$C$1000,Documentacion!$A$2:$A$1000,$A813,Documentacion!$B$2:$B$1000,"&gt;="&amp;DATEVALUE($B813&amp;"-01"),Documentacion!$B$2:$B$1000,"&lt;="&amp;EOMONTH(DATEVALUE($B813&amp;"-01"),0)))-1)/4*100,"")</f>
        <v/>
      </c>
      <c r="W813" t="str">
        <f ca="1">IFERROR(((AVERAGEIFS(Feedback_360!$D$2:$D$1000,Feedback_360!$A$2:$A$1000,$A813,Feedback_360!$B$2:$B$1000,"&gt;="&amp;DATEVALUE($B813&amp;"-01"),Feedback_360!$B$2:$B$1000,"&lt;="&amp;EOMONTH(DATEVALUE($B813&amp;"-01"),0)))-1)/4*100,"")</f>
        <v/>
      </c>
      <c r="X813" t="str">
        <f ca="1">IFERROR(((AVERAGEIFS(Observacion_Directa!$D$2:$D$1000,Observacion_Directa!$A$2:$A$1000,$A813,Observacion_Directa!$B$2:$B$1000,"&gt;="&amp;DATEVALUE($B813&amp;"-01"),Observacion_Directa!$B$2:$B$1000,"&lt;="&amp;EOMONTH(DATEVALUE($B813&amp;"-01"),0)))-1)/4*100,"")</f>
        <v/>
      </c>
      <c r="Y813" t="e">
        <f t="shared" ca="1" si="25"/>
        <v>#DIV/0!</v>
      </c>
    </row>
    <row r="814" spans="12:25" x14ac:dyDescent="0.2">
      <c r="L814" t="str">
        <f t="shared" si="24"/>
        <v/>
      </c>
      <c r="M814" t="str">
        <f>IFERROR(AVERAGEIFS(Prod_5dias!$H$2:$H$1000,Prod_5dias!$A$2:$A$1000,$A814,Prod_5dias!$B$2:$B$1000,$B814),"")</f>
        <v/>
      </c>
      <c r="N814" t="str">
        <f>IF(M814="","",MIN(100,100*M814/Parametros!$B$7))</f>
        <v/>
      </c>
      <c r="O814" t="str">
        <f>IF(F814="","",IF(F814=0,100,MIN(100,100*Parametros!$B$3/F814)))</f>
        <v/>
      </c>
      <c r="P814" t="str">
        <f ca="1">IFERROR(((AVERAGEIFS(Observacion_Directa!$E$2:$E$1000,Observacion_Directa!$A$2:$A$1000,$A814,Observacion_Directa!$B$2:$B$1000,"&gt;="&amp;DATEVALUE($B814&amp;"-01"),Observacion_Directa!$B$2:$B$1000,"&lt;="&amp;EOMONTH(DATEVALUE($B814&amp;"-01"),0)))-1)/4*100,"")</f>
        <v/>
      </c>
      <c r="Q814" t="str">
        <f>IF(H814="","",MIN(100,100*H814/Parametros!$B$4))</f>
        <v/>
      </c>
      <c r="R814" t="str">
        <f>IF(I814="","",IF(I814=0,100,MIN(100,100*Parametros!$B$5/I814)))</f>
        <v/>
      </c>
      <c r="S814" t="str">
        <f>IF(J814="","",IF(J814=0,100,MIN(100,100*Parametros!$B$6/J814)))</f>
        <v/>
      </c>
      <c r="T814" t="str">
        <f>IF(L814="","",MIN(100,100*L814/Parametros!$B$7))</f>
        <v/>
      </c>
      <c r="U814" t="str">
        <f>IF(K814="","",MIN(100,100*K814/Parametros!$B$8))</f>
        <v/>
      </c>
      <c r="V814" t="str">
        <f ca="1">IFERROR(((AVERAGEIFS(Documentacion!$C$2:$C$1000,Documentacion!$A$2:$A$1000,$A814,Documentacion!$B$2:$B$1000,"&gt;="&amp;DATEVALUE($B814&amp;"-01"),Documentacion!$B$2:$B$1000,"&lt;="&amp;EOMONTH(DATEVALUE($B814&amp;"-01"),0)))-1)/4*100,"")</f>
        <v/>
      </c>
      <c r="W814" t="str">
        <f ca="1">IFERROR(((AVERAGEIFS(Feedback_360!$D$2:$D$1000,Feedback_360!$A$2:$A$1000,$A814,Feedback_360!$B$2:$B$1000,"&gt;="&amp;DATEVALUE($B814&amp;"-01"),Feedback_360!$B$2:$B$1000,"&lt;="&amp;EOMONTH(DATEVALUE($B814&amp;"-01"),0)))-1)/4*100,"")</f>
        <v/>
      </c>
      <c r="X814" t="str">
        <f ca="1">IFERROR(((AVERAGEIFS(Observacion_Directa!$D$2:$D$1000,Observacion_Directa!$A$2:$A$1000,$A814,Observacion_Directa!$B$2:$B$1000,"&gt;="&amp;DATEVALUE($B814&amp;"-01"),Observacion_Directa!$B$2:$B$1000,"&lt;="&amp;EOMONTH(DATEVALUE($B814&amp;"-01"),0)))-1)/4*100,"")</f>
        <v/>
      </c>
      <c r="Y814" t="e">
        <f t="shared" ca="1" si="25"/>
        <v>#DIV/0!</v>
      </c>
    </row>
    <row r="815" spans="12:25" x14ac:dyDescent="0.2">
      <c r="L815" t="str">
        <f t="shared" si="24"/>
        <v/>
      </c>
      <c r="M815" t="str">
        <f>IFERROR(AVERAGEIFS(Prod_5dias!$H$2:$H$1000,Prod_5dias!$A$2:$A$1000,$A815,Prod_5dias!$B$2:$B$1000,$B815),"")</f>
        <v/>
      </c>
      <c r="N815" t="str">
        <f>IF(M815="","",MIN(100,100*M815/Parametros!$B$7))</f>
        <v/>
      </c>
      <c r="O815" t="str">
        <f>IF(F815="","",IF(F815=0,100,MIN(100,100*Parametros!$B$3/F815)))</f>
        <v/>
      </c>
      <c r="P815" t="str">
        <f ca="1">IFERROR(((AVERAGEIFS(Observacion_Directa!$E$2:$E$1000,Observacion_Directa!$A$2:$A$1000,$A815,Observacion_Directa!$B$2:$B$1000,"&gt;="&amp;DATEVALUE($B815&amp;"-01"),Observacion_Directa!$B$2:$B$1000,"&lt;="&amp;EOMONTH(DATEVALUE($B815&amp;"-01"),0)))-1)/4*100,"")</f>
        <v/>
      </c>
      <c r="Q815" t="str">
        <f>IF(H815="","",MIN(100,100*H815/Parametros!$B$4))</f>
        <v/>
      </c>
      <c r="R815" t="str">
        <f>IF(I815="","",IF(I815=0,100,MIN(100,100*Parametros!$B$5/I815)))</f>
        <v/>
      </c>
      <c r="S815" t="str">
        <f>IF(J815="","",IF(J815=0,100,MIN(100,100*Parametros!$B$6/J815)))</f>
        <v/>
      </c>
      <c r="T815" t="str">
        <f>IF(L815="","",MIN(100,100*L815/Parametros!$B$7))</f>
        <v/>
      </c>
      <c r="U815" t="str">
        <f>IF(K815="","",MIN(100,100*K815/Parametros!$B$8))</f>
        <v/>
      </c>
      <c r="V815" t="str">
        <f ca="1">IFERROR(((AVERAGEIFS(Documentacion!$C$2:$C$1000,Documentacion!$A$2:$A$1000,$A815,Documentacion!$B$2:$B$1000,"&gt;="&amp;DATEVALUE($B815&amp;"-01"),Documentacion!$B$2:$B$1000,"&lt;="&amp;EOMONTH(DATEVALUE($B815&amp;"-01"),0)))-1)/4*100,"")</f>
        <v/>
      </c>
      <c r="W815" t="str">
        <f ca="1">IFERROR(((AVERAGEIFS(Feedback_360!$D$2:$D$1000,Feedback_360!$A$2:$A$1000,$A815,Feedback_360!$B$2:$B$1000,"&gt;="&amp;DATEVALUE($B815&amp;"-01"),Feedback_360!$B$2:$B$1000,"&lt;="&amp;EOMONTH(DATEVALUE($B815&amp;"-01"),0)))-1)/4*100,"")</f>
        <v/>
      </c>
      <c r="X815" t="str">
        <f ca="1">IFERROR(((AVERAGEIFS(Observacion_Directa!$D$2:$D$1000,Observacion_Directa!$A$2:$A$1000,$A815,Observacion_Directa!$B$2:$B$1000,"&gt;="&amp;DATEVALUE($B815&amp;"-01"),Observacion_Directa!$B$2:$B$1000,"&lt;="&amp;EOMONTH(DATEVALUE($B815&amp;"-01"),0)))-1)/4*100,"")</f>
        <v/>
      </c>
      <c r="Y815" t="e">
        <f t="shared" ca="1" si="25"/>
        <v>#DIV/0!</v>
      </c>
    </row>
    <row r="816" spans="12:25" x14ac:dyDescent="0.2">
      <c r="L816" t="str">
        <f t="shared" si="24"/>
        <v/>
      </c>
      <c r="M816" t="str">
        <f>IFERROR(AVERAGEIFS(Prod_5dias!$H$2:$H$1000,Prod_5dias!$A$2:$A$1000,$A816,Prod_5dias!$B$2:$B$1000,$B816),"")</f>
        <v/>
      </c>
      <c r="N816" t="str">
        <f>IF(M816="","",MIN(100,100*M816/Parametros!$B$7))</f>
        <v/>
      </c>
      <c r="O816" t="str">
        <f>IF(F816="","",IF(F816=0,100,MIN(100,100*Parametros!$B$3/F816)))</f>
        <v/>
      </c>
      <c r="P816" t="str">
        <f ca="1">IFERROR(((AVERAGEIFS(Observacion_Directa!$E$2:$E$1000,Observacion_Directa!$A$2:$A$1000,$A816,Observacion_Directa!$B$2:$B$1000,"&gt;="&amp;DATEVALUE($B816&amp;"-01"),Observacion_Directa!$B$2:$B$1000,"&lt;="&amp;EOMONTH(DATEVALUE($B816&amp;"-01"),0)))-1)/4*100,"")</f>
        <v/>
      </c>
      <c r="Q816" t="str">
        <f>IF(H816="","",MIN(100,100*H816/Parametros!$B$4))</f>
        <v/>
      </c>
      <c r="R816" t="str">
        <f>IF(I816="","",IF(I816=0,100,MIN(100,100*Parametros!$B$5/I816)))</f>
        <v/>
      </c>
      <c r="S816" t="str">
        <f>IF(J816="","",IF(J816=0,100,MIN(100,100*Parametros!$B$6/J816)))</f>
        <v/>
      </c>
      <c r="T816" t="str">
        <f>IF(L816="","",MIN(100,100*L816/Parametros!$B$7))</f>
        <v/>
      </c>
      <c r="U816" t="str">
        <f>IF(K816="","",MIN(100,100*K816/Parametros!$B$8))</f>
        <v/>
      </c>
      <c r="V816" t="str">
        <f ca="1">IFERROR(((AVERAGEIFS(Documentacion!$C$2:$C$1000,Documentacion!$A$2:$A$1000,$A816,Documentacion!$B$2:$B$1000,"&gt;="&amp;DATEVALUE($B816&amp;"-01"),Documentacion!$B$2:$B$1000,"&lt;="&amp;EOMONTH(DATEVALUE($B816&amp;"-01"),0)))-1)/4*100,"")</f>
        <v/>
      </c>
      <c r="W816" t="str">
        <f ca="1">IFERROR(((AVERAGEIFS(Feedback_360!$D$2:$D$1000,Feedback_360!$A$2:$A$1000,$A816,Feedback_360!$B$2:$B$1000,"&gt;="&amp;DATEVALUE($B816&amp;"-01"),Feedback_360!$B$2:$B$1000,"&lt;="&amp;EOMONTH(DATEVALUE($B816&amp;"-01"),0)))-1)/4*100,"")</f>
        <v/>
      </c>
      <c r="X816" t="str">
        <f ca="1">IFERROR(((AVERAGEIFS(Observacion_Directa!$D$2:$D$1000,Observacion_Directa!$A$2:$A$1000,$A816,Observacion_Directa!$B$2:$B$1000,"&gt;="&amp;DATEVALUE($B816&amp;"-01"),Observacion_Directa!$B$2:$B$1000,"&lt;="&amp;EOMONTH(DATEVALUE($B816&amp;"-01"),0)))-1)/4*100,"")</f>
        <v/>
      </c>
      <c r="Y816" t="e">
        <f t="shared" ca="1" si="25"/>
        <v>#DIV/0!</v>
      </c>
    </row>
    <row r="817" spans="12:25" x14ac:dyDescent="0.2">
      <c r="L817" t="str">
        <f t="shared" si="24"/>
        <v/>
      </c>
      <c r="M817" t="str">
        <f>IFERROR(AVERAGEIFS(Prod_5dias!$H$2:$H$1000,Prod_5dias!$A$2:$A$1000,$A817,Prod_5dias!$B$2:$B$1000,$B817),"")</f>
        <v/>
      </c>
      <c r="N817" t="str">
        <f>IF(M817="","",MIN(100,100*M817/Parametros!$B$7))</f>
        <v/>
      </c>
      <c r="O817" t="str">
        <f>IF(F817="","",IF(F817=0,100,MIN(100,100*Parametros!$B$3/F817)))</f>
        <v/>
      </c>
      <c r="P817" t="str">
        <f ca="1">IFERROR(((AVERAGEIFS(Observacion_Directa!$E$2:$E$1000,Observacion_Directa!$A$2:$A$1000,$A817,Observacion_Directa!$B$2:$B$1000,"&gt;="&amp;DATEVALUE($B817&amp;"-01"),Observacion_Directa!$B$2:$B$1000,"&lt;="&amp;EOMONTH(DATEVALUE($B817&amp;"-01"),0)))-1)/4*100,"")</f>
        <v/>
      </c>
      <c r="Q817" t="str">
        <f>IF(H817="","",MIN(100,100*H817/Parametros!$B$4))</f>
        <v/>
      </c>
      <c r="R817" t="str">
        <f>IF(I817="","",IF(I817=0,100,MIN(100,100*Parametros!$B$5/I817)))</f>
        <v/>
      </c>
      <c r="S817" t="str">
        <f>IF(J817="","",IF(J817=0,100,MIN(100,100*Parametros!$B$6/J817)))</f>
        <v/>
      </c>
      <c r="T817" t="str">
        <f>IF(L817="","",MIN(100,100*L817/Parametros!$B$7))</f>
        <v/>
      </c>
      <c r="U817" t="str">
        <f>IF(K817="","",MIN(100,100*K817/Parametros!$B$8))</f>
        <v/>
      </c>
      <c r="V817" t="str">
        <f ca="1">IFERROR(((AVERAGEIFS(Documentacion!$C$2:$C$1000,Documentacion!$A$2:$A$1000,$A817,Documentacion!$B$2:$B$1000,"&gt;="&amp;DATEVALUE($B817&amp;"-01"),Documentacion!$B$2:$B$1000,"&lt;="&amp;EOMONTH(DATEVALUE($B817&amp;"-01"),0)))-1)/4*100,"")</f>
        <v/>
      </c>
      <c r="W817" t="str">
        <f ca="1">IFERROR(((AVERAGEIFS(Feedback_360!$D$2:$D$1000,Feedback_360!$A$2:$A$1000,$A817,Feedback_360!$B$2:$B$1000,"&gt;="&amp;DATEVALUE($B817&amp;"-01"),Feedback_360!$B$2:$B$1000,"&lt;="&amp;EOMONTH(DATEVALUE($B817&amp;"-01"),0)))-1)/4*100,"")</f>
        <v/>
      </c>
      <c r="X817" t="str">
        <f ca="1">IFERROR(((AVERAGEIFS(Observacion_Directa!$D$2:$D$1000,Observacion_Directa!$A$2:$A$1000,$A817,Observacion_Directa!$B$2:$B$1000,"&gt;="&amp;DATEVALUE($B817&amp;"-01"),Observacion_Directa!$B$2:$B$1000,"&lt;="&amp;EOMONTH(DATEVALUE($B817&amp;"-01"),0)))-1)/4*100,"")</f>
        <v/>
      </c>
      <c r="Y817" t="e">
        <f t="shared" ca="1" si="25"/>
        <v>#DIV/0!</v>
      </c>
    </row>
    <row r="818" spans="12:25" x14ac:dyDescent="0.2">
      <c r="L818" t="str">
        <f t="shared" si="24"/>
        <v/>
      </c>
      <c r="M818" t="str">
        <f>IFERROR(AVERAGEIFS(Prod_5dias!$H$2:$H$1000,Prod_5dias!$A$2:$A$1000,$A818,Prod_5dias!$B$2:$B$1000,$B818),"")</f>
        <v/>
      </c>
      <c r="N818" t="str">
        <f>IF(M818="","",MIN(100,100*M818/Parametros!$B$7))</f>
        <v/>
      </c>
      <c r="O818" t="str">
        <f>IF(F818="","",IF(F818=0,100,MIN(100,100*Parametros!$B$3/F818)))</f>
        <v/>
      </c>
      <c r="P818" t="str">
        <f ca="1">IFERROR(((AVERAGEIFS(Observacion_Directa!$E$2:$E$1000,Observacion_Directa!$A$2:$A$1000,$A818,Observacion_Directa!$B$2:$B$1000,"&gt;="&amp;DATEVALUE($B818&amp;"-01"),Observacion_Directa!$B$2:$B$1000,"&lt;="&amp;EOMONTH(DATEVALUE($B818&amp;"-01"),0)))-1)/4*100,"")</f>
        <v/>
      </c>
      <c r="Q818" t="str">
        <f>IF(H818="","",MIN(100,100*H818/Parametros!$B$4))</f>
        <v/>
      </c>
      <c r="R818" t="str">
        <f>IF(I818="","",IF(I818=0,100,MIN(100,100*Parametros!$B$5/I818)))</f>
        <v/>
      </c>
      <c r="S818" t="str">
        <f>IF(J818="","",IF(J818=0,100,MIN(100,100*Parametros!$B$6/J818)))</f>
        <v/>
      </c>
      <c r="T818" t="str">
        <f>IF(L818="","",MIN(100,100*L818/Parametros!$B$7))</f>
        <v/>
      </c>
      <c r="U818" t="str">
        <f>IF(K818="","",MIN(100,100*K818/Parametros!$B$8))</f>
        <v/>
      </c>
      <c r="V818" t="str">
        <f ca="1">IFERROR(((AVERAGEIFS(Documentacion!$C$2:$C$1000,Documentacion!$A$2:$A$1000,$A818,Documentacion!$B$2:$B$1000,"&gt;="&amp;DATEVALUE($B818&amp;"-01"),Documentacion!$B$2:$B$1000,"&lt;="&amp;EOMONTH(DATEVALUE($B818&amp;"-01"),0)))-1)/4*100,"")</f>
        <v/>
      </c>
      <c r="W818" t="str">
        <f ca="1">IFERROR(((AVERAGEIFS(Feedback_360!$D$2:$D$1000,Feedback_360!$A$2:$A$1000,$A818,Feedback_360!$B$2:$B$1000,"&gt;="&amp;DATEVALUE($B818&amp;"-01"),Feedback_360!$B$2:$B$1000,"&lt;="&amp;EOMONTH(DATEVALUE($B818&amp;"-01"),0)))-1)/4*100,"")</f>
        <v/>
      </c>
      <c r="X818" t="str">
        <f ca="1">IFERROR(((AVERAGEIFS(Observacion_Directa!$D$2:$D$1000,Observacion_Directa!$A$2:$A$1000,$A818,Observacion_Directa!$B$2:$B$1000,"&gt;="&amp;DATEVALUE($B818&amp;"-01"),Observacion_Directa!$B$2:$B$1000,"&lt;="&amp;EOMONTH(DATEVALUE($B818&amp;"-01"),0)))-1)/4*100,"")</f>
        <v/>
      </c>
      <c r="Y818" t="e">
        <f t="shared" ca="1" si="25"/>
        <v>#DIV/0!</v>
      </c>
    </row>
    <row r="819" spans="12:25" x14ac:dyDescent="0.2">
      <c r="L819" t="str">
        <f t="shared" si="24"/>
        <v/>
      </c>
      <c r="M819" t="str">
        <f>IFERROR(AVERAGEIFS(Prod_5dias!$H$2:$H$1000,Prod_5dias!$A$2:$A$1000,$A819,Prod_5dias!$B$2:$B$1000,$B819),"")</f>
        <v/>
      </c>
      <c r="N819" t="str">
        <f>IF(M819="","",MIN(100,100*M819/Parametros!$B$7))</f>
        <v/>
      </c>
      <c r="O819" t="str">
        <f>IF(F819="","",IF(F819=0,100,MIN(100,100*Parametros!$B$3/F819)))</f>
        <v/>
      </c>
      <c r="P819" t="str">
        <f ca="1">IFERROR(((AVERAGEIFS(Observacion_Directa!$E$2:$E$1000,Observacion_Directa!$A$2:$A$1000,$A819,Observacion_Directa!$B$2:$B$1000,"&gt;="&amp;DATEVALUE($B819&amp;"-01"),Observacion_Directa!$B$2:$B$1000,"&lt;="&amp;EOMONTH(DATEVALUE($B819&amp;"-01"),0)))-1)/4*100,"")</f>
        <v/>
      </c>
      <c r="Q819" t="str">
        <f>IF(H819="","",MIN(100,100*H819/Parametros!$B$4))</f>
        <v/>
      </c>
      <c r="R819" t="str">
        <f>IF(I819="","",IF(I819=0,100,MIN(100,100*Parametros!$B$5/I819)))</f>
        <v/>
      </c>
      <c r="S819" t="str">
        <f>IF(J819="","",IF(J819=0,100,MIN(100,100*Parametros!$B$6/J819)))</f>
        <v/>
      </c>
      <c r="T819" t="str">
        <f>IF(L819="","",MIN(100,100*L819/Parametros!$B$7))</f>
        <v/>
      </c>
      <c r="U819" t="str">
        <f>IF(K819="","",MIN(100,100*K819/Parametros!$B$8))</f>
        <v/>
      </c>
      <c r="V819" t="str">
        <f ca="1">IFERROR(((AVERAGEIFS(Documentacion!$C$2:$C$1000,Documentacion!$A$2:$A$1000,$A819,Documentacion!$B$2:$B$1000,"&gt;="&amp;DATEVALUE($B819&amp;"-01"),Documentacion!$B$2:$B$1000,"&lt;="&amp;EOMONTH(DATEVALUE($B819&amp;"-01"),0)))-1)/4*100,"")</f>
        <v/>
      </c>
      <c r="W819" t="str">
        <f ca="1">IFERROR(((AVERAGEIFS(Feedback_360!$D$2:$D$1000,Feedback_360!$A$2:$A$1000,$A819,Feedback_360!$B$2:$B$1000,"&gt;="&amp;DATEVALUE($B819&amp;"-01"),Feedback_360!$B$2:$B$1000,"&lt;="&amp;EOMONTH(DATEVALUE($B819&amp;"-01"),0)))-1)/4*100,"")</f>
        <v/>
      </c>
      <c r="X819" t="str">
        <f ca="1">IFERROR(((AVERAGEIFS(Observacion_Directa!$D$2:$D$1000,Observacion_Directa!$A$2:$A$1000,$A819,Observacion_Directa!$B$2:$B$1000,"&gt;="&amp;DATEVALUE($B819&amp;"-01"),Observacion_Directa!$B$2:$B$1000,"&lt;="&amp;EOMONTH(DATEVALUE($B819&amp;"-01"),0)))-1)/4*100,"")</f>
        <v/>
      </c>
      <c r="Y819" t="e">
        <f t="shared" ca="1" si="25"/>
        <v>#DIV/0!</v>
      </c>
    </row>
    <row r="820" spans="12:25" x14ac:dyDescent="0.2">
      <c r="L820" t="str">
        <f t="shared" si="24"/>
        <v/>
      </c>
      <c r="M820" t="str">
        <f>IFERROR(AVERAGEIFS(Prod_5dias!$H$2:$H$1000,Prod_5dias!$A$2:$A$1000,$A820,Prod_5dias!$B$2:$B$1000,$B820),"")</f>
        <v/>
      </c>
      <c r="N820" t="str">
        <f>IF(M820="","",MIN(100,100*M820/Parametros!$B$7))</f>
        <v/>
      </c>
      <c r="O820" t="str">
        <f>IF(F820="","",IF(F820=0,100,MIN(100,100*Parametros!$B$3/F820)))</f>
        <v/>
      </c>
      <c r="P820" t="str">
        <f ca="1">IFERROR(((AVERAGEIFS(Observacion_Directa!$E$2:$E$1000,Observacion_Directa!$A$2:$A$1000,$A820,Observacion_Directa!$B$2:$B$1000,"&gt;="&amp;DATEVALUE($B820&amp;"-01"),Observacion_Directa!$B$2:$B$1000,"&lt;="&amp;EOMONTH(DATEVALUE($B820&amp;"-01"),0)))-1)/4*100,"")</f>
        <v/>
      </c>
      <c r="Q820" t="str">
        <f>IF(H820="","",MIN(100,100*H820/Parametros!$B$4))</f>
        <v/>
      </c>
      <c r="R820" t="str">
        <f>IF(I820="","",IF(I820=0,100,MIN(100,100*Parametros!$B$5/I820)))</f>
        <v/>
      </c>
      <c r="S820" t="str">
        <f>IF(J820="","",IF(J820=0,100,MIN(100,100*Parametros!$B$6/J820)))</f>
        <v/>
      </c>
      <c r="T820" t="str">
        <f>IF(L820="","",MIN(100,100*L820/Parametros!$B$7))</f>
        <v/>
      </c>
      <c r="U820" t="str">
        <f>IF(K820="","",MIN(100,100*K820/Parametros!$B$8))</f>
        <v/>
      </c>
      <c r="V820" t="str">
        <f ca="1">IFERROR(((AVERAGEIFS(Documentacion!$C$2:$C$1000,Documentacion!$A$2:$A$1000,$A820,Documentacion!$B$2:$B$1000,"&gt;="&amp;DATEVALUE($B820&amp;"-01"),Documentacion!$B$2:$B$1000,"&lt;="&amp;EOMONTH(DATEVALUE($B820&amp;"-01"),0)))-1)/4*100,"")</f>
        <v/>
      </c>
      <c r="W820" t="str">
        <f ca="1">IFERROR(((AVERAGEIFS(Feedback_360!$D$2:$D$1000,Feedback_360!$A$2:$A$1000,$A820,Feedback_360!$B$2:$B$1000,"&gt;="&amp;DATEVALUE($B820&amp;"-01"),Feedback_360!$B$2:$B$1000,"&lt;="&amp;EOMONTH(DATEVALUE($B820&amp;"-01"),0)))-1)/4*100,"")</f>
        <v/>
      </c>
      <c r="X820" t="str">
        <f ca="1">IFERROR(((AVERAGEIFS(Observacion_Directa!$D$2:$D$1000,Observacion_Directa!$A$2:$A$1000,$A820,Observacion_Directa!$B$2:$B$1000,"&gt;="&amp;DATEVALUE($B820&amp;"-01"),Observacion_Directa!$B$2:$B$1000,"&lt;="&amp;EOMONTH(DATEVALUE($B820&amp;"-01"),0)))-1)/4*100,"")</f>
        <v/>
      </c>
      <c r="Y820" t="e">
        <f t="shared" ca="1" si="25"/>
        <v>#DIV/0!</v>
      </c>
    </row>
    <row r="821" spans="12:25" x14ac:dyDescent="0.2">
      <c r="L821" t="str">
        <f t="shared" si="24"/>
        <v/>
      </c>
      <c r="M821" t="str">
        <f>IFERROR(AVERAGEIFS(Prod_5dias!$H$2:$H$1000,Prod_5dias!$A$2:$A$1000,$A821,Prod_5dias!$B$2:$B$1000,$B821),"")</f>
        <v/>
      </c>
      <c r="N821" t="str">
        <f>IF(M821="","",MIN(100,100*M821/Parametros!$B$7))</f>
        <v/>
      </c>
      <c r="O821" t="str">
        <f>IF(F821="","",IF(F821=0,100,MIN(100,100*Parametros!$B$3/F821)))</f>
        <v/>
      </c>
      <c r="P821" t="str">
        <f ca="1">IFERROR(((AVERAGEIFS(Observacion_Directa!$E$2:$E$1000,Observacion_Directa!$A$2:$A$1000,$A821,Observacion_Directa!$B$2:$B$1000,"&gt;="&amp;DATEVALUE($B821&amp;"-01"),Observacion_Directa!$B$2:$B$1000,"&lt;="&amp;EOMONTH(DATEVALUE($B821&amp;"-01"),0)))-1)/4*100,"")</f>
        <v/>
      </c>
      <c r="Q821" t="str">
        <f>IF(H821="","",MIN(100,100*H821/Parametros!$B$4))</f>
        <v/>
      </c>
      <c r="R821" t="str">
        <f>IF(I821="","",IF(I821=0,100,MIN(100,100*Parametros!$B$5/I821)))</f>
        <v/>
      </c>
      <c r="S821" t="str">
        <f>IF(J821="","",IF(J821=0,100,MIN(100,100*Parametros!$B$6/J821)))</f>
        <v/>
      </c>
      <c r="T821" t="str">
        <f>IF(L821="","",MIN(100,100*L821/Parametros!$B$7))</f>
        <v/>
      </c>
      <c r="U821" t="str">
        <f>IF(K821="","",MIN(100,100*K821/Parametros!$B$8))</f>
        <v/>
      </c>
      <c r="V821" t="str">
        <f ca="1">IFERROR(((AVERAGEIFS(Documentacion!$C$2:$C$1000,Documentacion!$A$2:$A$1000,$A821,Documentacion!$B$2:$B$1000,"&gt;="&amp;DATEVALUE($B821&amp;"-01"),Documentacion!$B$2:$B$1000,"&lt;="&amp;EOMONTH(DATEVALUE($B821&amp;"-01"),0)))-1)/4*100,"")</f>
        <v/>
      </c>
      <c r="W821" t="str">
        <f ca="1">IFERROR(((AVERAGEIFS(Feedback_360!$D$2:$D$1000,Feedback_360!$A$2:$A$1000,$A821,Feedback_360!$B$2:$B$1000,"&gt;="&amp;DATEVALUE($B821&amp;"-01"),Feedback_360!$B$2:$B$1000,"&lt;="&amp;EOMONTH(DATEVALUE($B821&amp;"-01"),0)))-1)/4*100,"")</f>
        <v/>
      </c>
      <c r="X821" t="str">
        <f ca="1">IFERROR(((AVERAGEIFS(Observacion_Directa!$D$2:$D$1000,Observacion_Directa!$A$2:$A$1000,$A821,Observacion_Directa!$B$2:$B$1000,"&gt;="&amp;DATEVALUE($B821&amp;"-01"),Observacion_Directa!$B$2:$B$1000,"&lt;="&amp;EOMONTH(DATEVALUE($B821&amp;"-01"),0)))-1)/4*100,"")</f>
        <v/>
      </c>
      <c r="Y821" t="e">
        <f t="shared" ca="1" si="25"/>
        <v>#DIV/0!</v>
      </c>
    </row>
    <row r="822" spans="12:25" x14ac:dyDescent="0.2">
      <c r="L822" t="str">
        <f t="shared" si="24"/>
        <v/>
      </c>
      <c r="M822" t="str">
        <f>IFERROR(AVERAGEIFS(Prod_5dias!$H$2:$H$1000,Prod_5dias!$A$2:$A$1000,$A822,Prod_5dias!$B$2:$B$1000,$B822),"")</f>
        <v/>
      </c>
      <c r="N822" t="str">
        <f>IF(M822="","",MIN(100,100*M822/Parametros!$B$7))</f>
        <v/>
      </c>
      <c r="O822" t="str">
        <f>IF(F822="","",IF(F822=0,100,MIN(100,100*Parametros!$B$3/F822)))</f>
        <v/>
      </c>
      <c r="P822" t="str">
        <f ca="1">IFERROR(((AVERAGEIFS(Observacion_Directa!$E$2:$E$1000,Observacion_Directa!$A$2:$A$1000,$A822,Observacion_Directa!$B$2:$B$1000,"&gt;="&amp;DATEVALUE($B822&amp;"-01"),Observacion_Directa!$B$2:$B$1000,"&lt;="&amp;EOMONTH(DATEVALUE($B822&amp;"-01"),0)))-1)/4*100,"")</f>
        <v/>
      </c>
      <c r="Q822" t="str">
        <f>IF(H822="","",MIN(100,100*H822/Parametros!$B$4))</f>
        <v/>
      </c>
      <c r="R822" t="str">
        <f>IF(I822="","",IF(I822=0,100,MIN(100,100*Parametros!$B$5/I822)))</f>
        <v/>
      </c>
      <c r="S822" t="str">
        <f>IF(J822="","",IF(J822=0,100,MIN(100,100*Parametros!$B$6/J822)))</f>
        <v/>
      </c>
      <c r="T822" t="str">
        <f>IF(L822="","",MIN(100,100*L822/Parametros!$B$7))</f>
        <v/>
      </c>
      <c r="U822" t="str">
        <f>IF(K822="","",MIN(100,100*K822/Parametros!$B$8))</f>
        <v/>
      </c>
      <c r="V822" t="str">
        <f ca="1">IFERROR(((AVERAGEIFS(Documentacion!$C$2:$C$1000,Documentacion!$A$2:$A$1000,$A822,Documentacion!$B$2:$B$1000,"&gt;="&amp;DATEVALUE($B822&amp;"-01"),Documentacion!$B$2:$B$1000,"&lt;="&amp;EOMONTH(DATEVALUE($B822&amp;"-01"),0)))-1)/4*100,"")</f>
        <v/>
      </c>
      <c r="W822" t="str">
        <f ca="1">IFERROR(((AVERAGEIFS(Feedback_360!$D$2:$D$1000,Feedback_360!$A$2:$A$1000,$A822,Feedback_360!$B$2:$B$1000,"&gt;="&amp;DATEVALUE($B822&amp;"-01"),Feedback_360!$B$2:$B$1000,"&lt;="&amp;EOMONTH(DATEVALUE($B822&amp;"-01"),0)))-1)/4*100,"")</f>
        <v/>
      </c>
      <c r="X822" t="str">
        <f ca="1">IFERROR(((AVERAGEIFS(Observacion_Directa!$D$2:$D$1000,Observacion_Directa!$A$2:$A$1000,$A822,Observacion_Directa!$B$2:$B$1000,"&gt;="&amp;DATEVALUE($B822&amp;"-01"),Observacion_Directa!$B$2:$B$1000,"&lt;="&amp;EOMONTH(DATEVALUE($B822&amp;"-01"),0)))-1)/4*100,"")</f>
        <v/>
      </c>
      <c r="Y822" t="e">
        <f t="shared" ca="1" si="25"/>
        <v>#DIV/0!</v>
      </c>
    </row>
    <row r="823" spans="12:25" x14ac:dyDescent="0.2">
      <c r="L823" t="str">
        <f t="shared" si="24"/>
        <v/>
      </c>
      <c r="M823" t="str">
        <f>IFERROR(AVERAGEIFS(Prod_5dias!$H$2:$H$1000,Prod_5dias!$A$2:$A$1000,$A823,Prod_5dias!$B$2:$B$1000,$B823),"")</f>
        <v/>
      </c>
      <c r="N823" t="str">
        <f>IF(M823="","",MIN(100,100*M823/Parametros!$B$7))</f>
        <v/>
      </c>
      <c r="O823" t="str">
        <f>IF(F823="","",IF(F823=0,100,MIN(100,100*Parametros!$B$3/F823)))</f>
        <v/>
      </c>
      <c r="P823" t="str">
        <f ca="1">IFERROR(((AVERAGEIFS(Observacion_Directa!$E$2:$E$1000,Observacion_Directa!$A$2:$A$1000,$A823,Observacion_Directa!$B$2:$B$1000,"&gt;="&amp;DATEVALUE($B823&amp;"-01"),Observacion_Directa!$B$2:$B$1000,"&lt;="&amp;EOMONTH(DATEVALUE($B823&amp;"-01"),0)))-1)/4*100,"")</f>
        <v/>
      </c>
      <c r="Q823" t="str">
        <f>IF(H823="","",MIN(100,100*H823/Parametros!$B$4))</f>
        <v/>
      </c>
      <c r="R823" t="str">
        <f>IF(I823="","",IF(I823=0,100,MIN(100,100*Parametros!$B$5/I823)))</f>
        <v/>
      </c>
      <c r="S823" t="str">
        <f>IF(J823="","",IF(J823=0,100,MIN(100,100*Parametros!$B$6/J823)))</f>
        <v/>
      </c>
      <c r="T823" t="str">
        <f>IF(L823="","",MIN(100,100*L823/Parametros!$B$7))</f>
        <v/>
      </c>
      <c r="U823" t="str">
        <f>IF(K823="","",MIN(100,100*K823/Parametros!$B$8))</f>
        <v/>
      </c>
      <c r="V823" t="str">
        <f ca="1">IFERROR(((AVERAGEIFS(Documentacion!$C$2:$C$1000,Documentacion!$A$2:$A$1000,$A823,Documentacion!$B$2:$B$1000,"&gt;="&amp;DATEVALUE($B823&amp;"-01"),Documentacion!$B$2:$B$1000,"&lt;="&amp;EOMONTH(DATEVALUE($B823&amp;"-01"),0)))-1)/4*100,"")</f>
        <v/>
      </c>
      <c r="W823" t="str">
        <f ca="1">IFERROR(((AVERAGEIFS(Feedback_360!$D$2:$D$1000,Feedback_360!$A$2:$A$1000,$A823,Feedback_360!$B$2:$B$1000,"&gt;="&amp;DATEVALUE($B823&amp;"-01"),Feedback_360!$B$2:$B$1000,"&lt;="&amp;EOMONTH(DATEVALUE($B823&amp;"-01"),0)))-1)/4*100,"")</f>
        <v/>
      </c>
      <c r="X823" t="str">
        <f ca="1">IFERROR(((AVERAGEIFS(Observacion_Directa!$D$2:$D$1000,Observacion_Directa!$A$2:$A$1000,$A823,Observacion_Directa!$B$2:$B$1000,"&gt;="&amp;DATEVALUE($B823&amp;"-01"),Observacion_Directa!$B$2:$B$1000,"&lt;="&amp;EOMONTH(DATEVALUE($B823&amp;"-01"),0)))-1)/4*100,"")</f>
        <v/>
      </c>
      <c r="Y823" t="e">
        <f t="shared" ca="1" si="25"/>
        <v>#DIV/0!</v>
      </c>
    </row>
    <row r="824" spans="12:25" x14ac:dyDescent="0.2">
      <c r="L824" t="str">
        <f t="shared" si="24"/>
        <v/>
      </c>
      <c r="M824" t="str">
        <f>IFERROR(AVERAGEIFS(Prod_5dias!$H$2:$H$1000,Prod_5dias!$A$2:$A$1000,$A824,Prod_5dias!$B$2:$B$1000,$B824),"")</f>
        <v/>
      </c>
      <c r="N824" t="str">
        <f>IF(M824="","",MIN(100,100*M824/Parametros!$B$7))</f>
        <v/>
      </c>
      <c r="O824" t="str">
        <f>IF(F824="","",IF(F824=0,100,MIN(100,100*Parametros!$B$3/F824)))</f>
        <v/>
      </c>
      <c r="P824" t="str">
        <f ca="1">IFERROR(((AVERAGEIFS(Observacion_Directa!$E$2:$E$1000,Observacion_Directa!$A$2:$A$1000,$A824,Observacion_Directa!$B$2:$B$1000,"&gt;="&amp;DATEVALUE($B824&amp;"-01"),Observacion_Directa!$B$2:$B$1000,"&lt;="&amp;EOMONTH(DATEVALUE($B824&amp;"-01"),0)))-1)/4*100,"")</f>
        <v/>
      </c>
      <c r="Q824" t="str">
        <f>IF(H824="","",MIN(100,100*H824/Parametros!$B$4))</f>
        <v/>
      </c>
      <c r="R824" t="str">
        <f>IF(I824="","",IF(I824=0,100,MIN(100,100*Parametros!$B$5/I824)))</f>
        <v/>
      </c>
      <c r="S824" t="str">
        <f>IF(J824="","",IF(J824=0,100,MIN(100,100*Parametros!$B$6/J824)))</f>
        <v/>
      </c>
      <c r="T824" t="str">
        <f>IF(L824="","",MIN(100,100*L824/Parametros!$B$7))</f>
        <v/>
      </c>
      <c r="U824" t="str">
        <f>IF(K824="","",MIN(100,100*K824/Parametros!$B$8))</f>
        <v/>
      </c>
      <c r="V824" t="str">
        <f ca="1">IFERROR(((AVERAGEIFS(Documentacion!$C$2:$C$1000,Documentacion!$A$2:$A$1000,$A824,Documentacion!$B$2:$B$1000,"&gt;="&amp;DATEVALUE($B824&amp;"-01"),Documentacion!$B$2:$B$1000,"&lt;="&amp;EOMONTH(DATEVALUE($B824&amp;"-01"),0)))-1)/4*100,"")</f>
        <v/>
      </c>
      <c r="W824" t="str">
        <f ca="1">IFERROR(((AVERAGEIFS(Feedback_360!$D$2:$D$1000,Feedback_360!$A$2:$A$1000,$A824,Feedback_360!$B$2:$B$1000,"&gt;="&amp;DATEVALUE($B824&amp;"-01"),Feedback_360!$B$2:$B$1000,"&lt;="&amp;EOMONTH(DATEVALUE($B824&amp;"-01"),0)))-1)/4*100,"")</f>
        <v/>
      </c>
      <c r="X824" t="str">
        <f ca="1">IFERROR(((AVERAGEIFS(Observacion_Directa!$D$2:$D$1000,Observacion_Directa!$A$2:$A$1000,$A824,Observacion_Directa!$B$2:$B$1000,"&gt;="&amp;DATEVALUE($B824&amp;"-01"),Observacion_Directa!$B$2:$B$1000,"&lt;="&amp;EOMONTH(DATEVALUE($B824&amp;"-01"),0)))-1)/4*100,"")</f>
        <v/>
      </c>
      <c r="Y824" t="e">
        <f t="shared" ca="1" si="25"/>
        <v>#DIV/0!</v>
      </c>
    </row>
    <row r="825" spans="12:25" x14ac:dyDescent="0.2">
      <c r="L825" t="str">
        <f t="shared" si="24"/>
        <v/>
      </c>
      <c r="M825" t="str">
        <f>IFERROR(AVERAGEIFS(Prod_5dias!$H$2:$H$1000,Prod_5dias!$A$2:$A$1000,$A825,Prod_5dias!$B$2:$B$1000,$B825),"")</f>
        <v/>
      </c>
      <c r="N825" t="str">
        <f>IF(M825="","",MIN(100,100*M825/Parametros!$B$7))</f>
        <v/>
      </c>
      <c r="O825" t="str">
        <f>IF(F825="","",IF(F825=0,100,MIN(100,100*Parametros!$B$3/F825)))</f>
        <v/>
      </c>
      <c r="P825" t="str">
        <f ca="1">IFERROR(((AVERAGEIFS(Observacion_Directa!$E$2:$E$1000,Observacion_Directa!$A$2:$A$1000,$A825,Observacion_Directa!$B$2:$B$1000,"&gt;="&amp;DATEVALUE($B825&amp;"-01"),Observacion_Directa!$B$2:$B$1000,"&lt;="&amp;EOMONTH(DATEVALUE($B825&amp;"-01"),0)))-1)/4*100,"")</f>
        <v/>
      </c>
      <c r="Q825" t="str">
        <f>IF(H825="","",MIN(100,100*H825/Parametros!$B$4))</f>
        <v/>
      </c>
      <c r="R825" t="str">
        <f>IF(I825="","",IF(I825=0,100,MIN(100,100*Parametros!$B$5/I825)))</f>
        <v/>
      </c>
      <c r="S825" t="str">
        <f>IF(J825="","",IF(J825=0,100,MIN(100,100*Parametros!$B$6/J825)))</f>
        <v/>
      </c>
      <c r="T825" t="str">
        <f>IF(L825="","",MIN(100,100*L825/Parametros!$B$7))</f>
        <v/>
      </c>
      <c r="U825" t="str">
        <f>IF(K825="","",MIN(100,100*K825/Parametros!$B$8))</f>
        <v/>
      </c>
      <c r="V825" t="str">
        <f ca="1">IFERROR(((AVERAGEIFS(Documentacion!$C$2:$C$1000,Documentacion!$A$2:$A$1000,$A825,Documentacion!$B$2:$B$1000,"&gt;="&amp;DATEVALUE($B825&amp;"-01"),Documentacion!$B$2:$B$1000,"&lt;="&amp;EOMONTH(DATEVALUE($B825&amp;"-01"),0)))-1)/4*100,"")</f>
        <v/>
      </c>
      <c r="W825" t="str">
        <f ca="1">IFERROR(((AVERAGEIFS(Feedback_360!$D$2:$D$1000,Feedback_360!$A$2:$A$1000,$A825,Feedback_360!$B$2:$B$1000,"&gt;="&amp;DATEVALUE($B825&amp;"-01"),Feedback_360!$B$2:$B$1000,"&lt;="&amp;EOMONTH(DATEVALUE($B825&amp;"-01"),0)))-1)/4*100,"")</f>
        <v/>
      </c>
      <c r="X825" t="str">
        <f ca="1">IFERROR(((AVERAGEIFS(Observacion_Directa!$D$2:$D$1000,Observacion_Directa!$A$2:$A$1000,$A825,Observacion_Directa!$B$2:$B$1000,"&gt;="&amp;DATEVALUE($B825&amp;"-01"),Observacion_Directa!$B$2:$B$1000,"&lt;="&amp;EOMONTH(DATEVALUE($B825&amp;"-01"),0)))-1)/4*100,"")</f>
        <v/>
      </c>
      <c r="Y825" t="e">
        <f t="shared" ca="1" si="25"/>
        <v>#DIV/0!</v>
      </c>
    </row>
    <row r="826" spans="12:25" x14ac:dyDescent="0.2">
      <c r="L826" t="str">
        <f t="shared" si="24"/>
        <v/>
      </c>
      <c r="M826" t="str">
        <f>IFERROR(AVERAGEIFS(Prod_5dias!$H$2:$H$1000,Prod_5dias!$A$2:$A$1000,$A826,Prod_5dias!$B$2:$B$1000,$B826),"")</f>
        <v/>
      </c>
      <c r="N826" t="str">
        <f>IF(M826="","",MIN(100,100*M826/Parametros!$B$7))</f>
        <v/>
      </c>
      <c r="O826" t="str">
        <f>IF(F826="","",IF(F826=0,100,MIN(100,100*Parametros!$B$3/F826)))</f>
        <v/>
      </c>
      <c r="P826" t="str">
        <f ca="1">IFERROR(((AVERAGEIFS(Observacion_Directa!$E$2:$E$1000,Observacion_Directa!$A$2:$A$1000,$A826,Observacion_Directa!$B$2:$B$1000,"&gt;="&amp;DATEVALUE($B826&amp;"-01"),Observacion_Directa!$B$2:$B$1000,"&lt;="&amp;EOMONTH(DATEVALUE($B826&amp;"-01"),0)))-1)/4*100,"")</f>
        <v/>
      </c>
      <c r="Q826" t="str">
        <f>IF(H826="","",MIN(100,100*H826/Parametros!$B$4))</f>
        <v/>
      </c>
      <c r="R826" t="str">
        <f>IF(I826="","",IF(I826=0,100,MIN(100,100*Parametros!$B$5/I826)))</f>
        <v/>
      </c>
      <c r="S826" t="str">
        <f>IF(J826="","",IF(J826=0,100,MIN(100,100*Parametros!$B$6/J826)))</f>
        <v/>
      </c>
      <c r="T826" t="str">
        <f>IF(L826="","",MIN(100,100*L826/Parametros!$B$7))</f>
        <v/>
      </c>
      <c r="U826" t="str">
        <f>IF(K826="","",MIN(100,100*K826/Parametros!$B$8))</f>
        <v/>
      </c>
      <c r="V826" t="str">
        <f ca="1">IFERROR(((AVERAGEIFS(Documentacion!$C$2:$C$1000,Documentacion!$A$2:$A$1000,$A826,Documentacion!$B$2:$B$1000,"&gt;="&amp;DATEVALUE($B826&amp;"-01"),Documentacion!$B$2:$B$1000,"&lt;="&amp;EOMONTH(DATEVALUE($B826&amp;"-01"),0)))-1)/4*100,"")</f>
        <v/>
      </c>
      <c r="W826" t="str">
        <f ca="1">IFERROR(((AVERAGEIFS(Feedback_360!$D$2:$D$1000,Feedback_360!$A$2:$A$1000,$A826,Feedback_360!$B$2:$B$1000,"&gt;="&amp;DATEVALUE($B826&amp;"-01"),Feedback_360!$B$2:$B$1000,"&lt;="&amp;EOMONTH(DATEVALUE($B826&amp;"-01"),0)))-1)/4*100,"")</f>
        <v/>
      </c>
      <c r="X826" t="str">
        <f ca="1">IFERROR(((AVERAGEIFS(Observacion_Directa!$D$2:$D$1000,Observacion_Directa!$A$2:$A$1000,$A826,Observacion_Directa!$B$2:$B$1000,"&gt;="&amp;DATEVALUE($B826&amp;"-01"),Observacion_Directa!$B$2:$B$1000,"&lt;="&amp;EOMONTH(DATEVALUE($B826&amp;"-01"),0)))-1)/4*100,"")</f>
        <v/>
      </c>
      <c r="Y826" t="e">
        <f t="shared" ca="1" si="25"/>
        <v>#DIV/0!</v>
      </c>
    </row>
    <row r="827" spans="12:25" x14ac:dyDescent="0.2">
      <c r="L827" t="str">
        <f t="shared" si="24"/>
        <v/>
      </c>
      <c r="M827" t="str">
        <f>IFERROR(AVERAGEIFS(Prod_5dias!$H$2:$H$1000,Prod_5dias!$A$2:$A$1000,$A827,Prod_5dias!$B$2:$B$1000,$B827),"")</f>
        <v/>
      </c>
      <c r="N827" t="str">
        <f>IF(M827="","",MIN(100,100*M827/Parametros!$B$7))</f>
        <v/>
      </c>
      <c r="O827" t="str">
        <f>IF(F827="","",IF(F827=0,100,MIN(100,100*Parametros!$B$3/F827)))</f>
        <v/>
      </c>
      <c r="P827" t="str">
        <f ca="1">IFERROR(((AVERAGEIFS(Observacion_Directa!$E$2:$E$1000,Observacion_Directa!$A$2:$A$1000,$A827,Observacion_Directa!$B$2:$B$1000,"&gt;="&amp;DATEVALUE($B827&amp;"-01"),Observacion_Directa!$B$2:$B$1000,"&lt;="&amp;EOMONTH(DATEVALUE($B827&amp;"-01"),0)))-1)/4*100,"")</f>
        <v/>
      </c>
      <c r="Q827" t="str">
        <f>IF(H827="","",MIN(100,100*H827/Parametros!$B$4))</f>
        <v/>
      </c>
      <c r="R827" t="str">
        <f>IF(I827="","",IF(I827=0,100,MIN(100,100*Parametros!$B$5/I827)))</f>
        <v/>
      </c>
      <c r="S827" t="str">
        <f>IF(J827="","",IF(J827=0,100,MIN(100,100*Parametros!$B$6/J827)))</f>
        <v/>
      </c>
      <c r="T827" t="str">
        <f>IF(L827="","",MIN(100,100*L827/Parametros!$B$7))</f>
        <v/>
      </c>
      <c r="U827" t="str">
        <f>IF(K827="","",MIN(100,100*K827/Parametros!$B$8))</f>
        <v/>
      </c>
      <c r="V827" t="str">
        <f ca="1">IFERROR(((AVERAGEIFS(Documentacion!$C$2:$C$1000,Documentacion!$A$2:$A$1000,$A827,Documentacion!$B$2:$B$1000,"&gt;="&amp;DATEVALUE($B827&amp;"-01"),Documentacion!$B$2:$B$1000,"&lt;="&amp;EOMONTH(DATEVALUE($B827&amp;"-01"),0)))-1)/4*100,"")</f>
        <v/>
      </c>
      <c r="W827" t="str">
        <f ca="1">IFERROR(((AVERAGEIFS(Feedback_360!$D$2:$D$1000,Feedback_360!$A$2:$A$1000,$A827,Feedback_360!$B$2:$B$1000,"&gt;="&amp;DATEVALUE($B827&amp;"-01"),Feedback_360!$B$2:$B$1000,"&lt;="&amp;EOMONTH(DATEVALUE($B827&amp;"-01"),0)))-1)/4*100,"")</f>
        <v/>
      </c>
      <c r="X827" t="str">
        <f ca="1">IFERROR(((AVERAGEIFS(Observacion_Directa!$D$2:$D$1000,Observacion_Directa!$A$2:$A$1000,$A827,Observacion_Directa!$B$2:$B$1000,"&gt;="&amp;DATEVALUE($B827&amp;"-01"),Observacion_Directa!$B$2:$B$1000,"&lt;="&amp;EOMONTH(DATEVALUE($B827&amp;"-01"),0)))-1)/4*100,"")</f>
        <v/>
      </c>
      <c r="Y827" t="e">
        <f t="shared" ca="1" si="25"/>
        <v>#DIV/0!</v>
      </c>
    </row>
    <row r="828" spans="12:25" x14ac:dyDescent="0.2">
      <c r="L828" t="str">
        <f t="shared" si="24"/>
        <v/>
      </c>
      <c r="M828" t="str">
        <f>IFERROR(AVERAGEIFS(Prod_5dias!$H$2:$H$1000,Prod_5dias!$A$2:$A$1000,$A828,Prod_5dias!$B$2:$B$1000,$B828),"")</f>
        <v/>
      </c>
      <c r="N828" t="str">
        <f>IF(M828="","",MIN(100,100*M828/Parametros!$B$7))</f>
        <v/>
      </c>
      <c r="O828" t="str">
        <f>IF(F828="","",IF(F828=0,100,MIN(100,100*Parametros!$B$3/F828)))</f>
        <v/>
      </c>
      <c r="P828" t="str">
        <f ca="1">IFERROR(((AVERAGEIFS(Observacion_Directa!$E$2:$E$1000,Observacion_Directa!$A$2:$A$1000,$A828,Observacion_Directa!$B$2:$B$1000,"&gt;="&amp;DATEVALUE($B828&amp;"-01"),Observacion_Directa!$B$2:$B$1000,"&lt;="&amp;EOMONTH(DATEVALUE($B828&amp;"-01"),0)))-1)/4*100,"")</f>
        <v/>
      </c>
      <c r="Q828" t="str">
        <f>IF(H828="","",MIN(100,100*H828/Parametros!$B$4))</f>
        <v/>
      </c>
      <c r="R828" t="str">
        <f>IF(I828="","",IF(I828=0,100,MIN(100,100*Parametros!$B$5/I828)))</f>
        <v/>
      </c>
      <c r="S828" t="str">
        <f>IF(J828="","",IF(J828=0,100,MIN(100,100*Parametros!$B$6/J828)))</f>
        <v/>
      </c>
      <c r="T828" t="str">
        <f>IF(L828="","",MIN(100,100*L828/Parametros!$B$7))</f>
        <v/>
      </c>
      <c r="U828" t="str">
        <f>IF(K828="","",MIN(100,100*K828/Parametros!$B$8))</f>
        <v/>
      </c>
      <c r="V828" t="str">
        <f ca="1">IFERROR(((AVERAGEIFS(Documentacion!$C$2:$C$1000,Documentacion!$A$2:$A$1000,$A828,Documentacion!$B$2:$B$1000,"&gt;="&amp;DATEVALUE($B828&amp;"-01"),Documentacion!$B$2:$B$1000,"&lt;="&amp;EOMONTH(DATEVALUE($B828&amp;"-01"),0)))-1)/4*100,"")</f>
        <v/>
      </c>
      <c r="W828" t="str">
        <f ca="1">IFERROR(((AVERAGEIFS(Feedback_360!$D$2:$D$1000,Feedback_360!$A$2:$A$1000,$A828,Feedback_360!$B$2:$B$1000,"&gt;="&amp;DATEVALUE($B828&amp;"-01"),Feedback_360!$B$2:$B$1000,"&lt;="&amp;EOMONTH(DATEVALUE($B828&amp;"-01"),0)))-1)/4*100,"")</f>
        <v/>
      </c>
      <c r="X828" t="str">
        <f ca="1">IFERROR(((AVERAGEIFS(Observacion_Directa!$D$2:$D$1000,Observacion_Directa!$A$2:$A$1000,$A828,Observacion_Directa!$B$2:$B$1000,"&gt;="&amp;DATEVALUE($B828&amp;"-01"),Observacion_Directa!$B$2:$B$1000,"&lt;="&amp;EOMONTH(DATEVALUE($B828&amp;"-01"),0)))-1)/4*100,"")</f>
        <v/>
      </c>
      <c r="Y828" t="e">
        <f t="shared" ca="1" si="25"/>
        <v>#DIV/0!</v>
      </c>
    </row>
    <row r="829" spans="12:25" x14ac:dyDescent="0.2">
      <c r="L829" t="str">
        <f t="shared" si="24"/>
        <v/>
      </c>
      <c r="M829" t="str">
        <f>IFERROR(AVERAGEIFS(Prod_5dias!$H$2:$H$1000,Prod_5dias!$A$2:$A$1000,$A829,Prod_5dias!$B$2:$B$1000,$B829),"")</f>
        <v/>
      </c>
      <c r="N829" t="str">
        <f>IF(M829="","",MIN(100,100*M829/Parametros!$B$7))</f>
        <v/>
      </c>
      <c r="O829" t="str">
        <f>IF(F829="","",IF(F829=0,100,MIN(100,100*Parametros!$B$3/F829)))</f>
        <v/>
      </c>
      <c r="P829" t="str">
        <f ca="1">IFERROR(((AVERAGEIFS(Observacion_Directa!$E$2:$E$1000,Observacion_Directa!$A$2:$A$1000,$A829,Observacion_Directa!$B$2:$B$1000,"&gt;="&amp;DATEVALUE($B829&amp;"-01"),Observacion_Directa!$B$2:$B$1000,"&lt;="&amp;EOMONTH(DATEVALUE($B829&amp;"-01"),0)))-1)/4*100,"")</f>
        <v/>
      </c>
      <c r="Q829" t="str">
        <f>IF(H829="","",MIN(100,100*H829/Parametros!$B$4))</f>
        <v/>
      </c>
      <c r="R829" t="str">
        <f>IF(I829="","",IF(I829=0,100,MIN(100,100*Parametros!$B$5/I829)))</f>
        <v/>
      </c>
      <c r="S829" t="str">
        <f>IF(J829="","",IF(J829=0,100,MIN(100,100*Parametros!$B$6/J829)))</f>
        <v/>
      </c>
      <c r="T829" t="str">
        <f>IF(L829="","",MIN(100,100*L829/Parametros!$B$7))</f>
        <v/>
      </c>
      <c r="U829" t="str">
        <f>IF(K829="","",MIN(100,100*K829/Parametros!$B$8))</f>
        <v/>
      </c>
      <c r="V829" t="str">
        <f ca="1">IFERROR(((AVERAGEIFS(Documentacion!$C$2:$C$1000,Documentacion!$A$2:$A$1000,$A829,Documentacion!$B$2:$B$1000,"&gt;="&amp;DATEVALUE($B829&amp;"-01"),Documentacion!$B$2:$B$1000,"&lt;="&amp;EOMONTH(DATEVALUE($B829&amp;"-01"),0)))-1)/4*100,"")</f>
        <v/>
      </c>
      <c r="W829" t="str">
        <f ca="1">IFERROR(((AVERAGEIFS(Feedback_360!$D$2:$D$1000,Feedback_360!$A$2:$A$1000,$A829,Feedback_360!$B$2:$B$1000,"&gt;="&amp;DATEVALUE($B829&amp;"-01"),Feedback_360!$B$2:$B$1000,"&lt;="&amp;EOMONTH(DATEVALUE($B829&amp;"-01"),0)))-1)/4*100,"")</f>
        <v/>
      </c>
      <c r="X829" t="str">
        <f ca="1">IFERROR(((AVERAGEIFS(Observacion_Directa!$D$2:$D$1000,Observacion_Directa!$A$2:$A$1000,$A829,Observacion_Directa!$B$2:$B$1000,"&gt;="&amp;DATEVALUE($B829&amp;"-01"),Observacion_Directa!$B$2:$B$1000,"&lt;="&amp;EOMONTH(DATEVALUE($B829&amp;"-01"),0)))-1)/4*100,"")</f>
        <v/>
      </c>
      <c r="Y829" t="e">
        <f t="shared" ca="1" si="25"/>
        <v>#DIV/0!</v>
      </c>
    </row>
    <row r="830" spans="12:25" x14ac:dyDescent="0.2">
      <c r="L830" t="str">
        <f t="shared" si="24"/>
        <v/>
      </c>
      <c r="M830" t="str">
        <f>IFERROR(AVERAGEIFS(Prod_5dias!$H$2:$H$1000,Prod_5dias!$A$2:$A$1000,$A830,Prod_5dias!$B$2:$B$1000,$B830),"")</f>
        <v/>
      </c>
      <c r="N830" t="str">
        <f>IF(M830="","",MIN(100,100*M830/Parametros!$B$7))</f>
        <v/>
      </c>
      <c r="O830" t="str">
        <f>IF(F830="","",IF(F830=0,100,MIN(100,100*Parametros!$B$3/F830)))</f>
        <v/>
      </c>
      <c r="P830" t="str">
        <f ca="1">IFERROR(((AVERAGEIFS(Observacion_Directa!$E$2:$E$1000,Observacion_Directa!$A$2:$A$1000,$A830,Observacion_Directa!$B$2:$B$1000,"&gt;="&amp;DATEVALUE($B830&amp;"-01"),Observacion_Directa!$B$2:$B$1000,"&lt;="&amp;EOMONTH(DATEVALUE($B830&amp;"-01"),0)))-1)/4*100,"")</f>
        <v/>
      </c>
      <c r="Q830" t="str">
        <f>IF(H830="","",MIN(100,100*H830/Parametros!$B$4))</f>
        <v/>
      </c>
      <c r="R830" t="str">
        <f>IF(I830="","",IF(I830=0,100,MIN(100,100*Parametros!$B$5/I830)))</f>
        <v/>
      </c>
      <c r="S830" t="str">
        <f>IF(J830="","",IF(J830=0,100,MIN(100,100*Parametros!$B$6/J830)))</f>
        <v/>
      </c>
      <c r="T830" t="str">
        <f>IF(L830="","",MIN(100,100*L830/Parametros!$B$7))</f>
        <v/>
      </c>
      <c r="U830" t="str">
        <f>IF(K830="","",MIN(100,100*K830/Parametros!$B$8))</f>
        <v/>
      </c>
      <c r="V830" t="str">
        <f ca="1">IFERROR(((AVERAGEIFS(Documentacion!$C$2:$C$1000,Documentacion!$A$2:$A$1000,$A830,Documentacion!$B$2:$B$1000,"&gt;="&amp;DATEVALUE($B830&amp;"-01"),Documentacion!$B$2:$B$1000,"&lt;="&amp;EOMONTH(DATEVALUE($B830&amp;"-01"),0)))-1)/4*100,"")</f>
        <v/>
      </c>
      <c r="W830" t="str">
        <f ca="1">IFERROR(((AVERAGEIFS(Feedback_360!$D$2:$D$1000,Feedback_360!$A$2:$A$1000,$A830,Feedback_360!$B$2:$B$1000,"&gt;="&amp;DATEVALUE($B830&amp;"-01"),Feedback_360!$B$2:$B$1000,"&lt;="&amp;EOMONTH(DATEVALUE($B830&amp;"-01"),0)))-1)/4*100,"")</f>
        <v/>
      </c>
      <c r="X830" t="str">
        <f ca="1">IFERROR(((AVERAGEIFS(Observacion_Directa!$D$2:$D$1000,Observacion_Directa!$A$2:$A$1000,$A830,Observacion_Directa!$B$2:$B$1000,"&gt;="&amp;DATEVALUE($B830&amp;"-01"),Observacion_Directa!$B$2:$B$1000,"&lt;="&amp;EOMONTH(DATEVALUE($B830&amp;"-01"),0)))-1)/4*100,"")</f>
        <v/>
      </c>
      <c r="Y830" t="e">
        <f t="shared" ca="1" si="25"/>
        <v>#DIV/0!</v>
      </c>
    </row>
    <row r="831" spans="12:25" x14ac:dyDescent="0.2">
      <c r="L831" t="str">
        <f t="shared" si="24"/>
        <v/>
      </c>
      <c r="M831" t="str">
        <f>IFERROR(AVERAGEIFS(Prod_5dias!$H$2:$H$1000,Prod_5dias!$A$2:$A$1000,$A831,Prod_5dias!$B$2:$B$1000,$B831),"")</f>
        <v/>
      </c>
      <c r="N831" t="str">
        <f>IF(M831="","",MIN(100,100*M831/Parametros!$B$7))</f>
        <v/>
      </c>
      <c r="O831" t="str">
        <f>IF(F831="","",IF(F831=0,100,MIN(100,100*Parametros!$B$3/F831)))</f>
        <v/>
      </c>
      <c r="P831" t="str">
        <f ca="1">IFERROR(((AVERAGEIFS(Observacion_Directa!$E$2:$E$1000,Observacion_Directa!$A$2:$A$1000,$A831,Observacion_Directa!$B$2:$B$1000,"&gt;="&amp;DATEVALUE($B831&amp;"-01"),Observacion_Directa!$B$2:$B$1000,"&lt;="&amp;EOMONTH(DATEVALUE($B831&amp;"-01"),0)))-1)/4*100,"")</f>
        <v/>
      </c>
      <c r="Q831" t="str">
        <f>IF(H831="","",MIN(100,100*H831/Parametros!$B$4))</f>
        <v/>
      </c>
      <c r="R831" t="str">
        <f>IF(I831="","",IF(I831=0,100,MIN(100,100*Parametros!$B$5/I831)))</f>
        <v/>
      </c>
      <c r="S831" t="str">
        <f>IF(J831="","",IF(J831=0,100,MIN(100,100*Parametros!$B$6/J831)))</f>
        <v/>
      </c>
      <c r="T831" t="str">
        <f>IF(L831="","",MIN(100,100*L831/Parametros!$B$7))</f>
        <v/>
      </c>
      <c r="U831" t="str">
        <f>IF(K831="","",MIN(100,100*K831/Parametros!$B$8))</f>
        <v/>
      </c>
      <c r="V831" t="str">
        <f ca="1">IFERROR(((AVERAGEIFS(Documentacion!$C$2:$C$1000,Documentacion!$A$2:$A$1000,$A831,Documentacion!$B$2:$B$1000,"&gt;="&amp;DATEVALUE($B831&amp;"-01"),Documentacion!$B$2:$B$1000,"&lt;="&amp;EOMONTH(DATEVALUE($B831&amp;"-01"),0)))-1)/4*100,"")</f>
        <v/>
      </c>
      <c r="W831" t="str">
        <f ca="1">IFERROR(((AVERAGEIFS(Feedback_360!$D$2:$D$1000,Feedback_360!$A$2:$A$1000,$A831,Feedback_360!$B$2:$B$1000,"&gt;="&amp;DATEVALUE($B831&amp;"-01"),Feedback_360!$B$2:$B$1000,"&lt;="&amp;EOMONTH(DATEVALUE($B831&amp;"-01"),0)))-1)/4*100,"")</f>
        <v/>
      </c>
      <c r="X831" t="str">
        <f ca="1">IFERROR(((AVERAGEIFS(Observacion_Directa!$D$2:$D$1000,Observacion_Directa!$A$2:$A$1000,$A831,Observacion_Directa!$B$2:$B$1000,"&gt;="&amp;DATEVALUE($B831&amp;"-01"),Observacion_Directa!$B$2:$B$1000,"&lt;="&amp;EOMONTH(DATEVALUE($B831&amp;"-01"),0)))-1)/4*100,"")</f>
        <v/>
      </c>
      <c r="Y831" t="e">
        <f t="shared" ca="1" si="25"/>
        <v>#DIV/0!</v>
      </c>
    </row>
    <row r="832" spans="12:25" x14ac:dyDescent="0.2">
      <c r="L832" t="str">
        <f t="shared" si="24"/>
        <v/>
      </c>
      <c r="M832" t="str">
        <f>IFERROR(AVERAGEIFS(Prod_5dias!$H$2:$H$1000,Prod_5dias!$A$2:$A$1000,$A832,Prod_5dias!$B$2:$B$1000,$B832),"")</f>
        <v/>
      </c>
      <c r="N832" t="str">
        <f>IF(M832="","",MIN(100,100*M832/Parametros!$B$7))</f>
        <v/>
      </c>
      <c r="O832" t="str">
        <f>IF(F832="","",IF(F832=0,100,MIN(100,100*Parametros!$B$3/F832)))</f>
        <v/>
      </c>
      <c r="P832" t="str">
        <f ca="1">IFERROR(((AVERAGEIFS(Observacion_Directa!$E$2:$E$1000,Observacion_Directa!$A$2:$A$1000,$A832,Observacion_Directa!$B$2:$B$1000,"&gt;="&amp;DATEVALUE($B832&amp;"-01"),Observacion_Directa!$B$2:$B$1000,"&lt;="&amp;EOMONTH(DATEVALUE($B832&amp;"-01"),0)))-1)/4*100,"")</f>
        <v/>
      </c>
      <c r="Q832" t="str">
        <f>IF(H832="","",MIN(100,100*H832/Parametros!$B$4))</f>
        <v/>
      </c>
      <c r="R832" t="str">
        <f>IF(I832="","",IF(I832=0,100,MIN(100,100*Parametros!$B$5/I832)))</f>
        <v/>
      </c>
      <c r="S832" t="str">
        <f>IF(J832="","",IF(J832=0,100,MIN(100,100*Parametros!$B$6/J832)))</f>
        <v/>
      </c>
      <c r="T832" t="str">
        <f>IF(L832="","",MIN(100,100*L832/Parametros!$B$7))</f>
        <v/>
      </c>
      <c r="U832" t="str">
        <f>IF(K832="","",MIN(100,100*K832/Parametros!$B$8))</f>
        <v/>
      </c>
      <c r="V832" t="str">
        <f ca="1">IFERROR(((AVERAGEIFS(Documentacion!$C$2:$C$1000,Documentacion!$A$2:$A$1000,$A832,Documentacion!$B$2:$B$1000,"&gt;="&amp;DATEVALUE($B832&amp;"-01"),Documentacion!$B$2:$B$1000,"&lt;="&amp;EOMONTH(DATEVALUE($B832&amp;"-01"),0)))-1)/4*100,"")</f>
        <v/>
      </c>
      <c r="W832" t="str">
        <f ca="1">IFERROR(((AVERAGEIFS(Feedback_360!$D$2:$D$1000,Feedback_360!$A$2:$A$1000,$A832,Feedback_360!$B$2:$B$1000,"&gt;="&amp;DATEVALUE($B832&amp;"-01"),Feedback_360!$B$2:$B$1000,"&lt;="&amp;EOMONTH(DATEVALUE($B832&amp;"-01"),0)))-1)/4*100,"")</f>
        <v/>
      </c>
      <c r="X832" t="str">
        <f ca="1">IFERROR(((AVERAGEIFS(Observacion_Directa!$D$2:$D$1000,Observacion_Directa!$A$2:$A$1000,$A832,Observacion_Directa!$B$2:$B$1000,"&gt;="&amp;DATEVALUE($B832&amp;"-01"),Observacion_Directa!$B$2:$B$1000,"&lt;="&amp;EOMONTH(DATEVALUE($B832&amp;"-01"),0)))-1)/4*100,"")</f>
        <v/>
      </c>
      <c r="Y832" t="e">
        <f t="shared" ca="1" si="25"/>
        <v>#DIV/0!</v>
      </c>
    </row>
    <row r="833" spans="12:25" x14ac:dyDescent="0.2">
      <c r="L833" t="str">
        <f t="shared" si="24"/>
        <v/>
      </c>
      <c r="M833" t="str">
        <f>IFERROR(AVERAGEIFS(Prod_5dias!$H$2:$H$1000,Prod_5dias!$A$2:$A$1000,$A833,Prod_5dias!$B$2:$B$1000,$B833),"")</f>
        <v/>
      </c>
      <c r="N833" t="str">
        <f>IF(M833="","",MIN(100,100*M833/Parametros!$B$7))</f>
        <v/>
      </c>
      <c r="O833" t="str">
        <f>IF(F833="","",IF(F833=0,100,MIN(100,100*Parametros!$B$3/F833)))</f>
        <v/>
      </c>
      <c r="P833" t="str">
        <f ca="1">IFERROR(((AVERAGEIFS(Observacion_Directa!$E$2:$E$1000,Observacion_Directa!$A$2:$A$1000,$A833,Observacion_Directa!$B$2:$B$1000,"&gt;="&amp;DATEVALUE($B833&amp;"-01"),Observacion_Directa!$B$2:$B$1000,"&lt;="&amp;EOMONTH(DATEVALUE($B833&amp;"-01"),0)))-1)/4*100,"")</f>
        <v/>
      </c>
      <c r="Q833" t="str">
        <f>IF(H833="","",MIN(100,100*H833/Parametros!$B$4))</f>
        <v/>
      </c>
      <c r="R833" t="str">
        <f>IF(I833="","",IF(I833=0,100,MIN(100,100*Parametros!$B$5/I833)))</f>
        <v/>
      </c>
      <c r="S833" t="str">
        <f>IF(J833="","",IF(J833=0,100,MIN(100,100*Parametros!$B$6/J833)))</f>
        <v/>
      </c>
      <c r="T833" t="str">
        <f>IF(L833="","",MIN(100,100*L833/Parametros!$B$7))</f>
        <v/>
      </c>
      <c r="U833" t="str">
        <f>IF(K833="","",MIN(100,100*K833/Parametros!$B$8))</f>
        <v/>
      </c>
      <c r="V833" t="str">
        <f ca="1">IFERROR(((AVERAGEIFS(Documentacion!$C$2:$C$1000,Documentacion!$A$2:$A$1000,$A833,Documentacion!$B$2:$B$1000,"&gt;="&amp;DATEVALUE($B833&amp;"-01"),Documentacion!$B$2:$B$1000,"&lt;="&amp;EOMONTH(DATEVALUE($B833&amp;"-01"),0)))-1)/4*100,"")</f>
        <v/>
      </c>
      <c r="W833" t="str">
        <f ca="1">IFERROR(((AVERAGEIFS(Feedback_360!$D$2:$D$1000,Feedback_360!$A$2:$A$1000,$A833,Feedback_360!$B$2:$B$1000,"&gt;="&amp;DATEVALUE($B833&amp;"-01"),Feedback_360!$B$2:$B$1000,"&lt;="&amp;EOMONTH(DATEVALUE($B833&amp;"-01"),0)))-1)/4*100,"")</f>
        <v/>
      </c>
      <c r="X833" t="str">
        <f ca="1">IFERROR(((AVERAGEIFS(Observacion_Directa!$D$2:$D$1000,Observacion_Directa!$A$2:$A$1000,$A833,Observacion_Directa!$B$2:$B$1000,"&gt;="&amp;DATEVALUE($B833&amp;"-01"),Observacion_Directa!$B$2:$B$1000,"&lt;="&amp;EOMONTH(DATEVALUE($B833&amp;"-01"),0)))-1)/4*100,"")</f>
        <v/>
      </c>
      <c r="Y833" t="e">
        <f t="shared" ca="1" si="25"/>
        <v>#DIV/0!</v>
      </c>
    </row>
    <row r="834" spans="12:25" x14ac:dyDescent="0.2">
      <c r="L834" t="str">
        <f t="shared" ref="L834:L897" si="26">IF(OR(C834="",D834=""),"",C834/D834)</f>
        <v/>
      </c>
      <c r="M834" t="str">
        <f>IFERROR(AVERAGEIFS(Prod_5dias!$H$2:$H$1000,Prod_5dias!$A$2:$A$1000,$A834,Prod_5dias!$B$2:$B$1000,$B834),"")</f>
        <v/>
      </c>
      <c r="N834" t="str">
        <f>IF(M834="","",MIN(100,100*M834/Parametros!$B$7))</f>
        <v/>
      </c>
      <c r="O834" t="str">
        <f>IF(F834="","",IF(F834=0,100,MIN(100,100*Parametros!$B$3/F834)))</f>
        <v/>
      </c>
      <c r="P834" t="str">
        <f ca="1">IFERROR(((AVERAGEIFS(Observacion_Directa!$E$2:$E$1000,Observacion_Directa!$A$2:$A$1000,$A834,Observacion_Directa!$B$2:$B$1000,"&gt;="&amp;DATEVALUE($B834&amp;"-01"),Observacion_Directa!$B$2:$B$1000,"&lt;="&amp;EOMONTH(DATEVALUE($B834&amp;"-01"),0)))-1)/4*100,"")</f>
        <v/>
      </c>
      <c r="Q834" t="str">
        <f>IF(H834="","",MIN(100,100*H834/Parametros!$B$4))</f>
        <v/>
      </c>
      <c r="R834" t="str">
        <f>IF(I834="","",IF(I834=0,100,MIN(100,100*Parametros!$B$5/I834)))</f>
        <v/>
      </c>
      <c r="S834" t="str">
        <f>IF(J834="","",IF(J834=0,100,MIN(100,100*Parametros!$B$6/J834)))</f>
        <v/>
      </c>
      <c r="T834" t="str">
        <f>IF(L834="","",MIN(100,100*L834/Parametros!$B$7))</f>
        <v/>
      </c>
      <c r="U834" t="str">
        <f>IF(K834="","",MIN(100,100*K834/Parametros!$B$8))</f>
        <v/>
      </c>
      <c r="V834" t="str">
        <f ca="1">IFERROR(((AVERAGEIFS(Documentacion!$C$2:$C$1000,Documentacion!$A$2:$A$1000,$A834,Documentacion!$B$2:$B$1000,"&gt;="&amp;DATEVALUE($B834&amp;"-01"),Documentacion!$B$2:$B$1000,"&lt;="&amp;EOMONTH(DATEVALUE($B834&amp;"-01"),0)))-1)/4*100,"")</f>
        <v/>
      </c>
      <c r="W834" t="str">
        <f ca="1">IFERROR(((AVERAGEIFS(Feedback_360!$D$2:$D$1000,Feedback_360!$A$2:$A$1000,$A834,Feedback_360!$B$2:$B$1000,"&gt;="&amp;DATEVALUE($B834&amp;"-01"),Feedback_360!$B$2:$B$1000,"&lt;="&amp;EOMONTH(DATEVALUE($B834&amp;"-01"),0)))-1)/4*100,"")</f>
        <v/>
      </c>
      <c r="X834" t="str">
        <f ca="1">IFERROR(((AVERAGEIFS(Observacion_Directa!$D$2:$D$1000,Observacion_Directa!$A$2:$A$1000,$A834,Observacion_Directa!$B$2:$B$1000,"&gt;="&amp;DATEVALUE($B834&amp;"-01"),Observacion_Directa!$B$2:$B$1000,"&lt;="&amp;EOMONTH(DATEVALUE($B834&amp;"-01"),0)))-1)/4*100,"")</f>
        <v/>
      </c>
      <c r="Y834" t="e">
        <f t="shared" ref="Y834:Y897" ca="1" si="27">IF(COUNTA(N834:X834)=0,"",AVERAGE(N834:X834))</f>
        <v>#DIV/0!</v>
      </c>
    </row>
    <row r="835" spans="12:25" x14ac:dyDescent="0.2">
      <c r="L835" t="str">
        <f t="shared" si="26"/>
        <v/>
      </c>
      <c r="M835" t="str">
        <f>IFERROR(AVERAGEIFS(Prod_5dias!$H$2:$H$1000,Prod_5dias!$A$2:$A$1000,$A835,Prod_5dias!$B$2:$B$1000,$B835),"")</f>
        <v/>
      </c>
      <c r="N835" t="str">
        <f>IF(M835="","",MIN(100,100*M835/Parametros!$B$7))</f>
        <v/>
      </c>
      <c r="O835" t="str">
        <f>IF(F835="","",IF(F835=0,100,MIN(100,100*Parametros!$B$3/F835)))</f>
        <v/>
      </c>
      <c r="P835" t="str">
        <f ca="1">IFERROR(((AVERAGEIFS(Observacion_Directa!$E$2:$E$1000,Observacion_Directa!$A$2:$A$1000,$A835,Observacion_Directa!$B$2:$B$1000,"&gt;="&amp;DATEVALUE($B835&amp;"-01"),Observacion_Directa!$B$2:$B$1000,"&lt;="&amp;EOMONTH(DATEVALUE($B835&amp;"-01"),0)))-1)/4*100,"")</f>
        <v/>
      </c>
      <c r="Q835" t="str">
        <f>IF(H835="","",MIN(100,100*H835/Parametros!$B$4))</f>
        <v/>
      </c>
      <c r="R835" t="str">
        <f>IF(I835="","",IF(I835=0,100,MIN(100,100*Parametros!$B$5/I835)))</f>
        <v/>
      </c>
      <c r="S835" t="str">
        <f>IF(J835="","",IF(J835=0,100,MIN(100,100*Parametros!$B$6/J835)))</f>
        <v/>
      </c>
      <c r="T835" t="str">
        <f>IF(L835="","",MIN(100,100*L835/Parametros!$B$7))</f>
        <v/>
      </c>
      <c r="U835" t="str">
        <f>IF(K835="","",MIN(100,100*K835/Parametros!$B$8))</f>
        <v/>
      </c>
      <c r="V835" t="str">
        <f ca="1">IFERROR(((AVERAGEIFS(Documentacion!$C$2:$C$1000,Documentacion!$A$2:$A$1000,$A835,Documentacion!$B$2:$B$1000,"&gt;="&amp;DATEVALUE($B835&amp;"-01"),Documentacion!$B$2:$B$1000,"&lt;="&amp;EOMONTH(DATEVALUE($B835&amp;"-01"),0)))-1)/4*100,"")</f>
        <v/>
      </c>
      <c r="W835" t="str">
        <f ca="1">IFERROR(((AVERAGEIFS(Feedback_360!$D$2:$D$1000,Feedback_360!$A$2:$A$1000,$A835,Feedback_360!$B$2:$B$1000,"&gt;="&amp;DATEVALUE($B835&amp;"-01"),Feedback_360!$B$2:$B$1000,"&lt;="&amp;EOMONTH(DATEVALUE($B835&amp;"-01"),0)))-1)/4*100,"")</f>
        <v/>
      </c>
      <c r="X835" t="str">
        <f ca="1">IFERROR(((AVERAGEIFS(Observacion_Directa!$D$2:$D$1000,Observacion_Directa!$A$2:$A$1000,$A835,Observacion_Directa!$B$2:$B$1000,"&gt;="&amp;DATEVALUE($B835&amp;"-01"),Observacion_Directa!$B$2:$B$1000,"&lt;="&amp;EOMONTH(DATEVALUE($B835&amp;"-01"),0)))-1)/4*100,"")</f>
        <v/>
      </c>
      <c r="Y835" t="e">
        <f t="shared" ca="1" si="27"/>
        <v>#DIV/0!</v>
      </c>
    </row>
    <row r="836" spans="12:25" x14ac:dyDescent="0.2">
      <c r="L836" t="str">
        <f t="shared" si="26"/>
        <v/>
      </c>
      <c r="M836" t="str">
        <f>IFERROR(AVERAGEIFS(Prod_5dias!$H$2:$H$1000,Prod_5dias!$A$2:$A$1000,$A836,Prod_5dias!$B$2:$B$1000,$B836),"")</f>
        <v/>
      </c>
      <c r="N836" t="str">
        <f>IF(M836="","",MIN(100,100*M836/Parametros!$B$7))</f>
        <v/>
      </c>
      <c r="O836" t="str">
        <f>IF(F836="","",IF(F836=0,100,MIN(100,100*Parametros!$B$3/F836)))</f>
        <v/>
      </c>
      <c r="P836" t="str">
        <f ca="1">IFERROR(((AVERAGEIFS(Observacion_Directa!$E$2:$E$1000,Observacion_Directa!$A$2:$A$1000,$A836,Observacion_Directa!$B$2:$B$1000,"&gt;="&amp;DATEVALUE($B836&amp;"-01"),Observacion_Directa!$B$2:$B$1000,"&lt;="&amp;EOMONTH(DATEVALUE($B836&amp;"-01"),0)))-1)/4*100,"")</f>
        <v/>
      </c>
      <c r="Q836" t="str">
        <f>IF(H836="","",MIN(100,100*H836/Parametros!$B$4))</f>
        <v/>
      </c>
      <c r="R836" t="str">
        <f>IF(I836="","",IF(I836=0,100,MIN(100,100*Parametros!$B$5/I836)))</f>
        <v/>
      </c>
      <c r="S836" t="str">
        <f>IF(J836="","",IF(J836=0,100,MIN(100,100*Parametros!$B$6/J836)))</f>
        <v/>
      </c>
      <c r="T836" t="str">
        <f>IF(L836="","",MIN(100,100*L836/Parametros!$B$7))</f>
        <v/>
      </c>
      <c r="U836" t="str">
        <f>IF(K836="","",MIN(100,100*K836/Parametros!$B$8))</f>
        <v/>
      </c>
      <c r="V836" t="str">
        <f ca="1">IFERROR(((AVERAGEIFS(Documentacion!$C$2:$C$1000,Documentacion!$A$2:$A$1000,$A836,Documentacion!$B$2:$B$1000,"&gt;="&amp;DATEVALUE($B836&amp;"-01"),Documentacion!$B$2:$B$1000,"&lt;="&amp;EOMONTH(DATEVALUE($B836&amp;"-01"),0)))-1)/4*100,"")</f>
        <v/>
      </c>
      <c r="W836" t="str">
        <f ca="1">IFERROR(((AVERAGEIFS(Feedback_360!$D$2:$D$1000,Feedback_360!$A$2:$A$1000,$A836,Feedback_360!$B$2:$B$1000,"&gt;="&amp;DATEVALUE($B836&amp;"-01"),Feedback_360!$B$2:$B$1000,"&lt;="&amp;EOMONTH(DATEVALUE($B836&amp;"-01"),0)))-1)/4*100,"")</f>
        <v/>
      </c>
      <c r="X836" t="str">
        <f ca="1">IFERROR(((AVERAGEIFS(Observacion_Directa!$D$2:$D$1000,Observacion_Directa!$A$2:$A$1000,$A836,Observacion_Directa!$B$2:$B$1000,"&gt;="&amp;DATEVALUE($B836&amp;"-01"),Observacion_Directa!$B$2:$B$1000,"&lt;="&amp;EOMONTH(DATEVALUE($B836&amp;"-01"),0)))-1)/4*100,"")</f>
        <v/>
      </c>
      <c r="Y836" t="e">
        <f t="shared" ca="1" si="27"/>
        <v>#DIV/0!</v>
      </c>
    </row>
    <row r="837" spans="12:25" x14ac:dyDescent="0.2">
      <c r="L837" t="str">
        <f t="shared" si="26"/>
        <v/>
      </c>
      <c r="M837" t="str">
        <f>IFERROR(AVERAGEIFS(Prod_5dias!$H$2:$H$1000,Prod_5dias!$A$2:$A$1000,$A837,Prod_5dias!$B$2:$B$1000,$B837),"")</f>
        <v/>
      </c>
      <c r="N837" t="str">
        <f>IF(M837="","",MIN(100,100*M837/Parametros!$B$7))</f>
        <v/>
      </c>
      <c r="O837" t="str">
        <f>IF(F837="","",IF(F837=0,100,MIN(100,100*Parametros!$B$3/F837)))</f>
        <v/>
      </c>
      <c r="P837" t="str">
        <f ca="1">IFERROR(((AVERAGEIFS(Observacion_Directa!$E$2:$E$1000,Observacion_Directa!$A$2:$A$1000,$A837,Observacion_Directa!$B$2:$B$1000,"&gt;="&amp;DATEVALUE($B837&amp;"-01"),Observacion_Directa!$B$2:$B$1000,"&lt;="&amp;EOMONTH(DATEVALUE($B837&amp;"-01"),0)))-1)/4*100,"")</f>
        <v/>
      </c>
      <c r="Q837" t="str">
        <f>IF(H837="","",MIN(100,100*H837/Parametros!$B$4))</f>
        <v/>
      </c>
      <c r="R837" t="str">
        <f>IF(I837="","",IF(I837=0,100,MIN(100,100*Parametros!$B$5/I837)))</f>
        <v/>
      </c>
      <c r="S837" t="str">
        <f>IF(J837="","",IF(J837=0,100,MIN(100,100*Parametros!$B$6/J837)))</f>
        <v/>
      </c>
      <c r="T837" t="str">
        <f>IF(L837="","",MIN(100,100*L837/Parametros!$B$7))</f>
        <v/>
      </c>
      <c r="U837" t="str">
        <f>IF(K837="","",MIN(100,100*K837/Parametros!$B$8))</f>
        <v/>
      </c>
      <c r="V837" t="str">
        <f ca="1">IFERROR(((AVERAGEIFS(Documentacion!$C$2:$C$1000,Documentacion!$A$2:$A$1000,$A837,Documentacion!$B$2:$B$1000,"&gt;="&amp;DATEVALUE($B837&amp;"-01"),Documentacion!$B$2:$B$1000,"&lt;="&amp;EOMONTH(DATEVALUE($B837&amp;"-01"),0)))-1)/4*100,"")</f>
        <v/>
      </c>
      <c r="W837" t="str">
        <f ca="1">IFERROR(((AVERAGEIFS(Feedback_360!$D$2:$D$1000,Feedback_360!$A$2:$A$1000,$A837,Feedback_360!$B$2:$B$1000,"&gt;="&amp;DATEVALUE($B837&amp;"-01"),Feedback_360!$B$2:$B$1000,"&lt;="&amp;EOMONTH(DATEVALUE($B837&amp;"-01"),0)))-1)/4*100,"")</f>
        <v/>
      </c>
      <c r="X837" t="str">
        <f ca="1">IFERROR(((AVERAGEIFS(Observacion_Directa!$D$2:$D$1000,Observacion_Directa!$A$2:$A$1000,$A837,Observacion_Directa!$B$2:$B$1000,"&gt;="&amp;DATEVALUE($B837&amp;"-01"),Observacion_Directa!$B$2:$B$1000,"&lt;="&amp;EOMONTH(DATEVALUE($B837&amp;"-01"),0)))-1)/4*100,"")</f>
        <v/>
      </c>
      <c r="Y837" t="e">
        <f t="shared" ca="1" si="27"/>
        <v>#DIV/0!</v>
      </c>
    </row>
    <row r="838" spans="12:25" x14ac:dyDescent="0.2">
      <c r="L838" t="str">
        <f t="shared" si="26"/>
        <v/>
      </c>
      <c r="M838" t="str">
        <f>IFERROR(AVERAGEIFS(Prod_5dias!$H$2:$H$1000,Prod_5dias!$A$2:$A$1000,$A838,Prod_5dias!$B$2:$B$1000,$B838),"")</f>
        <v/>
      </c>
      <c r="N838" t="str">
        <f>IF(M838="","",MIN(100,100*M838/Parametros!$B$7))</f>
        <v/>
      </c>
      <c r="O838" t="str">
        <f>IF(F838="","",IF(F838=0,100,MIN(100,100*Parametros!$B$3/F838)))</f>
        <v/>
      </c>
      <c r="P838" t="str">
        <f ca="1">IFERROR(((AVERAGEIFS(Observacion_Directa!$E$2:$E$1000,Observacion_Directa!$A$2:$A$1000,$A838,Observacion_Directa!$B$2:$B$1000,"&gt;="&amp;DATEVALUE($B838&amp;"-01"),Observacion_Directa!$B$2:$B$1000,"&lt;="&amp;EOMONTH(DATEVALUE($B838&amp;"-01"),0)))-1)/4*100,"")</f>
        <v/>
      </c>
      <c r="Q838" t="str">
        <f>IF(H838="","",MIN(100,100*H838/Parametros!$B$4))</f>
        <v/>
      </c>
      <c r="R838" t="str">
        <f>IF(I838="","",IF(I838=0,100,MIN(100,100*Parametros!$B$5/I838)))</f>
        <v/>
      </c>
      <c r="S838" t="str">
        <f>IF(J838="","",IF(J838=0,100,MIN(100,100*Parametros!$B$6/J838)))</f>
        <v/>
      </c>
      <c r="T838" t="str">
        <f>IF(L838="","",MIN(100,100*L838/Parametros!$B$7))</f>
        <v/>
      </c>
      <c r="U838" t="str">
        <f>IF(K838="","",MIN(100,100*K838/Parametros!$B$8))</f>
        <v/>
      </c>
      <c r="V838" t="str">
        <f ca="1">IFERROR(((AVERAGEIFS(Documentacion!$C$2:$C$1000,Documentacion!$A$2:$A$1000,$A838,Documentacion!$B$2:$B$1000,"&gt;="&amp;DATEVALUE($B838&amp;"-01"),Documentacion!$B$2:$B$1000,"&lt;="&amp;EOMONTH(DATEVALUE($B838&amp;"-01"),0)))-1)/4*100,"")</f>
        <v/>
      </c>
      <c r="W838" t="str">
        <f ca="1">IFERROR(((AVERAGEIFS(Feedback_360!$D$2:$D$1000,Feedback_360!$A$2:$A$1000,$A838,Feedback_360!$B$2:$B$1000,"&gt;="&amp;DATEVALUE($B838&amp;"-01"),Feedback_360!$B$2:$B$1000,"&lt;="&amp;EOMONTH(DATEVALUE($B838&amp;"-01"),0)))-1)/4*100,"")</f>
        <v/>
      </c>
      <c r="X838" t="str">
        <f ca="1">IFERROR(((AVERAGEIFS(Observacion_Directa!$D$2:$D$1000,Observacion_Directa!$A$2:$A$1000,$A838,Observacion_Directa!$B$2:$B$1000,"&gt;="&amp;DATEVALUE($B838&amp;"-01"),Observacion_Directa!$B$2:$B$1000,"&lt;="&amp;EOMONTH(DATEVALUE($B838&amp;"-01"),0)))-1)/4*100,"")</f>
        <v/>
      </c>
      <c r="Y838" t="e">
        <f t="shared" ca="1" si="27"/>
        <v>#DIV/0!</v>
      </c>
    </row>
    <row r="839" spans="12:25" x14ac:dyDescent="0.2">
      <c r="L839" t="str">
        <f t="shared" si="26"/>
        <v/>
      </c>
      <c r="M839" t="str">
        <f>IFERROR(AVERAGEIFS(Prod_5dias!$H$2:$H$1000,Prod_5dias!$A$2:$A$1000,$A839,Prod_5dias!$B$2:$B$1000,$B839),"")</f>
        <v/>
      </c>
      <c r="N839" t="str">
        <f>IF(M839="","",MIN(100,100*M839/Parametros!$B$7))</f>
        <v/>
      </c>
      <c r="O839" t="str">
        <f>IF(F839="","",IF(F839=0,100,MIN(100,100*Parametros!$B$3/F839)))</f>
        <v/>
      </c>
      <c r="P839" t="str">
        <f ca="1">IFERROR(((AVERAGEIFS(Observacion_Directa!$E$2:$E$1000,Observacion_Directa!$A$2:$A$1000,$A839,Observacion_Directa!$B$2:$B$1000,"&gt;="&amp;DATEVALUE($B839&amp;"-01"),Observacion_Directa!$B$2:$B$1000,"&lt;="&amp;EOMONTH(DATEVALUE($B839&amp;"-01"),0)))-1)/4*100,"")</f>
        <v/>
      </c>
      <c r="Q839" t="str">
        <f>IF(H839="","",MIN(100,100*H839/Parametros!$B$4))</f>
        <v/>
      </c>
      <c r="R839" t="str">
        <f>IF(I839="","",IF(I839=0,100,MIN(100,100*Parametros!$B$5/I839)))</f>
        <v/>
      </c>
      <c r="S839" t="str">
        <f>IF(J839="","",IF(J839=0,100,MIN(100,100*Parametros!$B$6/J839)))</f>
        <v/>
      </c>
      <c r="T839" t="str">
        <f>IF(L839="","",MIN(100,100*L839/Parametros!$B$7))</f>
        <v/>
      </c>
      <c r="U839" t="str">
        <f>IF(K839="","",MIN(100,100*K839/Parametros!$B$8))</f>
        <v/>
      </c>
      <c r="V839" t="str">
        <f ca="1">IFERROR(((AVERAGEIFS(Documentacion!$C$2:$C$1000,Documentacion!$A$2:$A$1000,$A839,Documentacion!$B$2:$B$1000,"&gt;="&amp;DATEVALUE($B839&amp;"-01"),Documentacion!$B$2:$B$1000,"&lt;="&amp;EOMONTH(DATEVALUE($B839&amp;"-01"),0)))-1)/4*100,"")</f>
        <v/>
      </c>
      <c r="W839" t="str">
        <f ca="1">IFERROR(((AVERAGEIFS(Feedback_360!$D$2:$D$1000,Feedback_360!$A$2:$A$1000,$A839,Feedback_360!$B$2:$B$1000,"&gt;="&amp;DATEVALUE($B839&amp;"-01"),Feedback_360!$B$2:$B$1000,"&lt;="&amp;EOMONTH(DATEVALUE($B839&amp;"-01"),0)))-1)/4*100,"")</f>
        <v/>
      </c>
      <c r="X839" t="str">
        <f ca="1">IFERROR(((AVERAGEIFS(Observacion_Directa!$D$2:$D$1000,Observacion_Directa!$A$2:$A$1000,$A839,Observacion_Directa!$B$2:$B$1000,"&gt;="&amp;DATEVALUE($B839&amp;"-01"),Observacion_Directa!$B$2:$B$1000,"&lt;="&amp;EOMONTH(DATEVALUE($B839&amp;"-01"),0)))-1)/4*100,"")</f>
        <v/>
      </c>
      <c r="Y839" t="e">
        <f t="shared" ca="1" si="27"/>
        <v>#DIV/0!</v>
      </c>
    </row>
    <row r="840" spans="12:25" x14ac:dyDescent="0.2">
      <c r="L840" t="str">
        <f t="shared" si="26"/>
        <v/>
      </c>
      <c r="M840" t="str">
        <f>IFERROR(AVERAGEIFS(Prod_5dias!$H$2:$H$1000,Prod_5dias!$A$2:$A$1000,$A840,Prod_5dias!$B$2:$B$1000,$B840),"")</f>
        <v/>
      </c>
      <c r="N840" t="str">
        <f>IF(M840="","",MIN(100,100*M840/Parametros!$B$7))</f>
        <v/>
      </c>
      <c r="O840" t="str">
        <f>IF(F840="","",IF(F840=0,100,MIN(100,100*Parametros!$B$3/F840)))</f>
        <v/>
      </c>
      <c r="P840" t="str">
        <f ca="1">IFERROR(((AVERAGEIFS(Observacion_Directa!$E$2:$E$1000,Observacion_Directa!$A$2:$A$1000,$A840,Observacion_Directa!$B$2:$B$1000,"&gt;="&amp;DATEVALUE($B840&amp;"-01"),Observacion_Directa!$B$2:$B$1000,"&lt;="&amp;EOMONTH(DATEVALUE($B840&amp;"-01"),0)))-1)/4*100,"")</f>
        <v/>
      </c>
      <c r="Q840" t="str">
        <f>IF(H840="","",MIN(100,100*H840/Parametros!$B$4))</f>
        <v/>
      </c>
      <c r="R840" t="str">
        <f>IF(I840="","",IF(I840=0,100,MIN(100,100*Parametros!$B$5/I840)))</f>
        <v/>
      </c>
      <c r="S840" t="str">
        <f>IF(J840="","",IF(J840=0,100,MIN(100,100*Parametros!$B$6/J840)))</f>
        <v/>
      </c>
      <c r="T840" t="str">
        <f>IF(L840="","",MIN(100,100*L840/Parametros!$B$7))</f>
        <v/>
      </c>
      <c r="U840" t="str">
        <f>IF(K840="","",MIN(100,100*K840/Parametros!$B$8))</f>
        <v/>
      </c>
      <c r="V840" t="str">
        <f ca="1">IFERROR(((AVERAGEIFS(Documentacion!$C$2:$C$1000,Documentacion!$A$2:$A$1000,$A840,Documentacion!$B$2:$B$1000,"&gt;="&amp;DATEVALUE($B840&amp;"-01"),Documentacion!$B$2:$B$1000,"&lt;="&amp;EOMONTH(DATEVALUE($B840&amp;"-01"),0)))-1)/4*100,"")</f>
        <v/>
      </c>
      <c r="W840" t="str">
        <f ca="1">IFERROR(((AVERAGEIFS(Feedback_360!$D$2:$D$1000,Feedback_360!$A$2:$A$1000,$A840,Feedback_360!$B$2:$B$1000,"&gt;="&amp;DATEVALUE($B840&amp;"-01"),Feedback_360!$B$2:$B$1000,"&lt;="&amp;EOMONTH(DATEVALUE($B840&amp;"-01"),0)))-1)/4*100,"")</f>
        <v/>
      </c>
      <c r="X840" t="str">
        <f ca="1">IFERROR(((AVERAGEIFS(Observacion_Directa!$D$2:$D$1000,Observacion_Directa!$A$2:$A$1000,$A840,Observacion_Directa!$B$2:$B$1000,"&gt;="&amp;DATEVALUE($B840&amp;"-01"),Observacion_Directa!$B$2:$B$1000,"&lt;="&amp;EOMONTH(DATEVALUE($B840&amp;"-01"),0)))-1)/4*100,"")</f>
        <v/>
      </c>
      <c r="Y840" t="e">
        <f t="shared" ca="1" si="27"/>
        <v>#DIV/0!</v>
      </c>
    </row>
    <row r="841" spans="12:25" x14ac:dyDescent="0.2">
      <c r="L841" t="str">
        <f t="shared" si="26"/>
        <v/>
      </c>
      <c r="M841" t="str">
        <f>IFERROR(AVERAGEIFS(Prod_5dias!$H$2:$H$1000,Prod_5dias!$A$2:$A$1000,$A841,Prod_5dias!$B$2:$B$1000,$B841),"")</f>
        <v/>
      </c>
      <c r="N841" t="str">
        <f>IF(M841="","",MIN(100,100*M841/Parametros!$B$7))</f>
        <v/>
      </c>
      <c r="O841" t="str">
        <f>IF(F841="","",IF(F841=0,100,MIN(100,100*Parametros!$B$3/F841)))</f>
        <v/>
      </c>
      <c r="P841" t="str">
        <f ca="1">IFERROR(((AVERAGEIFS(Observacion_Directa!$E$2:$E$1000,Observacion_Directa!$A$2:$A$1000,$A841,Observacion_Directa!$B$2:$B$1000,"&gt;="&amp;DATEVALUE($B841&amp;"-01"),Observacion_Directa!$B$2:$B$1000,"&lt;="&amp;EOMONTH(DATEVALUE($B841&amp;"-01"),0)))-1)/4*100,"")</f>
        <v/>
      </c>
      <c r="Q841" t="str">
        <f>IF(H841="","",MIN(100,100*H841/Parametros!$B$4))</f>
        <v/>
      </c>
      <c r="R841" t="str">
        <f>IF(I841="","",IF(I841=0,100,MIN(100,100*Parametros!$B$5/I841)))</f>
        <v/>
      </c>
      <c r="S841" t="str">
        <f>IF(J841="","",IF(J841=0,100,MIN(100,100*Parametros!$B$6/J841)))</f>
        <v/>
      </c>
      <c r="T841" t="str">
        <f>IF(L841="","",MIN(100,100*L841/Parametros!$B$7))</f>
        <v/>
      </c>
      <c r="U841" t="str">
        <f>IF(K841="","",MIN(100,100*K841/Parametros!$B$8))</f>
        <v/>
      </c>
      <c r="V841" t="str">
        <f ca="1">IFERROR(((AVERAGEIFS(Documentacion!$C$2:$C$1000,Documentacion!$A$2:$A$1000,$A841,Documentacion!$B$2:$B$1000,"&gt;="&amp;DATEVALUE($B841&amp;"-01"),Documentacion!$B$2:$B$1000,"&lt;="&amp;EOMONTH(DATEVALUE($B841&amp;"-01"),0)))-1)/4*100,"")</f>
        <v/>
      </c>
      <c r="W841" t="str">
        <f ca="1">IFERROR(((AVERAGEIFS(Feedback_360!$D$2:$D$1000,Feedback_360!$A$2:$A$1000,$A841,Feedback_360!$B$2:$B$1000,"&gt;="&amp;DATEVALUE($B841&amp;"-01"),Feedback_360!$B$2:$B$1000,"&lt;="&amp;EOMONTH(DATEVALUE($B841&amp;"-01"),0)))-1)/4*100,"")</f>
        <v/>
      </c>
      <c r="X841" t="str">
        <f ca="1">IFERROR(((AVERAGEIFS(Observacion_Directa!$D$2:$D$1000,Observacion_Directa!$A$2:$A$1000,$A841,Observacion_Directa!$B$2:$B$1000,"&gt;="&amp;DATEVALUE($B841&amp;"-01"),Observacion_Directa!$B$2:$B$1000,"&lt;="&amp;EOMONTH(DATEVALUE($B841&amp;"-01"),0)))-1)/4*100,"")</f>
        <v/>
      </c>
      <c r="Y841" t="e">
        <f t="shared" ca="1" si="27"/>
        <v>#DIV/0!</v>
      </c>
    </row>
    <row r="842" spans="12:25" x14ac:dyDescent="0.2">
      <c r="L842" t="str">
        <f t="shared" si="26"/>
        <v/>
      </c>
      <c r="M842" t="str">
        <f>IFERROR(AVERAGEIFS(Prod_5dias!$H$2:$H$1000,Prod_5dias!$A$2:$A$1000,$A842,Prod_5dias!$B$2:$B$1000,$B842),"")</f>
        <v/>
      </c>
      <c r="N842" t="str">
        <f>IF(M842="","",MIN(100,100*M842/Parametros!$B$7))</f>
        <v/>
      </c>
      <c r="O842" t="str">
        <f>IF(F842="","",IF(F842=0,100,MIN(100,100*Parametros!$B$3/F842)))</f>
        <v/>
      </c>
      <c r="P842" t="str">
        <f ca="1">IFERROR(((AVERAGEIFS(Observacion_Directa!$E$2:$E$1000,Observacion_Directa!$A$2:$A$1000,$A842,Observacion_Directa!$B$2:$B$1000,"&gt;="&amp;DATEVALUE($B842&amp;"-01"),Observacion_Directa!$B$2:$B$1000,"&lt;="&amp;EOMONTH(DATEVALUE($B842&amp;"-01"),0)))-1)/4*100,"")</f>
        <v/>
      </c>
      <c r="Q842" t="str">
        <f>IF(H842="","",MIN(100,100*H842/Parametros!$B$4))</f>
        <v/>
      </c>
      <c r="R842" t="str">
        <f>IF(I842="","",IF(I842=0,100,MIN(100,100*Parametros!$B$5/I842)))</f>
        <v/>
      </c>
      <c r="S842" t="str">
        <f>IF(J842="","",IF(J842=0,100,MIN(100,100*Parametros!$B$6/J842)))</f>
        <v/>
      </c>
      <c r="T842" t="str">
        <f>IF(L842="","",MIN(100,100*L842/Parametros!$B$7))</f>
        <v/>
      </c>
      <c r="U842" t="str">
        <f>IF(K842="","",MIN(100,100*K842/Parametros!$B$8))</f>
        <v/>
      </c>
      <c r="V842" t="str">
        <f ca="1">IFERROR(((AVERAGEIFS(Documentacion!$C$2:$C$1000,Documentacion!$A$2:$A$1000,$A842,Documentacion!$B$2:$B$1000,"&gt;="&amp;DATEVALUE($B842&amp;"-01"),Documentacion!$B$2:$B$1000,"&lt;="&amp;EOMONTH(DATEVALUE($B842&amp;"-01"),0)))-1)/4*100,"")</f>
        <v/>
      </c>
      <c r="W842" t="str">
        <f ca="1">IFERROR(((AVERAGEIFS(Feedback_360!$D$2:$D$1000,Feedback_360!$A$2:$A$1000,$A842,Feedback_360!$B$2:$B$1000,"&gt;="&amp;DATEVALUE($B842&amp;"-01"),Feedback_360!$B$2:$B$1000,"&lt;="&amp;EOMONTH(DATEVALUE($B842&amp;"-01"),0)))-1)/4*100,"")</f>
        <v/>
      </c>
      <c r="X842" t="str">
        <f ca="1">IFERROR(((AVERAGEIFS(Observacion_Directa!$D$2:$D$1000,Observacion_Directa!$A$2:$A$1000,$A842,Observacion_Directa!$B$2:$B$1000,"&gt;="&amp;DATEVALUE($B842&amp;"-01"),Observacion_Directa!$B$2:$B$1000,"&lt;="&amp;EOMONTH(DATEVALUE($B842&amp;"-01"),0)))-1)/4*100,"")</f>
        <v/>
      </c>
      <c r="Y842" t="e">
        <f t="shared" ca="1" si="27"/>
        <v>#DIV/0!</v>
      </c>
    </row>
    <row r="843" spans="12:25" x14ac:dyDescent="0.2">
      <c r="L843" t="str">
        <f t="shared" si="26"/>
        <v/>
      </c>
      <c r="M843" t="str">
        <f>IFERROR(AVERAGEIFS(Prod_5dias!$H$2:$H$1000,Prod_5dias!$A$2:$A$1000,$A843,Prod_5dias!$B$2:$B$1000,$B843),"")</f>
        <v/>
      </c>
      <c r="N843" t="str">
        <f>IF(M843="","",MIN(100,100*M843/Parametros!$B$7))</f>
        <v/>
      </c>
      <c r="O843" t="str">
        <f>IF(F843="","",IF(F843=0,100,MIN(100,100*Parametros!$B$3/F843)))</f>
        <v/>
      </c>
      <c r="P843" t="str">
        <f ca="1">IFERROR(((AVERAGEIFS(Observacion_Directa!$E$2:$E$1000,Observacion_Directa!$A$2:$A$1000,$A843,Observacion_Directa!$B$2:$B$1000,"&gt;="&amp;DATEVALUE($B843&amp;"-01"),Observacion_Directa!$B$2:$B$1000,"&lt;="&amp;EOMONTH(DATEVALUE($B843&amp;"-01"),0)))-1)/4*100,"")</f>
        <v/>
      </c>
      <c r="Q843" t="str">
        <f>IF(H843="","",MIN(100,100*H843/Parametros!$B$4))</f>
        <v/>
      </c>
      <c r="R843" t="str">
        <f>IF(I843="","",IF(I843=0,100,MIN(100,100*Parametros!$B$5/I843)))</f>
        <v/>
      </c>
      <c r="S843" t="str">
        <f>IF(J843="","",IF(J843=0,100,MIN(100,100*Parametros!$B$6/J843)))</f>
        <v/>
      </c>
      <c r="T843" t="str">
        <f>IF(L843="","",MIN(100,100*L843/Parametros!$B$7))</f>
        <v/>
      </c>
      <c r="U843" t="str">
        <f>IF(K843="","",MIN(100,100*K843/Parametros!$B$8))</f>
        <v/>
      </c>
      <c r="V843" t="str">
        <f ca="1">IFERROR(((AVERAGEIFS(Documentacion!$C$2:$C$1000,Documentacion!$A$2:$A$1000,$A843,Documentacion!$B$2:$B$1000,"&gt;="&amp;DATEVALUE($B843&amp;"-01"),Documentacion!$B$2:$B$1000,"&lt;="&amp;EOMONTH(DATEVALUE($B843&amp;"-01"),0)))-1)/4*100,"")</f>
        <v/>
      </c>
      <c r="W843" t="str">
        <f ca="1">IFERROR(((AVERAGEIFS(Feedback_360!$D$2:$D$1000,Feedback_360!$A$2:$A$1000,$A843,Feedback_360!$B$2:$B$1000,"&gt;="&amp;DATEVALUE($B843&amp;"-01"),Feedback_360!$B$2:$B$1000,"&lt;="&amp;EOMONTH(DATEVALUE($B843&amp;"-01"),0)))-1)/4*100,"")</f>
        <v/>
      </c>
      <c r="X843" t="str">
        <f ca="1">IFERROR(((AVERAGEIFS(Observacion_Directa!$D$2:$D$1000,Observacion_Directa!$A$2:$A$1000,$A843,Observacion_Directa!$B$2:$B$1000,"&gt;="&amp;DATEVALUE($B843&amp;"-01"),Observacion_Directa!$B$2:$B$1000,"&lt;="&amp;EOMONTH(DATEVALUE($B843&amp;"-01"),0)))-1)/4*100,"")</f>
        <v/>
      </c>
      <c r="Y843" t="e">
        <f t="shared" ca="1" si="27"/>
        <v>#DIV/0!</v>
      </c>
    </row>
    <row r="844" spans="12:25" x14ac:dyDescent="0.2">
      <c r="L844" t="str">
        <f t="shared" si="26"/>
        <v/>
      </c>
      <c r="M844" t="str">
        <f>IFERROR(AVERAGEIFS(Prod_5dias!$H$2:$H$1000,Prod_5dias!$A$2:$A$1000,$A844,Prod_5dias!$B$2:$B$1000,$B844),"")</f>
        <v/>
      </c>
      <c r="N844" t="str">
        <f>IF(M844="","",MIN(100,100*M844/Parametros!$B$7))</f>
        <v/>
      </c>
      <c r="O844" t="str">
        <f>IF(F844="","",IF(F844=0,100,MIN(100,100*Parametros!$B$3/F844)))</f>
        <v/>
      </c>
      <c r="P844" t="str">
        <f ca="1">IFERROR(((AVERAGEIFS(Observacion_Directa!$E$2:$E$1000,Observacion_Directa!$A$2:$A$1000,$A844,Observacion_Directa!$B$2:$B$1000,"&gt;="&amp;DATEVALUE($B844&amp;"-01"),Observacion_Directa!$B$2:$B$1000,"&lt;="&amp;EOMONTH(DATEVALUE($B844&amp;"-01"),0)))-1)/4*100,"")</f>
        <v/>
      </c>
      <c r="Q844" t="str">
        <f>IF(H844="","",MIN(100,100*H844/Parametros!$B$4))</f>
        <v/>
      </c>
      <c r="R844" t="str">
        <f>IF(I844="","",IF(I844=0,100,MIN(100,100*Parametros!$B$5/I844)))</f>
        <v/>
      </c>
      <c r="S844" t="str">
        <f>IF(J844="","",IF(J844=0,100,MIN(100,100*Parametros!$B$6/J844)))</f>
        <v/>
      </c>
      <c r="T844" t="str">
        <f>IF(L844="","",MIN(100,100*L844/Parametros!$B$7))</f>
        <v/>
      </c>
      <c r="U844" t="str">
        <f>IF(K844="","",MIN(100,100*K844/Parametros!$B$8))</f>
        <v/>
      </c>
      <c r="V844" t="str">
        <f ca="1">IFERROR(((AVERAGEIFS(Documentacion!$C$2:$C$1000,Documentacion!$A$2:$A$1000,$A844,Documentacion!$B$2:$B$1000,"&gt;="&amp;DATEVALUE($B844&amp;"-01"),Documentacion!$B$2:$B$1000,"&lt;="&amp;EOMONTH(DATEVALUE($B844&amp;"-01"),0)))-1)/4*100,"")</f>
        <v/>
      </c>
      <c r="W844" t="str">
        <f ca="1">IFERROR(((AVERAGEIFS(Feedback_360!$D$2:$D$1000,Feedback_360!$A$2:$A$1000,$A844,Feedback_360!$B$2:$B$1000,"&gt;="&amp;DATEVALUE($B844&amp;"-01"),Feedback_360!$B$2:$B$1000,"&lt;="&amp;EOMONTH(DATEVALUE($B844&amp;"-01"),0)))-1)/4*100,"")</f>
        <v/>
      </c>
      <c r="X844" t="str">
        <f ca="1">IFERROR(((AVERAGEIFS(Observacion_Directa!$D$2:$D$1000,Observacion_Directa!$A$2:$A$1000,$A844,Observacion_Directa!$B$2:$B$1000,"&gt;="&amp;DATEVALUE($B844&amp;"-01"),Observacion_Directa!$B$2:$B$1000,"&lt;="&amp;EOMONTH(DATEVALUE($B844&amp;"-01"),0)))-1)/4*100,"")</f>
        <v/>
      </c>
      <c r="Y844" t="e">
        <f t="shared" ca="1" si="27"/>
        <v>#DIV/0!</v>
      </c>
    </row>
    <row r="845" spans="12:25" x14ac:dyDescent="0.2">
      <c r="L845" t="str">
        <f t="shared" si="26"/>
        <v/>
      </c>
      <c r="M845" t="str">
        <f>IFERROR(AVERAGEIFS(Prod_5dias!$H$2:$H$1000,Prod_5dias!$A$2:$A$1000,$A845,Prod_5dias!$B$2:$B$1000,$B845),"")</f>
        <v/>
      </c>
      <c r="N845" t="str">
        <f>IF(M845="","",MIN(100,100*M845/Parametros!$B$7))</f>
        <v/>
      </c>
      <c r="O845" t="str">
        <f>IF(F845="","",IF(F845=0,100,MIN(100,100*Parametros!$B$3/F845)))</f>
        <v/>
      </c>
      <c r="P845" t="str">
        <f ca="1">IFERROR(((AVERAGEIFS(Observacion_Directa!$E$2:$E$1000,Observacion_Directa!$A$2:$A$1000,$A845,Observacion_Directa!$B$2:$B$1000,"&gt;="&amp;DATEVALUE($B845&amp;"-01"),Observacion_Directa!$B$2:$B$1000,"&lt;="&amp;EOMONTH(DATEVALUE($B845&amp;"-01"),0)))-1)/4*100,"")</f>
        <v/>
      </c>
      <c r="Q845" t="str">
        <f>IF(H845="","",MIN(100,100*H845/Parametros!$B$4))</f>
        <v/>
      </c>
      <c r="R845" t="str">
        <f>IF(I845="","",IF(I845=0,100,MIN(100,100*Parametros!$B$5/I845)))</f>
        <v/>
      </c>
      <c r="S845" t="str">
        <f>IF(J845="","",IF(J845=0,100,MIN(100,100*Parametros!$B$6/J845)))</f>
        <v/>
      </c>
      <c r="T845" t="str">
        <f>IF(L845="","",MIN(100,100*L845/Parametros!$B$7))</f>
        <v/>
      </c>
      <c r="U845" t="str">
        <f>IF(K845="","",MIN(100,100*K845/Parametros!$B$8))</f>
        <v/>
      </c>
      <c r="V845" t="str">
        <f ca="1">IFERROR(((AVERAGEIFS(Documentacion!$C$2:$C$1000,Documentacion!$A$2:$A$1000,$A845,Documentacion!$B$2:$B$1000,"&gt;="&amp;DATEVALUE($B845&amp;"-01"),Documentacion!$B$2:$B$1000,"&lt;="&amp;EOMONTH(DATEVALUE($B845&amp;"-01"),0)))-1)/4*100,"")</f>
        <v/>
      </c>
      <c r="W845" t="str">
        <f ca="1">IFERROR(((AVERAGEIFS(Feedback_360!$D$2:$D$1000,Feedback_360!$A$2:$A$1000,$A845,Feedback_360!$B$2:$B$1000,"&gt;="&amp;DATEVALUE($B845&amp;"-01"),Feedback_360!$B$2:$B$1000,"&lt;="&amp;EOMONTH(DATEVALUE($B845&amp;"-01"),0)))-1)/4*100,"")</f>
        <v/>
      </c>
      <c r="X845" t="str">
        <f ca="1">IFERROR(((AVERAGEIFS(Observacion_Directa!$D$2:$D$1000,Observacion_Directa!$A$2:$A$1000,$A845,Observacion_Directa!$B$2:$B$1000,"&gt;="&amp;DATEVALUE($B845&amp;"-01"),Observacion_Directa!$B$2:$B$1000,"&lt;="&amp;EOMONTH(DATEVALUE($B845&amp;"-01"),0)))-1)/4*100,"")</f>
        <v/>
      </c>
      <c r="Y845" t="e">
        <f t="shared" ca="1" si="27"/>
        <v>#DIV/0!</v>
      </c>
    </row>
    <row r="846" spans="12:25" x14ac:dyDescent="0.2">
      <c r="L846" t="str">
        <f t="shared" si="26"/>
        <v/>
      </c>
      <c r="M846" t="str">
        <f>IFERROR(AVERAGEIFS(Prod_5dias!$H$2:$H$1000,Prod_5dias!$A$2:$A$1000,$A846,Prod_5dias!$B$2:$B$1000,$B846),"")</f>
        <v/>
      </c>
      <c r="N846" t="str">
        <f>IF(M846="","",MIN(100,100*M846/Parametros!$B$7))</f>
        <v/>
      </c>
      <c r="O846" t="str">
        <f>IF(F846="","",IF(F846=0,100,MIN(100,100*Parametros!$B$3/F846)))</f>
        <v/>
      </c>
      <c r="P846" t="str">
        <f ca="1">IFERROR(((AVERAGEIFS(Observacion_Directa!$E$2:$E$1000,Observacion_Directa!$A$2:$A$1000,$A846,Observacion_Directa!$B$2:$B$1000,"&gt;="&amp;DATEVALUE($B846&amp;"-01"),Observacion_Directa!$B$2:$B$1000,"&lt;="&amp;EOMONTH(DATEVALUE($B846&amp;"-01"),0)))-1)/4*100,"")</f>
        <v/>
      </c>
      <c r="Q846" t="str">
        <f>IF(H846="","",MIN(100,100*H846/Parametros!$B$4))</f>
        <v/>
      </c>
      <c r="R846" t="str">
        <f>IF(I846="","",IF(I846=0,100,MIN(100,100*Parametros!$B$5/I846)))</f>
        <v/>
      </c>
      <c r="S846" t="str">
        <f>IF(J846="","",IF(J846=0,100,MIN(100,100*Parametros!$B$6/J846)))</f>
        <v/>
      </c>
      <c r="T846" t="str">
        <f>IF(L846="","",MIN(100,100*L846/Parametros!$B$7))</f>
        <v/>
      </c>
      <c r="U846" t="str">
        <f>IF(K846="","",MIN(100,100*K846/Parametros!$B$8))</f>
        <v/>
      </c>
      <c r="V846" t="str">
        <f ca="1">IFERROR(((AVERAGEIFS(Documentacion!$C$2:$C$1000,Documentacion!$A$2:$A$1000,$A846,Documentacion!$B$2:$B$1000,"&gt;="&amp;DATEVALUE($B846&amp;"-01"),Documentacion!$B$2:$B$1000,"&lt;="&amp;EOMONTH(DATEVALUE($B846&amp;"-01"),0)))-1)/4*100,"")</f>
        <v/>
      </c>
      <c r="W846" t="str">
        <f ca="1">IFERROR(((AVERAGEIFS(Feedback_360!$D$2:$D$1000,Feedback_360!$A$2:$A$1000,$A846,Feedback_360!$B$2:$B$1000,"&gt;="&amp;DATEVALUE($B846&amp;"-01"),Feedback_360!$B$2:$B$1000,"&lt;="&amp;EOMONTH(DATEVALUE($B846&amp;"-01"),0)))-1)/4*100,"")</f>
        <v/>
      </c>
      <c r="X846" t="str">
        <f ca="1">IFERROR(((AVERAGEIFS(Observacion_Directa!$D$2:$D$1000,Observacion_Directa!$A$2:$A$1000,$A846,Observacion_Directa!$B$2:$B$1000,"&gt;="&amp;DATEVALUE($B846&amp;"-01"),Observacion_Directa!$B$2:$B$1000,"&lt;="&amp;EOMONTH(DATEVALUE($B846&amp;"-01"),0)))-1)/4*100,"")</f>
        <v/>
      </c>
      <c r="Y846" t="e">
        <f t="shared" ca="1" si="27"/>
        <v>#DIV/0!</v>
      </c>
    </row>
    <row r="847" spans="12:25" x14ac:dyDescent="0.2">
      <c r="L847" t="str">
        <f t="shared" si="26"/>
        <v/>
      </c>
      <c r="M847" t="str">
        <f>IFERROR(AVERAGEIFS(Prod_5dias!$H$2:$H$1000,Prod_5dias!$A$2:$A$1000,$A847,Prod_5dias!$B$2:$B$1000,$B847),"")</f>
        <v/>
      </c>
      <c r="N847" t="str">
        <f>IF(M847="","",MIN(100,100*M847/Parametros!$B$7))</f>
        <v/>
      </c>
      <c r="O847" t="str">
        <f>IF(F847="","",IF(F847=0,100,MIN(100,100*Parametros!$B$3/F847)))</f>
        <v/>
      </c>
      <c r="P847" t="str">
        <f ca="1">IFERROR(((AVERAGEIFS(Observacion_Directa!$E$2:$E$1000,Observacion_Directa!$A$2:$A$1000,$A847,Observacion_Directa!$B$2:$B$1000,"&gt;="&amp;DATEVALUE($B847&amp;"-01"),Observacion_Directa!$B$2:$B$1000,"&lt;="&amp;EOMONTH(DATEVALUE($B847&amp;"-01"),0)))-1)/4*100,"")</f>
        <v/>
      </c>
      <c r="Q847" t="str">
        <f>IF(H847="","",MIN(100,100*H847/Parametros!$B$4))</f>
        <v/>
      </c>
      <c r="R847" t="str">
        <f>IF(I847="","",IF(I847=0,100,MIN(100,100*Parametros!$B$5/I847)))</f>
        <v/>
      </c>
      <c r="S847" t="str">
        <f>IF(J847="","",IF(J847=0,100,MIN(100,100*Parametros!$B$6/J847)))</f>
        <v/>
      </c>
      <c r="T847" t="str">
        <f>IF(L847="","",MIN(100,100*L847/Parametros!$B$7))</f>
        <v/>
      </c>
      <c r="U847" t="str">
        <f>IF(K847="","",MIN(100,100*K847/Parametros!$B$8))</f>
        <v/>
      </c>
      <c r="V847" t="str">
        <f ca="1">IFERROR(((AVERAGEIFS(Documentacion!$C$2:$C$1000,Documentacion!$A$2:$A$1000,$A847,Documentacion!$B$2:$B$1000,"&gt;="&amp;DATEVALUE($B847&amp;"-01"),Documentacion!$B$2:$B$1000,"&lt;="&amp;EOMONTH(DATEVALUE($B847&amp;"-01"),0)))-1)/4*100,"")</f>
        <v/>
      </c>
      <c r="W847" t="str">
        <f ca="1">IFERROR(((AVERAGEIFS(Feedback_360!$D$2:$D$1000,Feedback_360!$A$2:$A$1000,$A847,Feedback_360!$B$2:$B$1000,"&gt;="&amp;DATEVALUE($B847&amp;"-01"),Feedback_360!$B$2:$B$1000,"&lt;="&amp;EOMONTH(DATEVALUE($B847&amp;"-01"),0)))-1)/4*100,"")</f>
        <v/>
      </c>
      <c r="X847" t="str">
        <f ca="1">IFERROR(((AVERAGEIFS(Observacion_Directa!$D$2:$D$1000,Observacion_Directa!$A$2:$A$1000,$A847,Observacion_Directa!$B$2:$B$1000,"&gt;="&amp;DATEVALUE($B847&amp;"-01"),Observacion_Directa!$B$2:$B$1000,"&lt;="&amp;EOMONTH(DATEVALUE($B847&amp;"-01"),0)))-1)/4*100,"")</f>
        <v/>
      </c>
      <c r="Y847" t="e">
        <f t="shared" ca="1" si="27"/>
        <v>#DIV/0!</v>
      </c>
    </row>
    <row r="848" spans="12:25" x14ac:dyDescent="0.2">
      <c r="L848" t="str">
        <f t="shared" si="26"/>
        <v/>
      </c>
      <c r="M848" t="str">
        <f>IFERROR(AVERAGEIFS(Prod_5dias!$H$2:$H$1000,Prod_5dias!$A$2:$A$1000,$A848,Prod_5dias!$B$2:$B$1000,$B848),"")</f>
        <v/>
      </c>
      <c r="N848" t="str">
        <f>IF(M848="","",MIN(100,100*M848/Parametros!$B$7))</f>
        <v/>
      </c>
      <c r="O848" t="str">
        <f>IF(F848="","",IF(F848=0,100,MIN(100,100*Parametros!$B$3/F848)))</f>
        <v/>
      </c>
      <c r="P848" t="str">
        <f ca="1">IFERROR(((AVERAGEIFS(Observacion_Directa!$E$2:$E$1000,Observacion_Directa!$A$2:$A$1000,$A848,Observacion_Directa!$B$2:$B$1000,"&gt;="&amp;DATEVALUE($B848&amp;"-01"),Observacion_Directa!$B$2:$B$1000,"&lt;="&amp;EOMONTH(DATEVALUE($B848&amp;"-01"),0)))-1)/4*100,"")</f>
        <v/>
      </c>
      <c r="Q848" t="str">
        <f>IF(H848="","",MIN(100,100*H848/Parametros!$B$4))</f>
        <v/>
      </c>
      <c r="R848" t="str">
        <f>IF(I848="","",IF(I848=0,100,MIN(100,100*Parametros!$B$5/I848)))</f>
        <v/>
      </c>
      <c r="S848" t="str">
        <f>IF(J848="","",IF(J848=0,100,MIN(100,100*Parametros!$B$6/J848)))</f>
        <v/>
      </c>
      <c r="T848" t="str">
        <f>IF(L848="","",MIN(100,100*L848/Parametros!$B$7))</f>
        <v/>
      </c>
      <c r="U848" t="str">
        <f>IF(K848="","",MIN(100,100*K848/Parametros!$B$8))</f>
        <v/>
      </c>
      <c r="V848" t="str">
        <f ca="1">IFERROR(((AVERAGEIFS(Documentacion!$C$2:$C$1000,Documentacion!$A$2:$A$1000,$A848,Documentacion!$B$2:$B$1000,"&gt;="&amp;DATEVALUE($B848&amp;"-01"),Documentacion!$B$2:$B$1000,"&lt;="&amp;EOMONTH(DATEVALUE($B848&amp;"-01"),0)))-1)/4*100,"")</f>
        <v/>
      </c>
      <c r="W848" t="str">
        <f ca="1">IFERROR(((AVERAGEIFS(Feedback_360!$D$2:$D$1000,Feedback_360!$A$2:$A$1000,$A848,Feedback_360!$B$2:$B$1000,"&gt;="&amp;DATEVALUE($B848&amp;"-01"),Feedback_360!$B$2:$B$1000,"&lt;="&amp;EOMONTH(DATEVALUE($B848&amp;"-01"),0)))-1)/4*100,"")</f>
        <v/>
      </c>
      <c r="X848" t="str">
        <f ca="1">IFERROR(((AVERAGEIFS(Observacion_Directa!$D$2:$D$1000,Observacion_Directa!$A$2:$A$1000,$A848,Observacion_Directa!$B$2:$B$1000,"&gt;="&amp;DATEVALUE($B848&amp;"-01"),Observacion_Directa!$B$2:$B$1000,"&lt;="&amp;EOMONTH(DATEVALUE($B848&amp;"-01"),0)))-1)/4*100,"")</f>
        <v/>
      </c>
      <c r="Y848" t="e">
        <f t="shared" ca="1" si="27"/>
        <v>#DIV/0!</v>
      </c>
    </row>
    <row r="849" spans="12:25" x14ac:dyDescent="0.2">
      <c r="L849" t="str">
        <f t="shared" si="26"/>
        <v/>
      </c>
      <c r="M849" t="str">
        <f>IFERROR(AVERAGEIFS(Prod_5dias!$H$2:$H$1000,Prod_5dias!$A$2:$A$1000,$A849,Prod_5dias!$B$2:$B$1000,$B849),"")</f>
        <v/>
      </c>
      <c r="N849" t="str">
        <f>IF(M849="","",MIN(100,100*M849/Parametros!$B$7))</f>
        <v/>
      </c>
      <c r="O849" t="str">
        <f>IF(F849="","",IF(F849=0,100,MIN(100,100*Parametros!$B$3/F849)))</f>
        <v/>
      </c>
      <c r="P849" t="str">
        <f ca="1">IFERROR(((AVERAGEIFS(Observacion_Directa!$E$2:$E$1000,Observacion_Directa!$A$2:$A$1000,$A849,Observacion_Directa!$B$2:$B$1000,"&gt;="&amp;DATEVALUE($B849&amp;"-01"),Observacion_Directa!$B$2:$B$1000,"&lt;="&amp;EOMONTH(DATEVALUE($B849&amp;"-01"),0)))-1)/4*100,"")</f>
        <v/>
      </c>
      <c r="Q849" t="str">
        <f>IF(H849="","",MIN(100,100*H849/Parametros!$B$4))</f>
        <v/>
      </c>
      <c r="R849" t="str">
        <f>IF(I849="","",IF(I849=0,100,MIN(100,100*Parametros!$B$5/I849)))</f>
        <v/>
      </c>
      <c r="S849" t="str">
        <f>IF(J849="","",IF(J849=0,100,MIN(100,100*Parametros!$B$6/J849)))</f>
        <v/>
      </c>
      <c r="T849" t="str">
        <f>IF(L849="","",MIN(100,100*L849/Parametros!$B$7))</f>
        <v/>
      </c>
      <c r="U849" t="str">
        <f>IF(K849="","",MIN(100,100*K849/Parametros!$B$8))</f>
        <v/>
      </c>
      <c r="V849" t="str">
        <f ca="1">IFERROR(((AVERAGEIFS(Documentacion!$C$2:$C$1000,Documentacion!$A$2:$A$1000,$A849,Documentacion!$B$2:$B$1000,"&gt;="&amp;DATEVALUE($B849&amp;"-01"),Documentacion!$B$2:$B$1000,"&lt;="&amp;EOMONTH(DATEVALUE($B849&amp;"-01"),0)))-1)/4*100,"")</f>
        <v/>
      </c>
      <c r="W849" t="str">
        <f ca="1">IFERROR(((AVERAGEIFS(Feedback_360!$D$2:$D$1000,Feedback_360!$A$2:$A$1000,$A849,Feedback_360!$B$2:$B$1000,"&gt;="&amp;DATEVALUE($B849&amp;"-01"),Feedback_360!$B$2:$B$1000,"&lt;="&amp;EOMONTH(DATEVALUE($B849&amp;"-01"),0)))-1)/4*100,"")</f>
        <v/>
      </c>
      <c r="X849" t="str">
        <f ca="1">IFERROR(((AVERAGEIFS(Observacion_Directa!$D$2:$D$1000,Observacion_Directa!$A$2:$A$1000,$A849,Observacion_Directa!$B$2:$B$1000,"&gt;="&amp;DATEVALUE($B849&amp;"-01"),Observacion_Directa!$B$2:$B$1000,"&lt;="&amp;EOMONTH(DATEVALUE($B849&amp;"-01"),0)))-1)/4*100,"")</f>
        <v/>
      </c>
      <c r="Y849" t="e">
        <f t="shared" ca="1" si="27"/>
        <v>#DIV/0!</v>
      </c>
    </row>
    <row r="850" spans="12:25" x14ac:dyDescent="0.2">
      <c r="L850" t="str">
        <f t="shared" si="26"/>
        <v/>
      </c>
      <c r="M850" t="str">
        <f>IFERROR(AVERAGEIFS(Prod_5dias!$H$2:$H$1000,Prod_5dias!$A$2:$A$1000,$A850,Prod_5dias!$B$2:$B$1000,$B850),"")</f>
        <v/>
      </c>
      <c r="N850" t="str">
        <f>IF(M850="","",MIN(100,100*M850/Parametros!$B$7))</f>
        <v/>
      </c>
      <c r="O850" t="str">
        <f>IF(F850="","",IF(F850=0,100,MIN(100,100*Parametros!$B$3/F850)))</f>
        <v/>
      </c>
      <c r="P850" t="str">
        <f ca="1">IFERROR(((AVERAGEIFS(Observacion_Directa!$E$2:$E$1000,Observacion_Directa!$A$2:$A$1000,$A850,Observacion_Directa!$B$2:$B$1000,"&gt;="&amp;DATEVALUE($B850&amp;"-01"),Observacion_Directa!$B$2:$B$1000,"&lt;="&amp;EOMONTH(DATEVALUE($B850&amp;"-01"),0)))-1)/4*100,"")</f>
        <v/>
      </c>
      <c r="Q850" t="str">
        <f>IF(H850="","",MIN(100,100*H850/Parametros!$B$4))</f>
        <v/>
      </c>
      <c r="R850" t="str">
        <f>IF(I850="","",IF(I850=0,100,MIN(100,100*Parametros!$B$5/I850)))</f>
        <v/>
      </c>
      <c r="S850" t="str">
        <f>IF(J850="","",IF(J850=0,100,MIN(100,100*Parametros!$B$6/J850)))</f>
        <v/>
      </c>
      <c r="T850" t="str">
        <f>IF(L850="","",MIN(100,100*L850/Parametros!$B$7))</f>
        <v/>
      </c>
      <c r="U850" t="str">
        <f>IF(K850="","",MIN(100,100*K850/Parametros!$B$8))</f>
        <v/>
      </c>
      <c r="V850" t="str">
        <f ca="1">IFERROR(((AVERAGEIFS(Documentacion!$C$2:$C$1000,Documentacion!$A$2:$A$1000,$A850,Documentacion!$B$2:$B$1000,"&gt;="&amp;DATEVALUE($B850&amp;"-01"),Documentacion!$B$2:$B$1000,"&lt;="&amp;EOMONTH(DATEVALUE($B850&amp;"-01"),0)))-1)/4*100,"")</f>
        <v/>
      </c>
      <c r="W850" t="str">
        <f ca="1">IFERROR(((AVERAGEIFS(Feedback_360!$D$2:$D$1000,Feedback_360!$A$2:$A$1000,$A850,Feedback_360!$B$2:$B$1000,"&gt;="&amp;DATEVALUE($B850&amp;"-01"),Feedback_360!$B$2:$B$1000,"&lt;="&amp;EOMONTH(DATEVALUE($B850&amp;"-01"),0)))-1)/4*100,"")</f>
        <v/>
      </c>
      <c r="X850" t="str">
        <f ca="1">IFERROR(((AVERAGEIFS(Observacion_Directa!$D$2:$D$1000,Observacion_Directa!$A$2:$A$1000,$A850,Observacion_Directa!$B$2:$B$1000,"&gt;="&amp;DATEVALUE($B850&amp;"-01"),Observacion_Directa!$B$2:$B$1000,"&lt;="&amp;EOMONTH(DATEVALUE($B850&amp;"-01"),0)))-1)/4*100,"")</f>
        <v/>
      </c>
      <c r="Y850" t="e">
        <f t="shared" ca="1" si="27"/>
        <v>#DIV/0!</v>
      </c>
    </row>
    <row r="851" spans="12:25" x14ac:dyDescent="0.2">
      <c r="L851" t="str">
        <f t="shared" si="26"/>
        <v/>
      </c>
      <c r="M851" t="str">
        <f>IFERROR(AVERAGEIFS(Prod_5dias!$H$2:$H$1000,Prod_5dias!$A$2:$A$1000,$A851,Prod_5dias!$B$2:$B$1000,$B851),"")</f>
        <v/>
      </c>
      <c r="N851" t="str">
        <f>IF(M851="","",MIN(100,100*M851/Parametros!$B$7))</f>
        <v/>
      </c>
      <c r="O851" t="str">
        <f>IF(F851="","",IF(F851=0,100,MIN(100,100*Parametros!$B$3/F851)))</f>
        <v/>
      </c>
      <c r="P851" t="str">
        <f ca="1">IFERROR(((AVERAGEIFS(Observacion_Directa!$E$2:$E$1000,Observacion_Directa!$A$2:$A$1000,$A851,Observacion_Directa!$B$2:$B$1000,"&gt;="&amp;DATEVALUE($B851&amp;"-01"),Observacion_Directa!$B$2:$B$1000,"&lt;="&amp;EOMONTH(DATEVALUE($B851&amp;"-01"),0)))-1)/4*100,"")</f>
        <v/>
      </c>
      <c r="Q851" t="str">
        <f>IF(H851="","",MIN(100,100*H851/Parametros!$B$4))</f>
        <v/>
      </c>
      <c r="R851" t="str">
        <f>IF(I851="","",IF(I851=0,100,MIN(100,100*Parametros!$B$5/I851)))</f>
        <v/>
      </c>
      <c r="S851" t="str">
        <f>IF(J851="","",IF(J851=0,100,MIN(100,100*Parametros!$B$6/J851)))</f>
        <v/>
      </c>
      <c r="T851" t="str">
        <f>IF(L851="","",MIN(100,100*L851/Parametros!$B$7))</f>
        <v/>
      </c>
      <c r="U851" t="str">
        <f>IF(K851="","",MIN(100,100*K851/Parametros!$B$8))</f>
        <v/>
      </c>
      <c r="V851" t="str">
        <f ca="1">IFERROR(((AVERAGEIFS(Documentacion!$C$2:$C$1000,Documentacion!$A$2:$A$1000,$A851,Documentacion!$B$2:$B$1000,"&gt;="&amp;DATEVALUE($B851&amp;"-01"),Documentacion!$B$2:$B$1000,"&lt;="&amp;EOMONTH(DATEVALUE($B851&amp;"-01"),0)))-1)/4*100,"")</f>
        <v/>
      </c>
      <c r="W851" t="str">
        <f ca="1">IFERROR(((AVERAGEIFS(Feedback_360!$D$2:$D$1000,Feedback_360!$A$2:$A$1000,$A851,Feedback_360!$B$2:$B$1000,"&gt;="&amp;DATEVALUE($B851&amp;"-01"),Feedback_360!$B$2:$B$1000,"&lt;="&amp;EOMONTH(DATEVALUE($B851&amp;"-01"),0)))-1)/4*100,"")</f>
        <v/>
      </c>
      <c r="X851" t="str">
        <f ca="1">IFERROR(((AVERAGEIFS(Observacion_Directa!$D$2:$D$1000,Observacion_Directa!$A$2:$A$1000,$A851,Observacion_Directa!$B$2:$B$1000,"&gt;="&amp;DATEVALUE($B851&amp;"-01"),Observacion_Directa!$B$2:$B$1000,"&lt;="&amp;EOMONTH(DATEVALUE($B851&amp;"-01"),0)))-1)/4*100,"")</f>
        <v/>
      </c>
      <c r="Y851" t="e">
        <f t="shared" ca="1" si="27"/>
        <v>#DIV/0!</v>
      </c>
    </row>
    <row r="852" spans="12:25" x14ac:dyDescent="0.2">
      <c r="L852" t="str">
        <f t="shared" si="26"/>
        <v/>
      </c>
      <c r="M852" t="str">
        <f>IFERROR(AVERAGEIFS(Prod_5dias!$H$2:$H$1000,Prod_5dias!$A$2:$A$1000,$A852,Prod_5dias!$B$2:$B$1000,$B852),"")</f>
        <v/>
      </c>
      <c r="N852" t="str">
        <f>IF(M852="","",MIN(100,100*M852/Parametros!$B$7))</f>
        <v/>
      </c>
      <c r="O852" t="str">
        <f>IF(F852="","",IF(F852=0,100,MIN(100,100*Parametros!$B$3/F852)))</f>
        <v/>
      </c>
      <c r="P852" t="str">
        <f ca="1">IFERROR(((AVERAGEIFS(Observacion_Directa!$E$2:$E$1000,Observacion_Directa!$A$2:$A$1000,$A852,Observacion_Directa!$B$2:$B$1000,"&gt;="&amp;DATEVALUE($B852&amp;"-01"),Observacion_Directa!$B$2:$B$1000,"&lt;="&amp;EOMONTH(DATEVALUE($B852&amp;"-01"),0)))-1)/4*100,"")</f>
        <v/>
      </c>
      <c r="Q852" t="str">
        <f>IF(H852="","",MIN(100,100*H852/Parametros!$B$4))</f>
        <v/>
      </c>
      <c r="R852" t="str">
        <f>IF(I852="","",IF(I852=0,100,MIN(100,100*Parametros!$B$5/I852)))</f>
        <v/>
      </c>
      <c r="S852" t="str">
        <f>IF(J852="","",IF(J852=0,100,MIN(100,100*Parametros!$B$6/J852)))</f>
        <v/>
      </c>
      <c r="T852" t="str">
        <f>IF(L852="","",MIN(100,100*L852/Parametros!$B$7))</f>
        <v/>
      </c>
      <c r="U852" t="str">
        <f>IF(K852="","",MIN(100,100*K852/Parametros!$B$8))</f>
        <v/>
      </c>
      <c r="V852" t="str">
        <f ca="1">IFERROR(((AVERAGEIFS(Documentacion!$C$2:$C$1000,Documentacion!$A$2:$A$1000,$A852,Documentacion!$B$2:$B$1000,"&gt;="&amp;DATEVALUE($B852&amp;"-01"),Documentacion!$B$2:$B$1000,"&lt;="&amp;EOMONTH(DATEVALUE($B852&amp;"-01"),0)))-1)/4*100,"")</f>
        <v/>
      </c>
      <c r="W852" t="str">
        <f ca="1">IFERROR(((AVERAGEIFS(Feedback_360!$D$2:$D$1000,Feedback_360!$A$2:$A$1000,$A852,Feedback_360!$B$2:$B$1000,"&gt;="&amp;DATEVALUE($B852&amp;"-01"),Feedback_360!$B$2:$B$1000,"&lt;="&amp;EOMONTH(DATEVALUE($B852&amp;"-01"),0)))-1)/4*100,"")</f>
        <v/>
      </c>
      <c r="X852" t="str">
        <f ca="1">IFERROR(((AVERAGEIFS(Observacion_Directa!$D$2:$D$1000,Observacion_Directa!$A$2:$A$1000,$A852,Observacion_Directa!$B$2:$B$1000,"&gt;="&amp;DATEVALUE($B852&amp;"-01"),Observacion_Directa!$B$2:$B$1000,"&lt;="&amp;EOMONTH(DATEVALUE($B852&amp;"-01"),0)))-1)/4*100,"")</f>
        <v/>
      </c>
      <c r="Y852" t="e">
        <f t="shared" ca="1" si="27"/>
        <v>#DIV/0!</v>
      </c>
    </row>
    <row r="853" spans="12:25" x14ac:dyDescent="0.2">
      <c r="L853" t="str">
        <f t="shared" si="26"/>
        <v/>
      </c>
      <c r="M853" t="str">
        <f>IFERROR(AVERAGEIFS(Prod_5dias!$H$2:$H$1000,Prod_5dias!$A$2:$A$1000,$A853,Prod_5dias!$B$2:$B$1000,$B853),"")</f>
        <v/>
      </c>
      <c r="N853" t="str">
        <f>IF(M853="","",MIN(100,100*M853/Parametros!$B$7))</f>
        <v/>
      </c>
      <c r="O853" t="str">
        <f>IF(F853="","",IF(F853=0,100,MIN(100,100*Parametros!$B$3/F853)))</f>
        <v/>
      </c>
      <c r="P853" t="str">
        <f ca="1">IFERROR(((AVERAGEIFS(Observacion_Directa!$E$2:$E$1000,Observacion_Directa!$A$2:$A$1000,$A853,Observacion_Directa!$B$2:$B$1000,"&gt;="&amp;DATEVALUE($B853&amp;"-01"),Observacion_Directa!$B$2:$B$1000,"&lt;="&amp;EOMONTH(DATEVALUE($B853&amp;"-01"),0)))-1)/4*100,"")</f>
        <v/>
      </c>
      <c r="Q853" t="str">
        <f>IF(H853="","",MIN(100,100*H853/Parametros!$B$4))</f>
        <v/>
      </c>
      <c r="R853" t="str">
        <f>IF(I853="","",IF(I853=0,100,MIN(100,100*Parametros!$B$5/I853)))</f>
        <v/>
      </c>
      <c r="S853" t="str">
        <f>IF(J853="","",IF(J853=0,100,MIN(100,100*Parametros!$B$6/J853)))</f>
        <v/>
      </c>
      <c r="T853" t="str">
        <f>IF(L853="","",MIN(100,100*L853/Parametros!$B$7))</f>
        <v/>
      </c>
      <c r="U853" t="str">
        <f>IF(K853="","",MIN(100,100*K853/Parametros!$B$8))</f>
        <v/>
      </c>
      <c r="V853" t="str">
        <f ca="1">IFERROR(((AVERAGEIFS(Documentacion!$C$2:$C$1000,Documentacion!$A$2:$A$1000,$A853,Documentacion!$B$2:$B$1000,"&gt;="&amp;DATEVALUE($B853&amp;"-01"),Documentacion!$B$2:$B$1000,"&lt;="&amp;EOMONTH(DATEVALUE($B853&amp;"-01"),0)))-1)/4*100,"")</f>
        <v/>
      </c>
      <c r="W853" t="str">
        <f ca="1">IFERROR(((AVERAGEIFS(Feedback_360!$D$2:$D$1000,Feedback_360!$A$2:$A$1000,$A853,Feedback_360!$B$2:$B$1000,"&gt;="&amp;DATEVALUE($B853&amp;"-01"),Feedback_360!$B$2:$B$1000,"&lt;="&amp;EOMONTH(DATEVALUE($B853&amp;"-01"),0)))-1)/4*100,"")</f>
        <v/>
      </c>
      <c r="X853" t="str">
        <f ca="1">IFERROR(((AVERAGEIFS(Observacion_Directa!$D$2:$D$1000,Observacion_Directa!$A$2:$A$1000,$A853,Observacion_Directa!$B$2:$B$1000,"&gt;="&amp;DATEVALUE($B853&amp;"-01"),Observacion_Directa!$B$2:$B$1000,"&lt;="&amp;EOMONTH(DATEVALUE($B853&amp;"-01"),0)))-1)/4*100,"")</f>
        <v/>
      </c>
      <c r="Y853" t="e">
        <f t="shared" ca="1" si="27"/>
        <v>#DIV/0!</v>
      </c>
    </row>
    <row r="854" spans="12:25" x14ac:dyDescent="0.2">
      <c r="L854" t="str">
        <f t="shared" si="26"/>
        <v/>
      </c>
      <c r="M854" t="str">
        <f>IFERROR(AVERAGEIFS(Prod_5dias!$H$2:$H$1000,Prod_5dias!$A$2:$A$1000,$A854,Prod_5dias!$B$2:$B$1000,$B854),"")</f>
        <v/>
      </c>
      <c r="N854" t="str">
        <f>IF(M854="","",MIN(100,100*M854/Parametros!$B$7))</f>
        <v/>
      </c>
      <c r="O854" t="str">
        <f>IF(F854="","",IF(F854=0,100,MIN(100,100*Parametros!$B$3/F854)))</f>
        <v/>
      </c>
      <c r="P854" t="str">
        <f ca="1">IFERROR(((AVERAGEIFS(Observacion_Directa!$E$2:$E$1000,Observacion_Directa!$A$2:$A$1000,$A854,Observacion_Directa!$B$2:$B$1000,"&gt;="&amp;DATEVALUE($B854&amp;"-01"),Observacion_Directa!$B$2:$B$1000,"&lt;="&amp;EOMONTH(DATEVALUE($B854&amp;"-01"),0)))-1)/4*100,"")</f>
        <v/>
      </c>
      <c r="Q854" t="str">
        <f>IF(H854="","",MIN(100,100*H854/Parametros!$B$4))</f>
        <v/>
      </c>
      <c r="R854" t="str">
        <f>IF(I854="","",IF(I854=0,100,MIN(100,100*Parametros!$B$5/I854)))</f>
        <v/>
      </c>
      <c r="S854" t="str">
        <f>IF(J854="","",IF(J854=0,100,MIN(100,100*Parametros!$B$6/J854)))</f>
        <v/>
      </c>
      <c r="T854" t="str">
        <f>IF(L854="","",MIN(100,100*L854/Parametros!$B$7))</f>
        <v/>
      </c>
      <c r="U854" t="str">
        <f>IF(K854="","",MIN(100,100*K854/Parametros!$B$8))</f>
        <v/>
      </c>
      <c r="V854" t="str">
        <f ca="1">IFERROR(((AVERAGEIFS(Documentacion!$C$2:$C$1000,Documentacion!$A$2:$A$1000,$A854,Documentacion!$B$2:$B$1000,"&gt;="&amp;DATEVALUE($B854&amp;"-01"),Documentacion!$B$2:$B$1000,"&lt;="&amp;EOMONTH(DATEVALUE($B854&amp;"-01"),0)))-1)/4*100,"")</f>
        <v/>
      </c>
      <c r="W854" t="str">
        <f ca="1">IFERROR(((AVERAGEIFS(Feedback_360!$D$2:$D$1000,Feedback_360!$A$2:$A$1000,$A854,Feedback_360!$B$2:$B$1000,"&gt;="&amp;DATEVALUE($B854&amp;"-01"),Feedback_360!$B$2:$B$1000,"&lt;="&amp;EOMONTH(DATEVALUE($B854&amp;"-01"),0)))-1)/4*100,"")</f>
        <v/>
      </c>
      <c r="X854" t="str">
        <f ca="1">IFERROR(((AVERAGEIFS(Observacion_Directa!$D$2:$D$1000,Observacion_Directa!$A$2:$A$1000,$A854,Observacion_Directa!$B$2:$B$1000,"&gt;="&amp;DATEVALUE($B854&amp;"-01"),Observacion_Directa!$B$2:$B$1000,"&lt;="&amp;EOMONTH(DATEVALUE($B854&amp;"-01"),0)))-1)/4*100,"")</f>
        <v/>
      </c>
      <c r="Y854" t="e">
        <f t="shared" ca="1" si="27"/>
        <v>#DIV/0!</v>
      </c>
    </row>
    <row r="855" spans="12:25" x14ac:dyDescent="0.2">
      <c r="L855" t="str">
        <f t="shared" si="26"/>
        <v/>
      </c>
      <c r="M855" t="str">
        <f>IFERROR(AVERAGEIFS(Prod_5dias!$H$2:$H$1000,Prod_5dias!$A$2:$A$1000,$A855,Prod_5dias!$B$2:$B$1000,$B855),"")</f>
        <v/>
      </c>
      <c r="N855" t="str">
        <f>IF(M855="","",MIN(100,100*M855/Parametros!$B$7))</f>
        <v/>
      </c>
      <c r="O855" t="str">
        <f>IF(F855="","",IF(F855=0,100,MIN(100,100*Parametros!$B$3/F855)))</f>
        <v/>
      </c>
      <c r="P855" t="str">
        <f ca="1">IFERROR(((AVERAGEIFS(Observacion_Directa!$E$2:$E$1000,Observacion_Directa!$A$2:$A$1000,$A855,Observacion_Directa!$B$2:$B$1000,"&gt;="&amp;DATEVALUE($B855&amp;"-01"),Observacion_Directa!$B$2:$B$1000,"&lt;="&amp;EOMONTH(DATEVALUE($B855&amp;"-01"),0)))-1)/4*100,"")</f>
        <v/>
      </c>
      <c r="Q855" t="str">
        <f>IF(H855="","",MIN(100,100*H855/Parametros!$B$4))</f>
        <v/>
      </c>
      <c r="R855" t="str">
        <f>IF(I855="","",IF(I855=0,100,MIN(100,100*Parametros!$B$5/I855)))</f>
        <v/>
      </c>
      <c r="S855" t="str">
        <f>IF(J855="","",IF(J855=0,100,MIN(100,100*Parametros!$B$6/J855)))</f>
        <v/>
      </c>
      <c r="T855" t="str">
        <f>IF(L855="","",MIN(100,100*L855/Parametros!$B$7))</f>
        <v/>
      </c>
      <c r="U855" t="str">
        <f>IF(K855="","",MIN(100,100*K855/Parametros!$B$8))</f>
        <v/>
      </c>
      <c r="V855" t="str">
        <f ca="1">IFERROR(((AVERAGEIFS(Documentacion!$C$2:$C$1000,Documentacion!$A$2:$A$1000,$A855,Documentacion!$B$2:$B$1000,"&gt;="&amp;DATEVALUE($B855&amp;"-01"),Documentacion!$B$2:$B$1000,"&lt;="&amp;EOMONTH(DATEVALUE($B855&amp;"-01"),0)))-1)/4*100,"")</f>
        <v/>
      </c>
      <c r="W855" t="str">
        <f ca="1">IFERROR(((AVERAGEIFS(Feedback_360!$D$2:$D$1000,Feedback_360!$A$2:$A$1000,$A855,Feedback_360!$B$2:$B$1000,"&gt;="&amp;DATEVALUE($B855&amp;"-01"),Feedback_360!$B$2:$B$1000,"&lt;="&amp;EOMONTH(DATEVALUE($B855&amp;"-01"),0)))-1)/4*100,"")</f>
        <v/>
      </c>
      <c r="X855" t="str">
        <f ca="1">IFERROR(((AVERAGEIFS(Observacion_Directa!$D$2:$D$1000,Observacion_Directa!$A$2:$A$1000,$A855,Observacion_Directa!$B$2:$B$1000,"&gt;="&amp;DATEVALUE($B855&amp;"-01"),Observacion_Directa!$B$2:$B$1000,"&lt;="&amp;EOMONTH(DATEVALUE($B855&amp;"-01"),0)))-1)/4*100,"")</f>
        <v/>
      </c>
      <c r="Y855" t="e">
        <f t="shared" ca="1" si="27"/>
        <v>#DIV/0!</v>
      </c>
    </row>
    <row r="856" spans="12:25" x14ac:dyDescent="0.2">
      <c r="L856" t="str">
        <f t="shared" si="26"/>
        <v/>
      </c>
      <c r="M856" t="str">
        <f>IFERROR(AVERAGEIFS(Prod_5dias!$H$2:$H$1000,Prod_5dias!$A$2:$A$1000,$A856,Prod_5dias!$B$2:$B$1000,$B856),"")</f>
        <v/>
      </c>
      <c r="N856" t="str">
        <f>IF(M856="","",MIN(100,100*M856/Parametros!$B$7))</f>
        <v/>
      </c>
      <c r="O856" t="str">
        <f>IF(F856="","",IF(F856=0,100,MIN(100,100*Parametros!$B$3/F856)))</f>
        <v/>
      </c>
      <c r="P856" t="str">
        <f ca="1">IFERROR(((AVERAGEIFS(Observacion_Directa!$E$2:$E$1000,Observacion_Directa!$A$2:$A$1000,$A856,Observacion_Directa!$B$2:$B$1000,"&gt;="&amp;DATEVALUE($B856&amp;"-01"),Observacion_Directa!$B$2:$B$1000,"&lt;="&amp;EOMONTH(DATEVALUE($B856&amp;"-01"),0)))-1)/4*100,"")</f>
        <v/>
      </c>
      <c r="Q856" t="str">
        <f>IF(H856="","",MIN(100,100*H856/Parametros!$B$4))</f>
        <v/>
      </c>
      <c r="R856" t="str">
        <f>IF(I856="","",IF(I856=0,100,MIN(100,100*Parametros!$B$5/I856)))</f>
        <v/>
      </c>
      <c r="S856" t="str">
        <f>IF(J856="","",IF(J856=0,100,MIN(100,100*Parametros!$B$6/J856)))</f>
        <v/>
      </c>
      <c r="T856" t="str">
        <f>IF(L856="","",MIN(100,100*L856/Parametros!$B$7))</f>
        <v/>
      </c>
      <c r="U856" t="str">
        <f>IF(K856="","",MIN(100,100*K856/Parametros!$B$8))</f>
        <v/>
      </c>
      <c r="V856" t="str">
        <f ca="1">IFERROR(((AVERAGEIFS(Documentacion!$C$2:$C$1000,Documentacion!$A$2:$A$1000,$A856,Documentacion!$B$2:$B$1000,"&gt;="&amp;DATEVALUE($B856&amp;"-01"),Documentacion!$B$2:$B$1000,"&lt;="&amp;EOMONTH(DATEVALUE($B856&amp;"-01"),0)))-1)/4*100,"")</f>
        <v/>
      </c>
      <c r="W856" t="str">
        <f ca="1">IFERROR(((AVERAGEIFS(Feedback_360!$D$2:$D$1000,Feedback_360!$A$2:$A$1000,$A856,Feedback_360!$B$2:$B$1000,"&gt;="&amp;DATEVALUE($B856&amp;"-01"),Feedback_360!$B$2:$B$1000,"&lt;="&amp;EOMONTH(DATEVALUE($B856&amp;"-01"),0)))-1)/4*100,"")</f>
        <v/>
      </c>
      <c r="X856" t="str">
        <f ca="1">IFERROR(((AVERAGEIFS(Observacion_Directa!$D$2:$D$1000,Observacion_Directa!$A$2:$A$1000,$A856,Observacion_Directa!$B$2:$B$1000,"&gt;="&amp;DATEVALUE($B856&amp;"-01"),Observacion_Directa!$B$2:$B$1000,"&lt;="&amp;EOMONTH(DATEVALUE($B856&amp;"-01"),0)))-1)/4*100,"")</f>
        <v/>
      </c>
      <c r="Y856" t="e">
        <f t="shared" ca="1" si="27"/>
        <v>#DIV/0!</v>
      </c>
    </row>
    <row r="857" spans="12:25" x14ac:dyDescent="0.2">
      <c r="L857" t="str">
        <f t="shared" si="26"/>
        <v/>
      </c>
      <c r="M857" t="str">
        <f>IFERROR(AVERAGEIFS(Prod_5dias!$H$2:$H$1000,Prod_5dias!$A$2:$A$1000,$A857,Prod_5dias!$B$2:$B$1000,$B857),"")</f>
        <v/>
      </c>
      <c r="N857" t="str">
        <f>IF(M857="","",MIN(100,100*M857/Parametros!$B$7))</f>
        <v/>
      </c>
      <c r="O857" t="str">
        <f>IF(F857="","",IF(F857=0,100,MIN(100,100*Parametros!$B$3/F857)))</f>
        <v/>
      </c>
      <c r="P857" t="str">
        <f ca="1">IFERROR(((AVERAGEIFS(Observacion_Directa!$E$2:$E$1000,Observacion_Directa!$A$2:$A$1000,$A857,Observacion_Directa!$B$2:$B$1000,"&gt;="&amp;DATEVALUE($B857&amp;"-01"),Observacion_Directa!$B$2:$B$1000,"&lt;="&amp;EOMONTH(DATEVALUE($B857&amp;"-01"),0)))-1)/4*100,"")</f>
        <v/>
      </c>
      <c r="Q857" t="str">
        <f>IF(H857="","",MIN(100,100*H857/Parametros!$B$4))</f>
        <v/>
      </c>
      <c r="R857" t="str">
        <f>IF(I857="","",IF(I857=0,100,MIN(100,100*Parametros!$B$5/I857)))</f>
        <v/>
      </c>
      <c r="S857" t="str">
        <f>IF(J857="","",IF(J857=0,100,MIN(100,100*Parametros!$B$6/J857)))</f>
        <v/>
      </c>
      <c r="T857" t="str">
        <f>IF(L857="","",MIN(100,100*L857/Parametros!$B$7))</f>
        <v/>
      </c>
      <c r="U857" t="str">
        <f>IF(K857="","",MIN(100,100*K857/Parametros!$B$8))</f>
        <v/>
      </c>
      <c r="V857" t="str">
        <f ca="1">IFERROR(((AVERAGEIFS(Documentacion!$C$2:$C$1000,Documentacion!$A$2:$A$1000,$A857,Documentacion!$B$2:$B$1000,"&gt;="&amp;DATEVALUE($B857&amp;"-01"),Documentacion!$B$2:$B$1000,"&lt;="&amp;EOMONTH(DATEVALUE($B857&amp;"-01"),0)))-1)/4*100,"")</f>
        <v/>
      </c>
      <c r="W857" t="str">
        <f ca="1">IFERROR(((AVERAGEIFS(Feedback_360!$D$2:$D$1000,Feedback_360!$A$2:$A$1000,$A857,Feedback_360!$B$2:$B$1000,"&gt;="&amp;DATEVALUE($B857&amp;"-01"),Feedback_360!$B$2:$B$1000,"&lt;="&amp;EOMONTH(DATEVALUE($B857&amp;"-01"),0)))-1)/4*100,"")</f>
        <v/>
      </c>
      <c r="X857" t="str">
        <f ca="1">IFERROR(((AVERAGEIFS(Observacion_Directa!$D$2:$D$1000,Observacion_Directa!$A$2:$A$1000,$A857,Observacion_Directa!$B$2:$B$1000,"&gt;="&amp;DATEVALUE($B857&amp;"-01"),Observacion_Directa!$B$2:$B$1000,"&lt;="&amp;EOMONTH(DATEVALUE($B857&amp;"-01"),0)))-1)/4*100,"")</f>
        <v/>
      </c>
      <c r="Y857" t="e">
        <f t="shared" ca="1" si="27"/>
        <v>#DIV/0!</v>
      </c>
    </row>
    <row r="858" spans="12:25" x14ac:dyDescent="0.2">
      <c r="L858" t="str">
        <f t="shared" si="26"/>
        <v/>
      </c>
      <c r="M858" t="str">
        <f>IFERROR(AVERAGEIFS(Prod_5dias!$H$2:$H$1000,Prod_5dias!$A$2:$A$1000,$A858,Prod_5dias!$B$2:$B$1000,$B858),"")</f>
        <v/>
      </c>
      <c r="N858" t="str">
        <f>IF(M858="","",MIN(100,100*M858/Parametros!$B$7))</f>
        <v/>
      </c>
      <c r="O858" t="str">
        <f>IF(F858="","",IF(F858=0,100,MIN(100,100*Parametros!$B$3/F858)))</f>
        <v/>
      </c>
      <c r="P858" t="str">
        <f ca="1">IFERROR(((AVERAGEIFS(Observacion_Directa!$E$2:$E$1000,Observacion_Directa!$A$2:$A$1000,$A858,Observacion_Directa!$B$2:$B$1000,"&gt;="&amp;DATEVALUE($B858&amp;"-01"),Observacion_Directa!$B$2:$B$1000,"&lt;="&amp;EOMONTH(DATEVALUE($B858&amp;"-01"),0)))-1)/4*100,"")</f>
        <v/>
      </c>
      <c r="Q858" t="str">
        <f>IF(H858="","",MIN(100,100*H858/Parametros!$B$4))</f>
        <v/>
      </c>
      <c r="R858" t="str">
        <f>IF(I858="","",IF(I858=0,100,MIN(100,100*Parametros!$B$5/I858)))</f>
        <v/>
      </c>
      <c r="S858" t="str">
        <f>IF(J858="","",IF(J858=0,100,MIN(100,100*Parametros!$B$6/J858)))</f>
        <v/>
      </c>
      <c r="T858" t="str">
        <f>IF(L858="","",MIN(100,100*L858/Parametros!$B$7))</f>
        <v/>
      </c>
      <c r="U858" t="str">
        <f>IF(K858="","",MIN(100,100*K858/Parametros!$B$8))</f>
        <v/>
      </c>
      <c r="V858" t="str">
        <f ca="1">IFERROR(((AVERAGEIFS(Documentacion!$C$2:$C$1000,Documentacion!$A$2:$A$1000,$A858,Documentacion!$B$2:$B$1000,"&gt;="&amp;DATEVALUE($B858&amp;"-01"),Documentacion!$B$2:$B$1000,"&lt;="&amp;EOMONTH(DATEVALUE($B858&amp;"-01"),0)))-1)/4*100,"")</f>
        <v/>
      </c>
      <c r="W858" t="str">
        <f ca="1">IFERROR(((AVERAGEIFS(Feedback_360!$D$2:$D$1000,Feedback_360!$A$2:$A$1000,$A858,Feedback_360!$B$2:$B$1000,"&gt;="&amp;DATEVALUE($B858&amp;"-01"),Feedback_360!$B$2:$B$1000,"&lt;="&amp;EOMONTH(DATEVALUE($B858&amp;"-01"),0)))-1)/4*100,"")</f>
        <v/>
      </c>
      <c r="X858" t="str">
        <f ca="1">IFERROR(((AVERAGEIFS(Observacion_Directa!$D$2:$D$1000,Observacion_Directa!$A$2:$A$1000,$A858,Observacion_Directa!$B$2:$B$1000,"&gt;="&amp;DATEVALUE($B858&amp;"-01"),Observacion_Directa!$B$2:$B$1000,"&lt;="&amp;EOMONTH(DATEVALUE($B858&amp;"-01"),0)))-1)/4*100,"")</f>
        <v/>
      </c>
      <c r="Y858" t="e">
        <f t="shared" ca="1" si="27"/>
        <v>#DIV/0!</v>
      </c>
    </row>
    <row r="859" spans="12:25" x14ac:dyDescent="0.2">
      <c r="L859" t="str">
        <f t="shared" si="26"/>
        <v/>
      </c>
      <c r="M859" t="str">
        <f>IFERROR(AVERAGEIFS(Prod_5dias!$H$2:$H$1000,Prod_5dias!$A$2:$A$1000,$A859,Prod_5dias!$B$2:$B$1000,$B859),"")</f>
        <v/>
      </c>
      <c r="N859" t="str">
        <f>IF(M859="","",MIN(100,100*M859/Parametros!$B$7))</f>
        <v/>
      </c>
      <c r="O859" t="str">
        <f>IF(F859="","",IF(F859=0,100,MIN(100,100*Parametros!$B$3/F859)))</f>
        <v/>
      </c>
      <c r="P859" t="str">
        <f ca="1">IFERROR(((AVERAGEIFS(Observacion_Directa!$E$2:$E$1000,Observacion_Directa!$A$2:$A$1000,$A859,Observacion_Directa!$B$2:$B$1000,"&gt;="&amp;DATEVALUE($B859&amp;"-01"),Observacion_Directa!$B$2:$B$1000,"&lt;="&amp;EOMONTH(DATEVALUE($B859&amp;"-01"),0)))-1)/4*100,"")</f>
        <v/>
      </c>
      <c r="Q859" t="str">
        <f>IF(H859="","",MIN(100,100*H859/Parametros!$B$4))</f>
        <v/>
      </c>
      <c r="R859" t="str">
        <f>IF(I859="","",IF(I859=0,100,MIN(100,100*Parametros!$B$5/I859)))</f>
        <v/>
      </c>
      <c r="S859" t="str">
        <f>IF(J859="","",IF(J859=0,100,MIN(100,100*Parametros!$B$6/J859)))</f>
        <v/>
      </c>
      <c r="T859" t="str">
        <f>IF(L859="","",MIN(100,100*L859/Parametros!$B$7))</f>
        <v/>
      </c>
      <c r="U859" t="str">
        <f>IF(K859="","",MIN(100,100*K859/Parametros!$B$8))</f>
        <v/>
      </c>
      <c r="V859" t="str">
        <f ca="1">IFERROR(((AVERAGEIFS(Documentacion!$C$2:$C$1000,Documentacion!$A$2:$A$1000,$A859,Documentacion!$B$2:$B$1000,"&gt;="&amp;DATEVALUE($B859&amp;"-01"),Documentacion!$B$2:$B$1000,"&lt;="&amp;EOMONTH(DATEVALUE($B859&amp;"-01"),0)))-1)/4*100,"")</f>
        <v/>
      </c>
      <c r="W859" t="str">
        <f ca="1">IFERROR(((AVERAGEIFS(Feedback_360!$D$2:$D$1000,Feedback_360!$A$2:$A$1000,$A859,Feedback_360!$B$2:$B$1000,"&gt;="&amp;DATEVALUE($B859&amp;"-01"),Feedback_360!$B$2:$B$1000,"&lt;="&amp;EOMONTH(DATEVALUE($B859&amp;"-01"),0)))-1)/4*100,"")</f>
        <v/>
      </c>
      <c r="X859" t="str">
        <f ca="1">IFERROR(((AVERAGEIFS(Observacion_Directa!$D$2:$D$1000,Observacion_Directa!$A$2:$A$1000,$A859,Observacion_Directa!$B$2:$B$1000,"&gt;="&amp;DATEVALUE($B859&amp;"-01"),Observacion_Directa!$B$2:$B$1000,"&lt;="&amp;EOMONTH(DATEVALUE($B859&amp;"-01"),0)))-1)/4*100,"")</f>
        <v/>
      </c>
      <c r="Y859" t="e">
        <f t="shared" ca="1" si="27"/>
        <v>#DIV/0!</v>
      </c>
    </row>
    <row r="860" spans="12:25" x14ac:dyDescent="0.2">
      <c r="L860" t="str">
        <f t="shared" si="26"/>
        <v/>
      </c>
      <c r="M860" t="str">
        <f>IFERROR(AVERAGEIFS(Prod_5dias!$H$2:$H$1000,Prod_5dias!$A$2:$A$1000,$A860,Prod_5dias!$B$2:$B$1000,$B860),"")</f>
        <v/>
      </c>
      <c r="N860" t="str">
        <f>IF(M860="","",MIN(100,100*M860/Parametros!$B$7))</f>
        <v/>
      </c>
      <c r="O860" t="str">
        <f>IF(F860="","",IF(F860=0,100,MIN(100,100*Parametros!$B$3/F860)))</f>
        <v/>
      </c>
      <c r="P860" t="str">
        <f ca="1">IFERROR(((AVERAGEIFS(Observacion_Directa!$E$2:$E$1000,Observacion_Directa!$A$2:$A$1000,$A860,Observacion_Directa!$B$2:$B$1000,"&gt;="&amp;DATEVALUE($B860&amp;"-01"),Observacion_Directa!$B$2:$B$1000,"&lt;="&amp;EOMONTH(DATEVALUE($B860&amp;"-01"),0)))-1)/4*100,"")</f>
        <v/>
      </c>
      <c r="Q860" t="str">
        <f>IF(H860="","",MIN(100,100*H860/Parametros!$B$4))</f>
        <v/>
      </c>
      <c r="R860" t="str">
        <f>IF(I860="","",IF(I860=0,100,MIN(100,100*Parametros!$B$5/I860)))</f>
        <v/>
      </c>
      <c r="S860" t="str">
        <f>IF(J860="","",IF(J860=0,100,MIN(100,100*Parametros!$B$6/J860)))</f>
        <v/>
      </c>
      <c r="T860" t="str">
        <f>IF(L860="","",MIN(100,100*L860/Parametros!$B$7))</f>
        <v/>
      </c>
      <c r="U860" t="str">
        <f>IF(K860="","",MIN(100,100*K860/Parametros!$B$8))</f>
        <v/>
      </c>
      <c r="V860" t="str">
        <f ca="1">IFERROR(((AVERAGEIFS(Documentacion!$C$2:$C$1000,Documentacion!$A$2:$A$1000,$A860,Documentacion!$B$2:$B$1000,"&gt;="&amp;DATEVALUE($B860&amp;"-01"),Documentacion!$B$2:$B$1000,"&lt;="&amp;EOMONTH(DATEVALUE($B860&amp;"-01"),0)))-1)/4*100,"")</f>
        <v/>
      </c>
      <c r="W860" t="str">
        <f ca="1">IFERROR(((AVERAGEIFS(Feedback_360!$D$2:$D$1000,Feedback_360!$A$2:$A$1000,$A860,Feedback_360!$B$2:$B$1000,"&gt;="&amp;DATEVALUE($B860&amp;"-01"),Feedback_360!$B$2:$B$1000,"&lt;="&amp;EOMONTH(DATEVALUE($B860&amp;"-01"),0)))-1)/4*100,"")</f>
        <v/>
      </c>
      <c r="X860" t="str">
        <f ca="1">IFERROR(((AVERAGEIFS(Observacion_Directa!$D$2:$D$1000,Observacion_Directa!$A$2:$A$1000,$A860,Observacion_Directa!$B$2:$B$1000,"&gt;="&amp;DATEVALUE($B860&amp;"-01"),Observacion_Directa!$B$2:$B$1000,"&lt;="&amp;EOMONTH(DATEVALUE($B860&amp;"-01"),0)))-1)/4*100,"")</f>
        <v/>
      </c>
      <c r="Y860" t="e">
        <f t="shared" ca="1" si="27"/>
        <v>#DIV/0!</v>
      </c>
    </row>
    <row r="861" spans="12:25" x14ac:dyDescent="0.2">
      <c r="L861" t="str">
        <f t="shared" si="26"/>
        <v/>
      </c>
      <c r="M861" t="str">
        <f>IFERROR(AVERAGEIFS(Prod_5dias!$H$2:$H$1000,Prod_5dias!$A$2:$A$1000,$A861,Prod_5dias!$B$2:$B$1000,$B861),"")</f>
        <v/>
      </c>
      <c r="N861" t="str">
        <f>IF(M861="","",MIN(100,100*M861/Parametros!$B$7))</f>
        <v/>
      </c>
      <c r="O861" t="str">
        <f>IF(F861="","",IF(F861=0,100,MIN(100,100*Parametros!$B$3/F861)))</f>
        <v/>
      </c>
      <c r="P861" t="str">
        <f ca="1">IFERROR(((AVERAGEIFS(Observacion_Directa!$E$2:$E$1000,Observacion_Directa!$A$2:$A$1000,$A861,Observacion_Directa!$B$2:$B$1000,"&gt;="&amp;DATEVALUE($B861&amp;"-01"),Observacion_Directa!$B$2:$B$1000,"&lt;="&amp;EOMONTH(DATEVALUE($B861&amp;"-01"),0)))-1)/4*100,"")</f>
        <v/>
      </c>
      <c r="Q861" t="str">
        <f>IF(H861="","",MIN(100,100*H861/Parametros!$B$4))</f>
        <v/>
      </c>
      <c r="R861" t="str">
        <f>IF(I861="","",IF(I861=0,100,MIN(100,100*Parametros!$B$5/I861)))</f>
        <v/>
      </c>
      <c r="S861" t="str">
        <f>IF(J861="","",IF(J861=0,100,MIN(100,100*Parametros!$B$6/J861)))</f>
        <v/>
      </c>
      <c r="T861" t="str">
        <f>IF(L861="","",MIN(100,100*L861/Parametros!$B$7))</f>
        <v/>
      </c>
      <c r="U861" t="str">
        <f>IF(K861="","",MIN(100,100*K861/Parametros!$B$8))</f>
        <v/>
      </c>
      <c r="V861" t="str">
        <f ca="1">IFERROR(((AVERAGEIFS(Documentacion!$C$2:$C$1000,Documentacion!$A$2:$A$1000,$A861,Documentacion!$B$2:$B$1000,"&gt;="&amp;DATEVALUE($B861&amp;"-01"),Documentacion!$B$2:$B$1000,"&lt;="&amp;EOMONTH(DATEVALUE($B861&amp;"-01"),0)))-1)/4*100,"")</f>
        <v/>
      </c>
      <c r="W861" t="str">
        <f ca="1">IFERROR(((AVERAGEIFS(Feedback_360!$D$2:$D$1000,Feedback_360!$A$2:$A$1000,$A861,Feedback_360!$B$2:$B$1000,"&gt;="&amp;DATEVALUE($B861&amp;"-01"),Feedback_360!$B$2:$B$1000,"&lt;="&amp;EOMONTH(DATEVALUE($B861&amp;"-01"),0)))-1)/4*100,"")</f>
        <v/>
      </c>
      <c r="X861" t="str">
        <f ca="1">IFERROR(((AVERAGEIFS(Observacion_Directa!$D$2:$D$1000,Observacion_Directa!$A$2:$A$1000,$A861,Observacion_Directa!$B$2:$B$1000,"&gt;="&amp;DATEVALUE($B861&amp;"-01"),Observacion_Directa!$B$2:$B$1000,"&lt;="&amp;EOMONTH(DATEVALUE($B861&amp;"-01"),0)))-1)/4*100,"")</f>
        <v/>
      </c>
      <c r="Y861" t="e">
        <f t="shared" ca="1" si="27"/>
        <v>#DIV/0!</v>
      </c>
    </row>
    <row r="862" spans="12:25" x14ac:dyDescent="0.2">
      <c r="L862" t="str">
        <f t="shared" si="26"/>
        <v/>
      </c>
      <c r="M862" t="str">
        <f>IFERROR(AVERAGEIFS(Prod_5dias!$H$2:$H$1000,Prod_5dias!$A$2:$A$1000,$A862,Prod_5dias!$B$2:$B$1000,$B862),"")</f>
        <v/>
      </c>
      <c r="N862" t="str">
        <f>IF(M862="","",MIN(100,100*M862/Parametros!$B$7))</f>
        <v/>
      </c>
      <c r="O862" t="str">
        <f>IF(F862="","",IF(F862=0,100,MIN(100,100*Parametros!$B$3/F862)))</f>
        <v/>
      </c>
      <c r="P862" t="str">
        <f ca="1">IFERROR(((AVERAGEIFS(Observacion_Directa!$E$2:$E$1000,Observacion_Directa!$A$2:$A$1000,$A862,Observacion_Directa!$B$2:$B$1000,"&gt;="&amp;DATEVALUE($B862&amp;"-01"),Observacion_Directa!$B$2:$B$1000,"&lt;="&amp;EOMONTH(DATEVALUE($B862&amp;"-01"),0)))-1)/4*100,"")</f>
        <v/>
      </c>
      <c r="Q862" t="str">
        <f>IF(H862="","",MIN(100,100*H862/Parametros!$B$4))</f>
        <v/>
      </c>
      <c r="R862" t="str">
        <f>IF(I862="","",IF(I862=0,100,MIN(100,100*Parametros!$B$5/I862)))</f>
        <v/>
      </c>
      <c r="S862" t="str">
        <f>IF(J862="","",IF(J862=0,100,MIN(100,100*Parametros!$B$6/J862)))</f>
        <v/>
      </c>
      <c r="T862" t="str">
        <f>IF(L862="","",MIN(100,100*L862/Parametros!$B$7))</f>
        <v/>
      </c>
      <c r="U862" t="str">
        <f>IF(K862="","",MIN(100,100*K862/Parametros!$B$8))</f>
        <v/>
      </c>
      <c r="V862" t="str">
        <f ca="1">IFERROR(((AVERAGEIFS(Documentacion!$C$2:$C$1000,Documentacion!$A$2:$A$1000,$A862,Documentacion!$B$2:$B$1000,"&gt;="&amp;DATEVALUE($B862&amp;"-01"),Documentacion!$B$2:$B$1000,"&lt;="&amp;EOMONTH(DATEVALUE($B862&amp;"-01"),0)))-1)/4*100,"")</f>
        <v/>
      </c>
      <c r="W862" t="str">
        <f ca="1">IFERROR(((AVERAGEIFS(Feedback_360!$D$2:$D$1000,Feedback_360!$A$2:$A$1000,$A862,Feedback_360!$B$2:$B$1000,"&gt;="&amp;DATEVALUE($B862&amp;"-01"),Feedback_360!$B$2:$B$1000,"&lt;="&amp;EOMONTH(DATEVALUE($B862&amp;"-01"),0)))-1)/4*100,"")</f>
        <v/>
      </c>
      <c r="X862" t="str">
        <f ca="1">IFERROR(((AVERAGEIFS(Observacion_Directa!$D$2:$D$1000,Observacion_Directa!$A$2:$A$1000,$A862,Observacion_Directa!$B$2:$B$1000,"&gt;="&amp;DATEVALUE($B862&amp;"-01"),Observacion_Directa!$B$2:$B$1000,"&lt;="&amp;EOMONTH(DATEVALUE($B862&amp;"-01"),0)))-1)/4*100,"")</f>
        <v/>
      </c>
      <c r="Y862" t="e">
        <f t="shared" ca="1" si="27"/>
        <v>#DIV/0!</v>
      </c>
    </row>
    <row r="863" spans="12:25" x14ac:dyDescent="0.2">
      <c r="L863" t="str">
        <f t="shared" si="26"/>
        <v/>
      </c>
      <c r="M863" t="str">
        <f>IFERROR(AVERAGEIFS(Prod_5dias!$H$2:$H$1000,Prod_5dias!$A$2:$A$1000,$A863,Prod_5dias!$B$2:$B$1000,$B863),"")</f>
        <v/>
      </c>
      <c r="N863" t="str">
        <f>IF(M863="","",MIN(100,100*M863/Parametros!$B$7))</f>
        <v/>
      </c>
      <c r="O863" t="str">
        <f>IF(F863="","",IF(F863=0,100,MIN(100,100*Parametros!$B$3/F863)))</f>
        <v/>
      </c>
      <c r="P863" t="str">
        <f ca="1">IFERROR(((AVERAGEIFS(Observacion_Directa!$E$2:$E$1000,Observacion_Directa!$A$2:$A$1000,$A863,Observacion_Directa!$B$2:$B$1000,"&gt;="&amp;DATEVALUE($B863&amp;"-01"),Observacion_Directa!$B$2:$B$1000,"&lt;="&amp;EOMONTH(DATEVALUE($B863&amp;"-01"),0)))-1)/4*100,"")</f>
        <v/>
      </c>
      <c r="Q863" t="str">
        <f>IF(H863="","",MIN(100,100*H863/Parametros!$B$4))</f>
        <v/>
      </c>
      <c r="R863" t="str">
        <f>IF(I863="","",IF(I863=0,100,MIN(100,100*Parametros!$B$5/I863)))</f>
        <v/>
      </c>
      <c r="S863" t="str">
        <f>IF(J863="","",IF(J863=0,100,MIN(100,100*Parametros!$B$6/J863)))</f>
        <v/>
      </c>
      <c r="T863" t="str">
        <f>IF(L863="","",MIN(100,100*L863/Parametros!$B$7))</f>
        <v/>
      </c>
      <c r="U863" t="str">
        <f>IF(K863="","",MIN(100,100*K863/Parametros!$B$8))</f>
        <v/>
      </c>
      <c r="V863" t="str">
        <f ca="1">IFERROR(((AVERAGEIFS(Documentacion!$C$2:$C$1000,Documentacion!$A$2:$A$1000,$A863,Documentacion!$B$2:$B$1000,"&gt;="&amp;DATEVALUE($B863&amp;"-01"),Documentacion!$B$2:$B$1000,"&lt;="&amp;EOMONTH(DATEVALUE($B863&amp;"-01"),0)))-1)/4*100,"")</f>
        <v/>
      </c>
      <c r="W863" t="str">
        <f ca="1">IFERROR(((AVERAGEIFS(Feedback_360!$D$2:$D$1000,Feedback_360!$A$2:$A$1000,$A863,Feedback_360!$B$2:$B$1000,"&gt;="&amp;DATEVALUE($B863&amp;"-01"),Feedback_360!$B$2:$B$1000,"&lt;="&amp;EOMONTH(DATEVALUE($B863&amp;"-01"),0)))-1)/4*100,"")</f>
        <v/>
      </c>
      <c r="X863" t="str">
        <f ca="1">IFERROR(((AVERAGEIFS(Observacion_Directa!$D$2:$D$1000,Observacion_Directa!$A$2:$A$1000,$A863,Observacion_Directa!$B$2:$B$1000,"&gt;="&amp;DATEVALUE($B863&amp;"-01"),Observacion_Directa!$B$2:$B$1000,"&lt;="&amp;EOMONTH(DATEVALUE($B863&amp;"-01"),0)))-1)/4*100,"")</f>
        <v/>
      </c>
      <c r="Y863" t="e">
        <f t="shared" ca="1" si="27"/>
        <v>#DIV/0!</v>
      </c>
    </row>
    <row r="864" spans="12:25" x14ac:dyDescent="0.2">
      <c r="L864" t="str">
        <f t="shared" si="26"/>
        <v/>
      </c>
      <c r="M864" t="str">
        <f>IFERROR(AVERAGEIFS(Prod_5dias!$H$2:$H$1000,Prod_5dias!$A$2:$A$1000,$A864,Prod_5dias!$B$2:$B$1000,$B864),"")</f>
        <v/>
      </c>
      <c r="N864" t="str">
        <f>IF(M864="","",MIN(100,100*M864/Parametros!$B$7))</f>
        <v/>
      </c>
      <c r="O864" t="str">
        <f>IF(F864="","",IF(F864=0,100,MIN(100,100*Parametros!$B$3/F864)))</f>
        <v/>
      </c>
      <c r="P864" t="str">
        <f ca="1">IFERROR(((AVERAGEIFS(Observacion_Directa!$E$2:$E$1000,Observacion_Directa!$A$2:$A$1000,$A864,Observacion_Directa!$B$2:$B$1000,"&gt;="&amp;DATEVALUE($B864&amp;"-01"),Observacion_Directa!$B$2:$B$1000,"&lt;="&amp;EOMONTH(DATEVALUE($B864&amp;"-01"),0)))-1)/4*100,"")</f>
        <v/>
      </c>
      <c r="Q864" t="str">
        <f>IF(H864="","",MIN(100,100*H864/Parametros!$B$4))</f>
        <v/>
      </c>
      <c r="R864" t="str">
        <f>IF(I864="","",IF(I864=0,100,MIN(100,100*Parametros!$B$5/I864)))</f>
        <v/>
      </c>
      <c r="S864" t="str">
        <f>IF(J864="","",IF(J864=0,100,MIN(100,100*Parametros!$B$6/J864)))</f>
        <v/>
      </c>
      <c r="T864" t="str">
        <f>IF(L864="","",MIN(100,100*L864/Parametros!$B$7))</f>
        <v/>
      </c>
      <c r="U864" t="str">
        <f>IF(K864="","",MIN(100,100*K864/Parametros!$B$8))</f>
        <v/>
      </c>
      <c r="V864" t="str">
        <f ca="1">IFERROR(((AVERAGEIFS(Documentacion!$C$2:$C$1000,Documentacion!$A$2:$A$1000,$A864,Documentacion!$B$2:$B$1000,"&gt;="&amp;DATEVALUE($B864&amp;"-01"),Documentacion!$B$2:$B$1000,"&lt;="&amp;EOMONTH(DATEVALUE($B864&amp;"-01"),0)))-1)/4*100,"")</f>
        <v/>
      </c>
      <c r="W864" t="str">
        <f ca="1">IFERROR(((AVERAGEIFS(Feedback_360!$D$2:$D$1000,Feedback_360!$A$2:$A$1000,$A864,Feedback_360!$B$2:$B$1000,"&gt;="&amp;DATEVALUE($B864&amp;"-01"),Feedback_360!$B$2:$B$1000,"&lt;="&amp;EOMONTH(DATEVALUE($B864&amp;"-01"),0)))-1)/4*100,"")</f>
        <v/>
      </c>
      <c r="X864" t="str">
        <f ca="1">IFERROR(((AVERAGEIFS(Observacion_Directa!$D$2:$D$1000,Observacion_Directa!$A$2:$A$1000,$A864,Observacion_Directa!$B$2:$B$1000,"&gt;="&amp;DATEVALUE($B864&amp;"-01"),Observacion_Directa!$B$2:$B$1000,"&lt;="&amp;EOMONTH(DATEVALUE($B864&amp;"-01"),0)))-1)/4*100,"")</f>
        <v/>
      </c>
      <c r="Y864" t="e">
        <f t="shared" ca="1" si="27"/>
        <v>#DIV/0!</v>
      </c>
    </row>
    <row r="865" spans="12:25" x14ac:dyDescent="0.2">
      <c r="L865" t="str">
        <f t="shared" si="26"/>
        <v/>
      </c>
      <c r="M865" t="str">
        <f>IFERROR(AVERAGEIFS(Prod_5dias!$H$2:$H$1000,Prod_5dias!$A$2:$A$1000,$A865,Prod_5dias!$B$2:$B$1000,$B865),"")</f>
        <v/>
      </c>
      <c r="N865" t="str">
        <f>IF(M865="","",MIN(100,100*M865/Parametros!$B$7))</f>
        <v/>
      </c>
      <c r="O865" t="str">
        <f>IF(F865="","",IF(F865=0,100,MIN(100,100*Parametros!$B$3/F865)))</f>
        <v/>
      </c>
      <c r="P865" t="str">
        <f ca="1">IFERROR(((AVERAGEIFS(Observacion_Directa!$E$2:$E$1000,Observacion_Directa!$A$2:$A$1000,$A865,Observacion_Directa!$B$2:$B$1000,"&gt;="&amp;DATEVALUE($B865&amp;"-01"),Observacion_Directa!$B$2:$B$1000,"&lt;="&amp;EOMONTH(DATEVALUE($B865&amp;"-01"),0)))-1)/4*100,"")</f>
        <v/>
      </c>
      <c r="Q865" t="str">
        <f>IF(H865="","",MIN(100,100*H865/Parametros!$B$4))</f>
        <v/>
      </c>
      <c r="R865" t="str">
        <f>IF(I865="","",IF(I865=0,100,MIN(100,100*Parametros!$B$5/I865)))</f>
        <v/>
      </c>
      <c r="S865" t="str">
        <f>IF(J865="","",IF(J865=0,100,MIN(100,100*Parametros!$B$6/J865)))</f>
        <v/>
      </c>
      <c r="T865" t="str">
        <f>IF(L865="","",MIN(100,100*L865/Parametros!$B$7))</f>
        <v/>
      </c>
      <c r="U865" t="str">
        <f>IF(K865="","",MIN(100,100*K865/Parametros!$B$8))</f>
        <v/>
      </c>
      <c r="V865" t="str">
        <f ca="1">IFERROR(((AVERAGEIFS(Documentacion!$C$2:$C$1000,Documentacion!$A$2:$A$1000,$A865,Documentacion!$B$2:$B$1000,"&gt;="&amp;DATEVALUE($B865&amp;"-01"),Documentacion!$B$2:$B$1000,"&lt;="&amp;EOMONTH(DATEVALUE($B865&amp;"-01"),0)))-1)/4*100,"")</f>
        <v/>
      </c>
      <c r="W865" t="str">
        <f ca="1">IFERROR(((AVERAGEIFS(Feedback_360!$D$2:$D$1000,Feedback_360!$A$2:$A$1000,$A865,Feedback_360!$B$2:$B$1000,"&gt;="&amp;DATEVALUE($B865&amp;"-01"),Feedback_360!$B$2:$B$1000,"&lt;="&amp;EOMONTH(DATEVALUE($B865&amp;"-01"),0)))-1)/4*100,"")</f>
        <v/>
      </c>
      <c r="X865" t="str">
        <f ca="1">IFERROR(((AVERAGEIFS(Observacion_Directa!$D$2:$D$1000,Observacion_Directa!$A$2:$A$1000,$A865,Observacion_Directa!$B$2:$B$1000,"&gt;="&amp;DATEVALUE($B865&amp;"-01"),Observacion_Directa!$B$2:$B$1000,"&lt;="&amp;EOMONTH(DATEVALUE($B865&amp;"-01"),0)))-1)/4*100,"")</f>
        <v/>
      </c>
      <c r="Y865" t="e">
        <f t="shared" ca="1" si="27"/>
        <v>#DIV/0!</v>
      </c>
    </row>
    <row r="866" spans="12:25" x14ac:dyDescent="0.2">
      <c r="L866" t="str">
        <f t="shared" si="26"/>
        <v/>
      </c>
      <c r="M866" t="str">
        <f>IFERROR(AVERAGEIFS(Prod_5dias!$H$2:$H$1000,Prod_5dias!$A$2:$A$1000,$A866,Prod_5dias!$B$2:$B$1000,$B866),"")</f>
        <v/>
      </c>
      <c r="N866" t="str">
        <f>IF(M866="","",MIN(100,100*M866/Parametros!$B$7))</f>
        <v/>
      </c>
      <c r="O866" t="str">
        <f>IF(F866="","",IF(F866=0,100,MIN(100,100*Parametros!$B$3/F866)))</f>
        <v/>
      </c>
      <c r="P866" t="str">
        <f ca="1">IFERROR(((AVERAGEIFS(Observacion_Directa!$E$2:$E$1000,Observacion_Directa!$A$2:$A$1000,$A866,Observacion_Directa!$B$2:$B$1000,"&gt;="&amp;DATEVALUE($B866&amp;"-01"),Observacion_Directa!$B$2:$B$1000,"&lt;="&amp;EOMONTH(DATEVALUE($B866&amp;"-01"),0)))-1)/4*100,"")</f>
        <v/>
      </c>
      <c r="Q866" t="str">
        <f>IF(H866="","",MIN(100,100*H866/Parametros!$B$4))</f>
        <v/>
      </c>
      <c r="R866" t="str">
        <f>IF(I866="","",IF(I866=0,100,MIN(100,100*Parametros!$B$5/I866)))</f>
        <v/>
      </c>
      <c r="S866" t="str">
        <f>IF(J866="","",IF(J866=0,100,MIN(100,100*Parametros!$B$6/J866)))</f>
        <v/>
      </c>
      <c r="T866" t="str">
        <f>IF(L866="","",MIN(100,100*L866/Parametros!$B$7))</f>
        <v/>
      </c>
      <c r="U866" t="str">
        <f>IF(K866="","",MIN(100,100*K866/Parametros!$B$8))</f>
        <v/>
      </c>
      <c r="V866" t="str">
        <f ca="1">IFERROR(((AVERAGEIFS(Documentacion!$C$2:$C$1000,Documentacion!$A$2:$A$1000,$A866,Documentacion!$B$2:$B$1000,"&gt;="&amp;DATEVALUE($B866&amp;"-01"),Documentacion!$B$2:$B$1000,"&lt;="&amp;EOMONTH(DATEVALUE($B866&amp;"-01"),0)))-1)/4*100,"")</f>
        <v/>
      </c>
      <c r="W866" t="str">
        <f ca="1">IFERROR(((AVERAGEIFS(Feedback_360!$D$2:$D$1000,Feedback_360!$A$2:$A$1000,$A866,Feedback_360!$B$2:$B$1000,"&gt;="&amp;DATEVALUE($B866&amp;"-01"),Feedback_360!$B$2:$B$1000,"&lt;="&amp;EOMONTH(DATEVALUE($B866&amp;"-01"),0)))-1)/4*100,"")</f>
        <v/>
      </c>
      <c r="X866" t="str">
        <f ca="1">IFERROR(((AVERAGEIFS(Observacion_Directa!$D$2:$D$1000,Observacion_Directa!$A$2:$A$1000,$A866,Observacion_Directa!$B$2:$B$1000,"&gt;="&amp;DATEVALUE($B866&amp;"-01"),Observacion_Directa!$B$2:$B$1000,"&lt;="&amp;EOMONTH(DATEVALUE($B866&amp;"-01"),0)))-1)/4*100,"")</f>
        <v/>
      </c>
      <c r="Y866" t="e">
        <f t="shared" ca="1" si="27"/>
        <v>#DIV/0!</v>
      </c>
    </row>
    <row r="867" spans="12:25" x14ac:dyDescent="0.2">
      <c r="L867" t="str">
        <f t="shared" si="26"/>
        <v/>
      </c>
      <c r="M867" t="str">
        <f>IFERROR(AVERAGEIFS(Prod_5dias!$H$2:$H$1000,Prod_5dias!$A$2:$A$1000,$A867,Prod_5dias!$B$2:$B$1000,$B867),"")</f>
        <v/>
      </c>
      <c r="N867" t="str">
        <f>IF(M867="","",MIN(100,100*M867/Parametros!$B$7))</f>
        <v/>
      </c>
      <c r="O867" t="str">
        <f>IF(F867="","",IF(F867=0,100,MIN(100,100*Parametros!$B$3/F867)))</f>
        <v/>
      </c>
      <c r="P867" t="str">
        <f ca="1">IFERROR(((AVERAGEIFS(Observacion_Directa!$E$2:$E$1000,Observacion_Directa!$A$2:$A$1000,$A867,Observacion_Directa!$B$2:$B$1000,"&gt;="&amp;DATEVALUE($B867&amp;"-01"),Observacion_Directa!$B$2:$B$1000,"&lt;="&amp;EOMONTH(DATEVALUE($B867&amp;"-01"),0)))-1)/4*100,"")</f>
        <v/>
      </c>
      <c r="Q867" t="str">
        <f>IF(H867="","",MIN(100,100*H867/Parametros!$B$4))</f>
        <v/>
      </c>
      <c r="R867" t="str">
        <f>IF(I867="","",IF(I867=0,100,MIN(100,100*Parametros!$B$5/I867)))</f>
        <v/>
      </c>
      <c r="S867" t="str">
        <f>IF(J867="","",IF(J867=0,100,MIN(100,100*Parametros!$B$6/J867)))</f>
        <v/>
      </c>
      <c r="T867" t="str">
        <f>IF(L867="","",MIN(100,100*L867/Parametros!$B$7))</f>
        <v/>
      </c>
      <c r="U867" t="str">
        <f>IF(K867="","",MIN(100,100*K867/Parametros!$B$8))</f>
        <v/>
      </c>
      <c r="V867" t="str">
        <f ca="1">IFERROR(((AVERAGEIFS(Documentacion!$C$2:$C$1000,Documentacion!$A$2:$A$1000,$A867,Documentacion!$B$2:$B$1000,"&gt;="&amp;DATEVALUE($B867&amp;"-01"),Documentacion!$B$2:$B$1000,"&lt;="&amp;EOMONTH(DATEVALUE($B867&amp;"-01"),0)))-1)/4*100,"")</f>
        <v/>
      </c>
      <c r="W867" t="str">
        <f ca="1">IFERROR(((AVERAGEIFS(Feedback_360!$D$2:$D$1000,Feedback_360!$A$2:$A$1000,$A867,Feedback_360!$B$2:$B$1000,"&gt;="&amp;DATEVALUE($B867&amp;"-01"),Feedback_360!$B$2:$B$1000,"&lt;="&amp;EOMONTH(DATEVALUE($B867&amp;"-01"),0)))-1)/4*100,"")</f>
        <v/>
      </c>
      <c r="X867" t="str">
        <f ca="1">IFERROR(((AVERAGEIFS(Observacion_Directa!$D$2:$D$1000,Observacion_Directa!$A$2:$A$1000,$A867,Observacion_Directa!$B$2:$B$1000,"&gt;="&amp;DATEVALUE($B867&amp;"-01"),Observacion_Directa!$B$2:$B$1000,"&lt;="&amp;EOMONTH(DATEVALUE($B867&amp;"-01"),0)))-1)/4*100,"")</f>
        <v/>
      </c>
      <c r="Y867" t="e">
        <f t="shared" ca="1" si="27"/>
        <v>#DIV/0!</v>
      </c>
    </row>
    <row r="868" spans="12:25" x14ac:dyDescent="0.2">
      <c r="L868" t="str">
        <f t="shared" si="26"/>
        <v/>
      </c>
      <c r="M868" t="str">
        <f>IFERROR(AVERAGEIFS(Prod_5dias!$H$2:$H$1000,Prod_5dias!$A$2:$A$1000,$A868,Prod_5dias!$B$2:$B$1000,$B868),"")</f>
        <v/>
      </c>
      <c r="N868" t="str">
        <f>IF(M868="","",MIN(100,100*M868/Parametros!$B$7))</f>
        <v/>
      </c>
      <c r="O868" t="str">
        <f>IF(F868="","",IF(F868=0,100,MIN(100,100*Parametros!$B$3/F868)))</f>
        <v/>
      </c>
      <c r="P868" t="str">
        <f ca="1">IFERROR(((AVERAGEIFS(Observacion_Directa!$E$2:$E$1000,Observacion_Directa!$A$2:$A$1000,$A868,Observacion_Directa!$B$2:$B$1000,"&gt;="&amp;DATEVALUE($B868&amp;"-01"),Observacion_Directa!$B$2:$B$1000,"&lt;="&amp;EOMONTH(DATEVALUE($B868&amp;"-01"),0)))-1)/4*100,"")</f>
        <v/>
      </c>
      <c r="Q868" t="str">
        <f>IF(H868="","",MIN(100,100*H868/Parametros!$B$4))</f>
        <v/>
      </c>
      <c r="R868" t="str">
        <f>IF(I868="","",IF(I868=0,100,MIN(100,100*Parametros!$B$5/I868)))</f>
        <v/>
      </c>
      <c r="S868" t="str">
        <f>IF(J868="","",IF(J868=0,100,MIN(100,100*Parametros!$B$6/J868)))</f>
        <v/>
      </c>
      <c r="T868" t="str">
        <f>IF(L868="","",MIN(100,100*L868/Parametros!$B$7))</f>
        <v/>
      </c>
      <c r="U868" t="str">
        <f>IF(K868="","",MIN(100,100*K868/Parametros!$B$8))</f>
        <v/>
      </c>
      <c r="V868" t="str">
        <f ca="1">IFERROR(((AVERAGEIFS(Documentacion!$C$2:$C$1000,Documentacion!$A$2:$A$1000,$A868,Documentacion!$B$2:$B$1000,"&gt;="&amp;DATEVALUE($B868&amp;"-01"),Documentacion!$B$2:$B$1000,"&lt;="&amp;EOMONTH(DATEVALUE($B868&amp;"-01"),0)))-1)/4*100,"")</f>
        <v/>
      </c>
      <c r="W868" t="str">
        <f ca="1">IFERROR(((AVERAGEIFS(Feedback_360!$D$2:$D$1000,Feedback_360!$A$2:$A$1000,$A868,Feedback_360!$B$2:$B$1000,"&gt;="&amp;DATEVALUE($B868&amp;"-01"),Feedback_360!$B$2:$B$1000,"&lt;="&amp;EOMONTH(DATEVALUE($B868&amp;"-01"),0)))-1)/4*100,"")</f>
        <v/>
      </c>
      <c r="X868" t="str">
        <f ca="1">IFERROR(((AVERAGEIFS(Observacion_Directa!$D$2:$D$1000,Observacion_Directa!$A$2:$A$1000,$A868,Observacion_Directa!$B$2:$B$1000,"&gt;="&amp;DATEVALUE($B868&amp;"-01"),Observacion_Directa!$B$2:$B$1000,"&lt;="&amp;EOMONTH(DATEVALUE($B868&amp;"-01"),0)))-1)/4*100,"")</f>
        <v/>
      </c>
      <c r="Y868" t="e">
        <f t="shared" ca="1" si="27"/>
        <v>#DIV/0!</v>
      </c>
    </row>
    <row r="869" spans="12:25" x14ac:dyDescent="0.2">
      <c r="L869" t="str">
        <f t="shared" si="26"/>
        <v/>
      </c>
      <c r="M869" t="str">
        <f>IFERROR(AVERAGEIFS(Prod_5dias!$H$2:$H$1000,Prod_5dias!$A$2:$A$1000,$A869,Prod_5dias!$B$2:$B$1000,$B869),"")</f>
        <v/>
      </c>
      <c r="N869" t="str">
        <f>IF(M869="","",MIN(100,100*M869/Parametros!$B$7))</f>
        <v/>
      </c>
      <c r="O869" t="str">
        <f>IF(F869="","",IF(F869=0,100,MIN(100,100*Parametros!$B$3/F869)))</f>
        <v/>
      </c>
      <c r="P869" t="str">
        <f ca="1">IFERROR(((AVERAGEIFS(Observacion_Directa!$E$2:$E$1000,Observacion_Directa!$A$2:$A$1000,$A869,Observacion_Directa!$B$2:$B$1000,"&gt;="&amp;DATEVALUE($B869&amp;"-01"),Observacion_Directa!$B$2:$B$1000,"&lt;="&amp;EOMONTH(DATEVALUE($B869&amp;"-01"),0)))-1)/4*100,"")</f>
        <v/>
      </c>
      <c r="Q869" t="str">
        <f>IF(H869="","",MIN(100,100*H869/Parametros!$B$4))</f>
        <v/>
      </c>
      <c r="R869" t="str">
        <f>IF(I869="","",IF(I869=0,100,MIN(100,100*Parametros!$B$5/I869)))</f>
        <v/>
      </c>
      <c r="S869" t="str">
        <f>IF(J869="","",IF(J869=0,100,MIN(100,100*Parametros!$B$6/J869)))</f>
        <v/>
      </c>
      <c r="T869" t="str">
        <f>IF(L869="","",MIN(100,100*L869/Parametros!$B$7))</f>
        <v/>
      </c>
      <c r="U869" t="str">
        <f>IF(K869="","",MIN(100,100*K869/Parametros!$B$8))</f>
        <v/>
      </c>
      <c r="V869" t="str">
        <f ca="1">IFERROR(((AVERAGEIFS(Documentacion!$C$2:$C$1000,Documentacion!$A$2:$A$1000,$A869,Documentacion!$B$2:$B$1000,"&gt;="&amp;DATEVALUE($B869&amp;"-01"),Documentacion!$B$2:$B$1000,"&lt;="&amp;EOMONTH(DATEVALUE($B869&amp;"-01"),0)))-1)/4*100,"")</f>
        <v/>
      </c>
      <c r="W869" t="str">
        <f ca="1">IFERROR(((AVERAGEIFS(Feedback_360!$D$2:$D$1000,Feedback_360!$A$2:$A$1000,$A869,Feedback_360!$B$2:$B$1000,"&gt;="&amp;DATEVALUE($B869&amp;"-01"),Feedback_360!$B$2:$B$1000,"&lt;="&amp;EOMONTH(DATEVALUE($B869&amp;"-01"),0)))-1)/4*100,"")</f>
        <v/>
      </c>
      <c r="X869" t="str">
        <f ca="1">IFERROR(((AVERAGEIFS(Observacion_Directa!$D$2:$D$1000,Observacion_Directa!$A$2:$A$1000,$A869,Observacion_Directa!$B$2:$B$1000,"&gt;="&amp;DATEVALUE($B869&amp;"-01"),Observacion_Directa!$B$2:$B$1000,"&lt;="&amp;EOMONTH(DATEVALUE($B869&amp;"-01"),0)))-1)/4*100,"")</f>
        <v/>
      </c>
      <c r="Y869" t="e">
        <f t="shared" ca="1" si="27"/>
        <v>#DIV/0!</v>
      </c>
    </row>
    <row r="870" spans="12:25" x14ac:dyDescent="0.2">
      <c r="L870" t="str">
        <f t="shared" si="26"/>
        <v/>
      </c>
      <c r="M870" t="str">
        <f>IFERROR(AVERAGEIFS(Prod_5dias!$H$2:$H$1000,Prod_5dias!$A$2:$A$1000,$A870,Prod_5dias!$B$2:$B$1000,$B870),"")</f>
        <v/>
      </c>
      <c r="N870" t="str">
        <f>IF(M870="","",MIN(100,100*M870/Parametros!$B$7))</f>
        <v/>
      </c>
      <c r="O870" t="str">
        <f>IF(F870="","",IF(F870=0,100,MIN(100,100*Parametros!$B$3/F870)))</f>
        <v/>
      </c>
      <c r="P870" t="str">
        <f ca="1">IFERROR(((AVERAGEIFS(Observacion_Directa!$E$2:$E$1000,Observacion_Directa!$A$2:$A$1000,$A870,Observacion_Directa!$B$2:$B$1000,"&gt;="&amp;DATEVALUE($B870&amp;"-01"),Observacion_Directa!$B$2:$B$1000,"&lt;="&amp;EOMONTH(DATEVALUE($B870&amp;"-01"),0)))-1)/4*100,"")</f>
        <v/>
      </c>
      <c r="Q870" t="str">
        <f>IF(H870="","",MIN(100,100*H870/Parametros!$B$4))</f>
        <v/>
      </c>
      <c r="R870" t="str">
        <f>IF(I870="","",IF(I870=0,100,MIN(100,100*Parametros!$B$5/I870)))</f>
        <v/>
      </c>
      <c r="S870" t="str">
        <f>IF(J870="","",IF(J870=0,100,MIN(100,100*Parametros!$B$6/J870)))</f>
        <v/>
      </c>
      <c r="T870" t="str">
        <f>IF(L870="","",MIN(100,100*L870/Parametros!$B$7))</f>
        <v/>
      </c>
      <c r="U870" t="str">
        <f>IF(K870="","",MIN(100,100*K870/Parametros!$B$8))</f>
        <v/>
      </c>
      <c r="V870" t="str">
        <f ca="1">IFERROR(((AVERAGEIFS(Documentacion!$C$2:$C$1000,Documentacion!$A$2:$A$1000,$A870,Documentacion!$B$2:$B$1000,"&gt;="&amp;DATEVALUE($B870&amp;"-01"),Documentacion!$B$2:$B$1000,"&lt;="&amp;EOMONTH(DATEVALUE($B870&amp;"-01"),0)))-1)/4*100,"")</f>
        <v/>
      </c>
      <c r="W870" t="str">
        <f ca="1">IFERROR(((AVERAGEIFS(Feedback_360!$D$2:$D$1000,Feedback_360!$A$2:$A$1000,$A870,Feedback_360!$B$2:$B$1000,"&gt;="&amp;DATEVALUE($B870&amp;"-01"),Feedback_360!$B$2:$B$1000,"&lt;="&amp;EOMONTH(DATEVALUE($B870&amp;"-01"),0)))-1)/4*100,"")</f>
        <v/>
      </c>
      <c r="X870" t="str">
        <f ca="1">IFERROR(((AVERAGEIFS(Observacion_Directa!$D$2:$D$1000,Observacion_Directa!$A$2:$A$1000,$A870,Observacion_Directa!$B$2:$B$1000,"&gt;="&amp;DATEVALUE($B870&amp;"-01"),Observacion_Directa!$B$2:$B$1000,"&lt;="&amp;EOMONTH(DATEVALUE($B870&amp;"-01"),0)))-1)/4*100,"")</f>
        <v/>
      </c>
      <c r="Y870" t="e">
        <f t="shared" ca="1" si="27"/>
        <v>#DIV/0!</v>
      </c>
    </row>
    <row r="871" spans="12:25" x14ac:dyDescent="0.2">
      <c r="L871" t="str">
        <f t="shared" si="26"/>
        <v/>
      </c>
      <c r="M871" t="str">
        <f>IFERROR(AVERAGEIFS(Prod_5dias!$H$2:$H$1000,Prod_5dias!$A$2:$A$1000,$A871,Prod_5dias!$B$2:$B$1000,$B871),"")</f>
        <v/>
      </c>
      <c r="N871" t="str">
        <f>IF(M871="","",MIN(100,100*M871/Parametros!$B$7))</f>
        <v/>
      </c>
      <c r="O871" t="str">
        <f>IF(F871="","",IF(F871=0,100,MIN(100,100*Parametros!$B$3/F871)))</f>
        <v/>
      </c>
      <c r="P871" t="str">
        <f ca="1">IFERROR(((AVERAGEIFS(Observacion_Directa!$E$2:$E$1000,Observacion_Directa!$A$2:$A$1000,$A871,Observacion_Directa!$B$2:$B$1000,"&gt;="&amp;DATEVALUE($B871&amp;"-01"),Observacion_Directa!$B$2:$B$1000,"&lt;="&amp;EOMONTH(DATEVALUE($B871&amp;"-01"),0)))-1)/4*100,"")</f>
        <v/>
      </c>
      <c r="Q871" t="str">
        <f>IF(H871="","",MIN(100,100*H871/Parametros!$B$4))</f>
        <v/>
      </c>
      <c r="R871" t="str">
        <f>IF(I871="","",IF(I871=0,100,MIN(100,100*Parametros!$B$5/I871)))</f>
        <v/>
      </c>
      <c r="S871" t="str">
        <f>IF(J871="","",IF(J871=0,100,MIN(100,100*Parametros!$B$6/J871)))</f>
        <v/>
      </c>
      <c r="T871" t="str">
        <f>IF(L871="","",MIN(100,100*L871/Parametros!$B$7))</f>
        <v/>
      </c>
      <c r="U871" t="str">
        <f>IF(K871="","",MIN(100,100*K871/Parametros!$B$8))</f>
        <v/>
      </c>
      <c r="V871" t="str">
        <f ca="1">IFERROR(((AVERAGEIFS(Documentacion!$C$2:$C$1000,Documentacion!$A$2:$A$1000,$A871,Documentacion!$B$2:$B$1000,"&gt;="&amp;DATEVALUE($B871&amp;"-01"),Documentacion!$B$2:$B$1000,"&lt;="&amp;EOMONTH(DATEVALUE($B871&amp;"-01"),0)))-1)/4*100,"")</f>
        <v/>
      </c>
      <c r="W871" t="str">
        <f ca="1">IFERROR(((AVERAGEIFS(Feedback_360!$D$2:$D$1000,Feedback_360!$A$2:$A$1000,$A871,Feedback_360!$B$2:$B$1000,"&gt;="&amp;DATEVALUE($B871&amp;"-01"),Feedback_360!$B$2:$B$1000,"&lt;="&amp;EOMONTH(DATEVALUE($B871&amp;"-01"),0)))-1)/4*100,"")</f>
        <v/>
      </c>
      <c r="X871" t="str">
        <f ca="1">IFERROR(((AVERAGEIFS(Observacion_Directa!$D$2:$D$1000,Observacion_Directa!$A$2:$A$1000,$A871,Observacion_Directa!$B$2:$B$1000,"&gt;="&amp;DATEVALUE($B871&amp;"-01"),Observacion_Directa!$B$2:$B$1000,"&lt;="&amp;EOMONTH(DATEVALUE($B871&amp;"-01"),0)))-1)/4*100,"")</f>
        <v/>
      </c>
      <c r="Y871" t="e">
        <f t="shared" ca="1" si="27"/>
        <v>#DIV/0!</v>
      </c>
    </row>
    <row r="872" spans="12:25" x14ac:dyDescent="0.2">
      <c r="L872" t="str">
        <f t="shared" si="26"/>
        <v/>
      </c>
      <c r="M872" t="str">
        <f>IFERROR(AVERAGEIFS(Prod_5dias!$H$2:$H$1000,Prod_5dias!$A$2:$A$1000,$A872,Prod_5dias!$B$2:$B$1000,$B872),"")</f>
        <v/>
      </c>
      <c r="N872" t="str">
        <f>IF(M872="","",MIN(100,100*M872/Parametros!$B$7))</f>
        <v/>
      </c>
      <c r="O872" t="str">
        <f>IF(F872="","",IF(F872=0,100,MIN(100,100*Parametros!$B$3/F872)))</f>
        <v/>
      </c>
      <c r="P872" t="str">
        <f ca="1">IFERROR(((AVERAGEIFS(Observacion_Directa!$E$2:$E$1000,Observacion_Directa!$A$2:$A$1000,$A872,Observacion_Directa!$B$2:$B$1000,"&gt;="&amp;DATEVALUE($B872&amp;"-01"),Observacion_Directa!$B$2:$B$1000,"&lt;="&amp;EOMONTH(DATEVALUE($B872&amp;"-01"),0)))-1)/4*100,"")</f>
        <v/>
      </c>
      <c r="Q872" t="str">
        <f>IF(H872="","",MIN(100,100*H872/Parametros!$B$4))</f>
        <v/>
      </c>
      <c r="R872" t="str">
        <f>IF(I872="","",IF(I872=0,100,MIN(100,100*Parametros!$B$5/I872)))</f>
        <v/>
      </c>
      <c r="S872" t="str">
        <f>IF(J872="","",IF(J872=0,100,MIN(100,100*Parametros!$B$6/J872)))</f>
        <v/>
      </c>
      <c r="T872" t="str">
        <f>IF(L872="","",MIN(100,100*L872/Parametros!$B$7))</f>
        <v/>
      </c>
      <c r="U872" t="str">
        <f>IF(K872="","",MIN(100,100*K872/Parametros!$B$8))</f>
        <v/>
      </c>
      <c r="V872" t="str">
        <f ca="1">IFERROR(((AVERAGEIFS(Documentacion!$C$2:$C$1000,Documentacion!$A$2:$A$1000,$A872,Documentacion!$B$2:$B$1000,"&gt;="&amp;DATEVALUE($B872&amp;"-01"),Documentacion!$B$2:$B$1000,"&lt;="&amp;EOMONTH(DATEVALUE($B872&amp;"-01"),0)))-1)/4*100,"")</f>
        <v/>
      </c>
      <c r="W872" t="str">
        <f ca="1">IFERROR(((AVERAGEIFS(Feedback_360!$D$2:$D$1000,Feedback_360!$A$2:$A$1000,$A872,Feedback_360!$B$2:$B$1000,"&gt;="&amp;DATEVALUE($B872&amp;"-01"),Feedback_360!$B$2:$B$1000,"&lt;="&amp;EOMONTH(DATEVALUE($B872&amp;"-01"),0)))-1)/4*100,"")</f>
        <v/>
      </c>
      <c r="X872" t="str">
        <f ca="1">IFERROR(((AVERAGEIFS(Observacion_Directa!$D$2:$D$1000,Observacion_Directa!$A$2:$A$1000,$A872,Observacion_Directa!$B$2:$B$1000,"&gt;="&amp;DATEVALUE($B872&amp;"-01"),Observacion_Directa!$B$2:$B$1000,"&lt;="&amp;EOMONTH(DATEVALUE($B872&amp;"-01"),0)))-1)/4*100,"")</f>
        <v/>
      </c>
      <c r="Y872" t="e">
        <f t="shared" ca="1" si="27"/>
        <v>#DIV/0!</v>
      </c>
    </row>
    <row r="873" spans="12:25" x14ac:dyDescent="0.2">
      <c r="L873" t="str">
        <f t="shared" si="26"/>
        <v/>
      </c>
      <c r="M873" t="str">
        <f>IFERROR(AVERAGEIFS(Prod_5dias!$H$2:$H$1000,Prod_5dias!$A$2:$A$1000,$A873,Prod_5dias!$B$2:$B$1000,$B873),"")</f>
        <v/>
      </c>
      <c r="N873" t="str">
        <f>IF(M873="","",MIN(100,100*M873/Parametros!$B$7))</f>
        <v/>
      </c>
      <c r="O873" t="str">
        <f>IF(F873="","",IF(F873=0,100,MIN(100,100*Parametros!$B$3/F873)))</f>
        <v/>
      </c>
      <c r="P873" t="str">
        <f ca="1">IFERROR(((AVERAGEIFS(Observacion_Directa!$E$2:$E$1000,Observacion_Directa!$A$2:$A$1000,$A873,Observacion_Directa!$B$2:$B$1000,"&gt;="&amp;DATEVALUE($B873&amp;"-01"),Observacion_Directa!$B$2:$B$1000,"&lt;="&amp;EOMONTH(DATEVALUE($B873&amp;"-01"),0)))-1)/4*100,"")</f>
        <v/>
      </c>
      <c r="Q873" t="str">
        <f>IF(H873="","",MIN(100,100*H873/Parametros!$B$4))</f>
        <v/>
      </c>
      <c r="R873" t="str">
        <f>IF(I873="","",IF(I873=0,100,MIN(100,100*Parametros!$B$5/I873)))</f>
        <v/>
      </c>
      <c r="S873" t="str">
        <f>IF(J873="","",IF(J873=0,100,MIN(100,100*Parametros!$B$6/J873)))</f>
        <v/>
      </c>
      <c r="T873" t="str">
        <f>IF(L873="","",MIN(100,100*L873/Parametros!$B$7))</f>
        <v/>
      </c>
      <c r="U873" t="str">
        <f>IF(K873="","",MIN(100,100*K873/Parametros!$B$8))</f>
        <v/>
      </c>
      <c r="V873" t="str">
        <f ca="1">IFERROR(((AVERAGEIFS(Documentacion!$C$2:$C$1000,Documentacion!$A$2:$A$1000,$A873,Documentacion!$B$2:$B$1000,"&gt;="&amp;DATEVALUE($B873&amp;"-01"),Documentacion!$B$2:$B$1000,"&lt;="&amp;EOMONTH(DATEVALUE($B873&amp;"-01"),0)))-1)/4*100,"")</f>
        <v/>
      </c>
      <c r="W873" t="str">
        <f ca="1">IFERROR(((AVERAGEIFS(Feedback_360!$D$2:$D$1000,Feedback_360!$A$2:$A$1000,$A873,Feedback_360!$B$2:$B$1000,"&gt;="&amp;DATEVALUE($B873&amp;"-01"),Feedback_360!$B$2:$B$1000,"&lt;="&amp;EOMONTH(DATEVALUE($B873&amp;"-01"),0)))-1)/4*100,"")</f>
        <v/>
      </c>
      <c r="X873" t="str">
        <f ca="1">IFERROR(((AVERAGEIFS(Observacion_Directa!$D$2:$D$1000,Observacion_Directa!$A$2:$A$1000,$A873,Observacion_Directa!$B$2:$B$1000,"&gt;="&amp;DATEVALUE($B873&amp;"-01"),Observacion_Directa!$B$2:$B$1000,"&lt;="&amp;EOMONTH(DATEVALUE($B873&amp;"-01"),0)))-1)/4*100,"")</f>
        <v/>
      </c>
      <c r="Y873" t="e">
        <f t="shared" ca="1" si="27"/>
        <v>#DIV/0!</v>
      </c>
    </row>
    <row r="874" spans="12:25" x14ac:dyDescent="0.2">
      <c r="L874" t="str">
        <f t="shared" si="26"/>
        <v/>
      </c>
      <c r="M874" t="str">
        <f>IFERROR(AVERAGEIFS(Prod_5dias!$H$2:$H$1000,Prod_5dias!$A$2:$A$1000,$A874,Prod_5dias!$B$2:$B$1000,$B874),"")</f>
        <v/>
      </c>
      <c r="N874" t="str">
        <f>IF(M874="","",MIN(100,100*M874/Parametros!$B$7))</f>
        <v/>
      </c>
      <c r="O874" t="str">
        <f>IF(F874="","",IF(F874=0,100,MIN(100,100*Parametros!$B$3/F874)))</f>
        <v/>
      </c>
      <c r="P874" t="str">
        <f ca="1">IFERROR(((AVERAGEIFS(Observacion_Directa!$E$2:$E$1000,Observacion_Directa!$A$2:$A$1000,$A874,Observacion_Directa!$B$2:$B$1000,"&gt;="&amp;DATEVALUE($B874&amp;"-01"),Observacion_Directa!$B$2:$B$1000,"&lt;="&amp;EOMONTH(DATEVALUE($B874&amp;"-01"),0)))-1)/4*100,"")</f>
        <v/>
      </c>
      <c r="Q874" t="str">
        <f>IF(H874="","",MIN(100,100*H874/Parametros!$B$4))</f>
        <v/>
      </c>
      <c r="R874" t="str">
        <f>IF(I874="","",IF(I874=0,100,MIN(100,100*Parametros!$B$5/I874)))</f>
        <v/>
      </c>
      <c r="S874" t="str">
        <f>IF(J874="","",IF(J874=0,100,MIN(100,100*Parametros!$B$6/J874)))</f>
        <v/>
      </c>
      <c r="T874" t="str">
        <f>IF(L874="","",MIN(100,100*L874/Parametros!$B$7))</f>
        <v/>
      </c>
      <c r="U874" t="str">
        <f>IF(K874="","",MIN(100,100*K874/Parametros!$B$8))</f>
        <v/>
      </c>
      <c r="V874" t="str">
        <f ca="1">IFERROR(((AVERAGEIFS(Documentacion!$C$2:$C$1000,Documentacion!$A$2:$A$1000,$A874,Documentacion!$B$2:$B$1000,"&gt;="&amp;DATEVALUE($B874&amp;"-01"),Documentacion!$B$2:$B$1000,"&lt;="&amp;EOMONTH(DATEVALUE($B874&amp;"-01"),0)))-1)/4*100,"")</f>
        <v/>
      </c>
      <c r="W874" t="str">
        <f ca="1">IFERROR(((AVERAGEIFS(Feedback_360!$D$2:$D$1000,Feedback_360!$A$2:$A$1000,$A874,Feedback_360!$B$2:$B$1000,"&gt;="&amp;DATEVALUE($B874&amp;"-01"),Feedback_360!$B$2:$B$1000,"&lt;="&amp;EOMONTH(DATEVALUE($B874&amp;"-01"),0)))-1)/4*100,"")</f>
        <v/>
      </c>
      <c r="X874" t="str">
        <f ca="1">IFERROR(((AVERAGEIFS(Observacion_Directa!$D$2:$D$1000,Observacion_Directa!$A$2:$A$1000,$A874,Observacion_Directa!$B$2:$B$1000,"&gt;="&amp;DATEVALUE($B874&amp;"-01"),Observacion_Directa!$B$2:$B$1000,"&lt;="&amp;EOMONTH(DATEVALUE($B874&amp;"-01"),0)))-1)/4*100,"")</f>
        <v/>
      </c>
      <c r="Y874" t="e">
        <f t="shared" ca="1" si="27"/>
        <v>#DIV/0!</v>
      </c>
    </row>
    <row r="875" spans="12:25" x14ac:dyDescent="0.2">
      <c r="L875" t="str">
        <f t="shared" si="26"/>
        <v/>
      </c>
      <c r="M875" t="str">
        <f>IFERROR(AVERAGEIFS(Prod_5dias!$H$2:$H$1000,Prod_5dias!$A$2:$A$1000,$A875,Prod_5dias!$B$2:$B$1000,$B875),"")</f>
        <v/>
      </c>
      <c r="N875" t="str">
        <f>IF(M875="","",MIN(100,100*M875/Parametros!$B$7))</f>
        <v/>
      </c>
      <c r="O875" t="str">
        <f>IF(F875="","",IF(F875=0,100,MIN(100,100*Parametros!$B$3/F875)))</f>
        <v/>
      </c>
      <c r="P875" t="str">
        <f ca="1">IFERROR(((AVERAGEIFS(Observacion_Directa!$E$2:$E$1000,Observacion_Directa!$A$2:$A$1000,$A875,Observacion_Directa!$B$2:$B$1000,"&gt;="&amp;DATEVALUE($B875&amp;"-01"),Observacion_Directa!$B$2:$B$1000,"&lt;="&amp;EOMONTH(DATEVALUE($B875&amp;"-01"),0)))-1)/4*100,"")</f>
        <v/>
      </c>
      <c r="Q875" t="str">
        <f>IF(H875="","",MIN(100,100*H875/Parametros!$B$4))</f>
        <v/>
      </c>
      <c r="R875" t="str">
        <f>IF(I875="","",IF(I875=0,100,MIN(100,100*Parametros!$B$5/I875)))</f>
        <v/>
      </c>
      <c r="S875" t="str">
        <f>IF(J875="","",IF(J875=0,100,MIN(100,100*Parametros!$B$6/J875)))</f>
        <v/>
      </c>
      <c r="T875" t="str">
        <f>IF(L875="","",MIN(100,100*L875/Parametros!$B$7))</f>
        <v/>
      </c>
      <c r="U875" t="str">
        <f>IF(K875="","",MIN(100,100*K875/Parametros!$B$8))</f>
        <v/>
      </c>
      <c r="V875" t="str">
        <f ca="1">IFERROR(((AVERAGEIFS(Documentacion!$C$2:$C$1000,Documentacion!$A$2:$A$1000,$A875,Documentacion!$B$2:$B$1000,"&gt;="&amp;DATEVALUE($B875&amp;"-01"),Documentacion!$B$2:$B$1000,"&lt;="&amp;EOMONTH(DATEVALUE($B875&amp;"-01"),0)))-1)/4*100,"")</f>
        <v/>
      </c>
      <c r="W875" t="str">
        <f ca="1">IFERROR(((AVERAGEIFS(Feedback_360!$D$2:$D$1000,Feedback_360!$A$2:$A$1000,$A875,Feedback_360!$B$2:$B$1000,"&gt;="&amp;DATEVALUE($B875&amp;"-01"),Feedback_360!$B$2:$B$1000,"&lt;="&amp;EOMONTH(DATEVALUE($B875&amp;"-01"),0)))-1)/4*100,"")</f>
        <v/>
      </c>
      <c r="X875" t="str">
        <f ca="1">IFERROR(((AVERAGEIFS(Observacion_Directa!$D$2:$D$1000,Observacion_Directa!$A$2:$A$1000,$A875,Observacion_Directa!$B$2:$B$1000,"&gt;="&amp;DATEVALUE($B875&amp;"-01"),Observacion_Directa!$B$2:$B$1000,"&lt;="&amp;EOMONTH(DATEVALUE($B875&amp;"-01"),0)))-1)/4*100,"")</f>
        <v/>
      </c>
      <c r="Y875" t="e">
        <f t="shared" ca="1" si="27"/>
        <v>#DIV/0!</v>
      </c>
    </row>
    <row r="876" spans="12:25" x14ac:dyDescent="0.2">
      <c r="L876" t="str">
        <f t="shared" si="26"/>
        <v/>
      </c>
      <c r="M876" t="str">
        <f>IFERROR(AVERAGEIFS(Prod_5dias!$H$2:$H$1000,Prod_5dias!$A$2:$A$1000,$A876,Prod_5dias!$B$2:$B$1000,$B876),"")</f>
        <v/>
      </c>
      <c r="N876" t="str">
        <f>IF(M876="","",MIN(100,100*M876/Parametros!$B$7))</f>
        <v/>
      </c>
      <c r="O876" t="str">
        <f>IF(F876="","",IF(F876=0,100,MIN(100,100*Parametros!$B$3/F876)))</f>
        <v/>
      </c>
      <c r="P876" t="str">
        <f ca="1">IFERROR(((AVERAGEIFS(Observacion_Directa!$E$2:$E$1000,Observacion_Directa!$A$2:$A$1000,$A876,Observacion_Directa!$B$2:$B$1000,"&gt;="&amp;DATEVALUE($B876&amp;"-01"),Observacion_Directa!$B$2:$B$1000,"&lt;="&amp;EOMONTH(DATEVALUE($B876&amp;"-01"),0)))-1)/4*100,"")</f>
        <v/>
      </c>
      <c r="Q876" t="str">
        <f>IF(H876="","",MIN(100,100*H876/Parametros!$B$4))</f>
        <v/>
      </c>
      <c r="R876" t="str">
        <f>IF(I876="","",IF(I876=0,100,MIN(100,100*Parametros!$B$5/I876)))</f>
        <v/>
      </c>
      <c r="S876" t="str">
        <f>IF(J876="","",IF(J876=0,100,MIN(100,100*Parametros!$B$6/J876)))</f>
        <v/>
      </c>
      <c r="T876" t="str">
        <f>IF(L876="","",MIN(100,100*L876/Parametros!$B$7))</f>
        <v/>
      </c>
      <c r="U876" t="str">
        <f>IF(K876="","",MIN(100,100*K876/Parametros!$B$8))</f>
        <v/>
      </c>
      <c r="V876" t="str">
        <f ca="1">IFERROR(((AVERAGEIFS(Documentacion!$C$2:$C$1000,Documentacion!$A$2:$A$1000,$A876,Documentacion!$B$2:$B$1000,"&gt;="&amp;DATEVALUE($B876&amp;"-01"),Documentacion!$B$2:$B$1000,"&lt;="&amp;EOMONTH(DATEVALUE($B876&amp;"-01"),0)))-1)/4*100,"")</f>
        <v/>
      </c>
      <c r="W876" t="str">
        <f ca="1">IFERROR(((AVERAGEIFS(Feedback_360!$D$2:$D$1000,Feedback_360!$A$2:$A$1000,$A876,Feedback_360!$B$2:$B$1000,"&gt;="&amp;DATEVALUE($B876&amp;"-01"),Feedback_360!$B$2:$B$1000,"&lt;="&amp;EOMONTH(DATEVALUE($B876&amp;"-01"),0)))-1)/4*100,"")</f>
        <v/>
      </c>
      <c r="X876" t="str">
        <f ca="1">IFERROR(((AVERAGEIFS(Observacion_Directa!$D$2:$D$1000,Observacion_Directa!$A$2:$A$1000,$A876,Observacion_Directa!$B$2:$B$1000,"&gt;="&amp;DATEVALUE($B876&amp;"-01"),Observacion_Directa!$B$2:$B$1000,"&lt;="&amp;EOMONTH(DATEVALUE($B876&amp;"-01"),0)))-1)/4*100,"")</f>
        <v/>
      </c>
      <c r="Y876" t="e">
        <f t="shared" ca="1" si="27"/>
        <v>#DIV/0!</v>
      </c>
    </row>
    <row r="877" spans="12:25" x14ac:dyDescent="0.2">
      <c r="L877" t="str">
        <f t="shared" si="26"/>
        <v/>
      </c>
      <c r="M877" t="str">
        <f>IFERROR(AVERAGEIFS(Prod_5dias!$H$2:$H$1000,Prod_5dias!$A$2:$A$1000,$A877,Prod_5dias!$B$2:$B$1000,$B877),"")</f>
        <v/>
      </c>
      <c r="N877" t="str">
        <f>IF(M877="","",MIN(100,100*M877/Parametros!$B$7))</f>
        <v/>
      </c>
      <c r="O877" t="str">
        <f>IF(F877="","",IF(F877=0,100,MIN(100,100*Parametros!$B$3/F877)))</f>
        <v/>
      </c>
      <c r="P877" t="str">
        <f ca="1">IFERROR(((AVERAGEIFS(Observacion_Directa!$E$2:$E$1000,Observacion_Directa!$A$2:$A$1000,$A877,Observacion_Directa!$B$2:$B$1000,"&gt;="&amp;DATEVALUE($B877&amp;"-01"),Observacion_Directa!$B$2:$B$1000,"&lt;="&amp;EOMONTH(DATEVALUE($B877&amp;"-01"),0)))-1)/4*100,"")</f>
        <v/>
      </c>
      <c r="Q877" t="str">
        <f>IF(H877="","",MIN(100,100*H877/Parametros!$B$4))</f>
        <v/>
      </c>
      <c r="R877" t="str">
        <f>IF(I877="","",IF(I877=0,100,MIN(100,100*Parametros!$B$5/I877)))</f>
        <v/>
      </c>
      <c r="S877" t="str">
        <f>IF(J877="","",IF(J877=0,100,MIN(100,100*Parametros!$B$6/J877)))</f>
        <v/>
      </c>
      <c r="T877" t="str">
        <f>IF(L877="","",MIN(100,100*L877/Parametros!$B$7))</f>
        <v/>
      </c>
      <c r="U877" t="str">
        <f>IF(K877="","",MIN(100,100*K877/Parametros!$B$8))</f>
        <v/>
      </c>
      <c r="V877" t="str">
        <f ca="1">IFERROR(((AVERAGEIFS(Documentacion!$C$2:$C$1000,Documentacion!$A$2:$A$1000,$A877,Documentacion!$B$2:$B$1000,"&gt;="&amp;DATEVALUE($B877&amp;"-01"),Documentacion!$B$2:$B$1000,"&lt;="&amp;EOMONTH(DATEVALUE($B877&amp;"-01"),0)))-1)/4*100,"")</f>
        <v/>
      </c>
      <c r="W877" t="str">
        <f ca="1">IFERROR(((AVERAGEIFS(Feedback_360!$D$2:$D$1000,Feedback_360!$A$2:$A$1000,$A877,Feedback_360!$B$2:$B$1000,"&gt;="&amp;DATEVALUE($B877&amp;"-01"),Feedback_360!$B$2:$B$1000,"&lt;="&amp;EOMONTH(DATEVALUE($B877&amp;"-01"),0)))-1)/4*100,"")</f>
        <v/>
      </c>
      <c r="X877" t="str">
        <f ca="1">IFERROR(((AVERAGEIFS(Observacion_Directa!$D$2:$D$1000,Observacion_Directa!$A$2:$A$1000,$A877,Observacion_Directa!$B$2:$B$1000,"&gt;="&amp;DATEVALUE($B877&amp;"-01"),Observacion_Directa!$B$2:$B$1000,"&lt;="&amp;EOMONTH(DATEVALUE($B877&amp;"-01"),0)))-1)/4*100,"")</f>
        <v/>
      </c>
      <c r="Y877" t="e">
        <f t="shared" ca="1" si="27"/>
        <v>#DIV/0!</v>
      </c>
    </row>
    <row r="878" spans="12:25" x14ac:dyDescent="0.2">
      <c r="L878" t="str">
        <f t="shared" si="26"/>
        <v/>
      </c>
      <c r="M878" t="str">
        <f>IFERROR(AVERAGEIFS(Prod_5dias!$H$2:$H$1000,Prod_5dias!$A$2:$A$1000,$A878,Prod_5dias!$B$2:$B$1000,$B878),"")</f>
        <v/>
      </c>
      <c r="N878" t="str">
        <f>IF(M878="","",MIN(100,100*M878/Parametros!$B$7))</f>
        <v/>
      </c>
      <c r="O878" t="str">
        <f>IF(F878="","",IF(F878=0,100,MIN(100,100*Parametros!$B$3/F878)))</f>
        <v/>
      </c>
      <c r="P878" t="str">
        <f ca="1">IFERROR(((AVERAGEIFS(Observacion_Directa!$E$2:$E$1000,Observacion_Directa!$A$2:$A$1000,$A878,Observacion_Directa!$B$2:$B$1000,"&gt;="&amp;DATEVALUE($B878&amp;"-01"),Observacion_Directa!$B$2:$B$1000,"&lt;="&amp;EOMONTH(DATEVALUE($B878&amp;"-01"),0)))-1)/4*100,"")</f>
        <v/>
      </c>
      <c r="Q878" t="str">
        <f>IF(H878="","",MIN(100,100*H878/Parametros!$B$4))</f>
        <v/>
      </c>
      <c r="R878" t="str">
        <f>IF(I878="","",IF(I878=0,100,MIN(100,100*Parametros!$B$5/I878)))</f>
        <v/>
      </c>
      <c r="S878" t="str">
        <f>IF(J878="","",IF(J878=0,100,MIN(100,100*Parametros!$B$6/J878)))</f>
        <v/>
      </c>
      <c r="T878" t="str">
        <f>IF(L878="","",MIN(100,100*L878/Parametros!$B$7))</f>
        <v/>
      </c>
      <c r="U878" t="str">
        <f>IF(K878="","",MIN(100,100*K878/Parametros!$B$8))</f>
        <v/>
      </c>
      <c r="V878" t="str">
        <f ca="1">IFERROR(((AVERAGEIFS(Documentacion!$C$2:$C$1000,Documentacion!$A$2:$A$1000,$A878,Documentacion!$B$2:$B$1000,"&gt;="&amp;DATEVALUE($B878&amp;"-01"),Documentacion!$B$2:$B$1000,"&lt;="&amp;EOMONTH(DATEVALUE($B878&amp;"-01"),0)))-1)/4*100,"")</f>
        <v/>
      </c>
      <c r="W878" t="str">
        <f ca="1">IFERROR(((AVERAGEIFS(Feedback_360!$D$2:$D$1000,Feedback_360!$A$2:$A$1000,$A878,Feedback_360!$B$2:$B$1000,"&gt;="&amp;DATEVALUE($B878&amp;"-01"),Feedback_360!$B$2:$B$1000,"&lt;="&amp;EOMONTH(DATEVALUE($B878&amp;"-01"),0)))-1)/4*100,"")</f>
        <v/>
      </c>
      <c r="X878" t="str">
        <f ca="1">IFERROR(((AVERAGEIFS(Observacion_Directa!$D$2:$D$1000,Observacion_Directa!$A$2:$A$1000,$A878,Observacion_Directa!$B$2:$B$1000,"&gt;="&amp;DATEVALUE($B878&amp;"-01"),Observacion_Directa!$B$2:$B$1000,"&lt;="&amp;EOMONTH(DATEVALUE($B878&amp;"-01"),0)))-1)/4*100,"")</f>
        <v/>
      </c>
      <c r="Y878" t="e">
        <f t="shared" ca="1" si="27"/>
        <v>#DIV/0!</v>
      </c>
    </row>
    <row r="879" spans="12:25" x14ac:dyDescent="0.2">
      <c r="L879" t="str">
        <f t="shared" si="26"/>
        <v/>
      </c>
      <c r="M879" t="str">
        <f>IFERROR(AVERAGEIFS(Prod_5dias!$H$2:$H$1000,Prod_5dias!$A$2:$A$1000,$A879,Prod_5dias!$B$2:$B$1000,$B879),"")</f>
        <v/>
      </c>
      <c r="N879" t="str">
        <f>IF(M879="","",MIN(100,100*M879/Parametros!$B$7))</f>
        <v/>
      </c>
      <c r="O879" t="str">
        <f>IF(F879="","",IF(F879=0,100,MIN(100,100*Parametros!$B$3/F879)))</f>
        <v/>
      </c>
      <c r="P879" t="str">
        <f ca="1">IFERROR(((AVERAGEIFS(Observacion_Directa!$E$2:$E$1000,Observacion_Directa!$A$2:$A$1000,$A879,Observacion_Directa!$B$2:$B$1000,"&gt;="&amp;DATEVALUE($B879&amp;"-01"),Observacion_Directa!$B$2:$B$1000,"&lt;="&amp;EOMONTH(DATEVALUE($B879&amp;"-01"),0)))-1)/4*100,"")</f>
        <v/>
      </c>
      <c r="Q879" t="str">
        <f>IF(H879="","",MIN(100,100*H879/Parametros!$B$4))</f>
        <v/>
      </c>
      <c r="R879" t="str">
        <f>IF(I879="","",IF(I879=0,100,MIN(100,100*Parametros!$B$5/I879)))</f>
        <v/>
      </c>
      <c r="S879" t="str">
        <f>IF(J879="","",IF(J879=0,100,MIN(100,100*Parametros!$B$6/J879)))</f>
        <v/>
      </c>
      <c r="T879" t="str">
        <f>IF(L879="","",MIN(100,100*L879/Parametros!$B$7))</f>
        <v/>
      </c>
      <c r="U879" t="str">
        <f>IF(K879="","",MIN(100,100*K879/Parametros!$B$8))</f>
        <v/>
      </c>
      <c r="V879" t="str">
        <f ca="1">IFERROR(((AVERAGEIFS(Documentacion!$C$2:$C$1000,Documentacion!$A$2:$A$1000,$A879,Documentacion!$B$2:$B$1000,"&gt;="&amp;DATEVALUE($B879&amp;"-01"),Documentacion!$B$2:$B$1000,"&lt;="&amp;EOMONTH(DATEVALUE($B879&amp;"-01"),0)))-1)/4*100,"")</f>
        <v/>
      </c>
      <c r="W879" t="str">
        <f ca="1">IFERROR(((AVERAGEIFS(Feedback_360!$D$2:$D$1000,Feedback_360!$A$2:$A$1000,$A879,Feedback_360!$B$2:$B$1000,"&gt;="&amp;DATEVALUE($B879&amp;"-01"),Feedback_360!$B$2:$B$1000,"&lt;="&amp;EOMONTH(DATEVALUE($B879&amp;"-01"),0)))-1)/4*100,"")</f>
        <v/>
      </c>
      <c r="X879" t="str">
        <f ca="1">IFERROR(((AVERAGEIFS(Observacion_Directa!$D$2:$D$1000,Observacion_Directa!$A$2:$A$1000,$A879,Observacion_Directa!$B$2:$B$1000,"&gt;="&amp;DATEVALUE($B879&amp;"-01"),Observacion_Directa!$B$2:$B$1000,"&lt;="&amp;EOMONTH(DATEVALUE($B879&amp;"-01"),0)))-1)/4*100,"")</f>
        <v/>
      </c>
      <c r="Y879" t="e">
        <f t="shared" ca="1" si="27"/>
        <v>#DIV/0!</v>
      </c>
    </row>
    <row r="880" spans="12:25" x14ac:dyDescent="0.2">
      <c r="L880" t="str">
        <f t="shared" si="26"/>
        <v/>
      </c>
      <c r="M880" t="str">
        <f>IFERROR(AVERAGEIFS(Prod_5dias!$H$2:$H$1000,Prod_5dias!$A$2:$A$1000,$A880,Prod_5dias!$B$2:$B$1000,$B880),"")</f>
        <v/>
      </c>
      <c r="N880" t="str">
        <f>IF(M880="","",MIN(100,100*M880/Parametros!$B$7))</f>
        <v/>
      </c>
      <c r="O880" t="str">
        <f>IF(F880="","",IF(F880=0,100,MIN(100,100*Parametros!$B$3/F880)))</f>
        <v/>
      </c>
      <c r="P880" t="str">
        <f ca="1">IFERROR(((AVERAGEIFS(Observacion_Directa!$E$2:$E$1000,Observacion_Directa!$A$2:$A$1000,$A880,Observacion_Directa!$B$2:$B$1000,"&gt;="&amp;DATEVALUE($B880&amp;"-01"),Observacion_Directa!$B$2:$B$1000,"&lt;="&amp;EOMONTH(DATEVALUE($B880&amp;"-01"),0)))-1)/4*100,"")</f>
        <v/>
      </c>
      <c r="Q880" t="str">
        <f>IF(H880="","",MIN(100,100*H880/Parametros!$B$4))</f>
        <v/>
      </c>
      <c r="R880" t="str">
        <f>IF(I880="","",IF(I880=0,100,MIN(100,100*Parametros!$B$5/I880)))</f>
        <v/>
      </c>
      <c r="S880" t="str">
        <f>IF(J880="","",IF(J880=0,100,MIN(100,100*Parametros!$B$6/J880)))</f>
        <v/>
      </c>
      <c r="T880" t="str">
        <f>IF(L880="","",MIN(100,100*L880/Parametros!$B$7))</f>
        <v/>
      </c>
      <c r="U880" t="str">
        <f>IF(K880="","",MIN(100,100*K880/Parametros!$B$8))</f>
        <v/>
      </c>
      <c r="V880" t="str">
        <f ca="1">IFERROR(((AVERAGEIFS(Documentacion!$C$2:$C$1000,Documentacion!$A$2:$A$1000,$A880,Documentacion!$B$2:$B$1000,"&gt;="&amp;DATEVALUE($B880&amp;"-01"),Documentacion!$B$2:$B$1000,"&lt;="&amp;EOMONTH(DATEVALUE($B880&amp;"-01"),0)))-1)/4*100,"")</f>
        <v/>
      </c>
      <c r="W880" t="str">
        <f ca="1">IFERROR(((AVERAGEIFS(Feedback_360!$D$2:$D$1000,Feedback_360!$A$2:$A$1000,$A880,Feedback_360!$B$2:$B$1000,"&gt;="&amp;DATEVALUE($B880&amp;"-01"),Feedback_360!$B$2:$B$1000,"&lt;="&amp;EOMONTH(DATEVALUE($B880&amp;"-01"),0)))-1)/4*100,"")</f>
        <v/>
      </c>
      <c r="X880" t="str">
        <f ca="1">IFERROR(((AVERAGEIFS(Observacion_Directa!$D$2:$D$1000,Observacion_Directa!$A$2:$A$1000,$A880,Observacion_Directa!$B$2:$B$1000,"&gt;="&amp;DATEVALUE($B880&amp;"-01"),Observacion_Directa!$B$2:$B$1000,"&lt;="&amp;EOMONTH(DATEVALUE($B880&amp;"-01"),0)))-1)/4*100,"")</f>
        <v/>
      </c>
      <c r="Y880" t="e">
        <f t="shared" ca="1" si="27"/>
        <v>#DIV/0!</v>
      </c>
    </row>
    <row r="881" spans="12:25" x14ac:dyDescent="0.2">
      <c r="L881" t="str">
        <f t="shared" si="26"/>
        <v/>
      </c>
      <c r="M881" t="str">
        <f>IFERROR(AVERAGEIFS(Prod_5dias!$H$2:$H$1000,Prod_5dias!$A$2:$A$1000,$A881,Prod_5dias!$B$2:$B$1000,$B881),"")</f>
        <v/>
      </c>
      <c r="N881" t="str">
        <f>IF(M881="","",MIN(100,100*M881/Parametros!$B$7))</f>
        <v/>
      </c>
      <c r="O881" t="str">
        <f>IF(F881="","",IF(F881=0,100,MIN(100,100*Parametros!$B$3/F881)))</f>
        <v/>
      </c>
      <c r="P881" t="str">
        <f ca="1">IFERROR(((AVERAGEIFS(Observacion_Directa!$E$2:$E$1000,Observacion_Directa!$A$2:$A$1000,$A881,Observacion_Directa!$B$2:$B$1000,"&gt;="&amp;DATEVALUE($B881&amp;"-01"),Observacion_Directa!$B$2:$B$1000,"&lt;="&amp;EOMONTH(DATEVALUE($B881&amp;"-01"),0)))-1)/4*100,"")</f>
        <v/>
      </c>
      <c r="Q881" t="str">
        <f>IF(H881="","",MIN(100,100*H881/Parametros!$B$4))</f>
        <v/>
      </c>
      <c r="R881" t="str">
        <f>IF(I881="","",IF(I881=0,100,MIN(100,100*Parametros!$B$5/I881)))</f>
        <v/>
      </c>
      <c r="S881" t="str">
        <f>IF(J881="","",IF(J881=0,100,MIN(100,100*Parametros!$B$6/J881)))</f>
        <v/>
      </c>
      <c r="T881" t="str">
        <f>IF(L881="","",MIN(100,100*L881/Parametros!$B$7))</f>
        <v/>
      </c>
      <c r="U881" t="str">
        <f>IF(K881="","",MIN(100,100*K881/Parametros!$B$8))</f>
        <v/>
      </c>
      <c r="V881" t="str">
        <f ca="1">IFERROR(((AVERAGEIFS(Documentacion!$C$2:$C$1000,Documentacion!$A$2:$A$1000,$A881,Documentacion!$B$2:$B$1000,"&gt;="&amp;DATEVALUE($B881&amp;"-01"),Documentacion!$B$2:$B$1000,"&lt;="&amp;EOMONTH(DATEVALUE($B881&amp;"-01"),0)))-1)/4*100,"")</f>
        <v/>
      </c>
      <c r="W881" t="str">
        <f ca="1">IFERROR(((AVERAGEIFS(Feedback_360!$D$2:$D$1000,Feedback_360!$A$2:$A$1000,$A881,Feedback_360!$B$2:$B$1000,"&gt;="&amp;DATEVALUE($B881&amp;"-01"),Feedback_360!$B$2:$B$1000,"&lt;="&amp;EOMONTH(DATEVALUE($B881&amp;"-01"),0)))-1)/4*100,"")</f>
        <v/>
      </c>
      <c r="X881" t="str">
        <f ca="1">IFERROR(((AVERAGEIFS(Observacion_Directa!$D$2:$D$1000,Observacion_Directa!$A$2:$A$1000,$A881,Observacion_Directa!$B$2:$B$1000,"&gt;="&amp;DATEVALUE($B881&amp;"-01"),Observacion_Directa!$B$2:$B$1000,"&lt;="&amp;EOMONTH(DATEVALUE($B881&amp;"-01"),0)))-1)/4*100,"")</f>
        <v/>
      </c>
      <c r="Y881" t="e">
        <f t="shared" ca="1" si="27"/>
        <v>#DIV/0!</v>
      </c>
    </row>
    <row r="882" spans="12:25" x14ac:dyDescent="0.2">
      <c r="L882" t="str">
        <f t="shared" si="26"/>
        <v/>
      </c>
      <c r="M882" t="str">
        <f>IFERROR(AVERAGEIFS(Prod_5dias!$H$2:$H$1000,Prod_5dias!$A$2:$A$1000,$A882,Prod_5dias!$B$2:$B$1000,$B882),"")</f>
        <v/>
      </c>
      <c r="N882" t="str">
        <f>IF(M882="","",MIN(100,100*M882/Parametros!$B$7))</f>
        <v/>
      </c>
      <c r="O882" t="str">
        <f>IF(F882="","",IF(F882=0,100,MIN(100,100*Parametros!$B$3/F882)))</f>
        <v/>
      </c>
      <c r="P882" t="str">
        <f ca="1">IFERROR(((AVERAGEIFS(Observacion_Directa!$E$2:$E$1000,Observacion_Directa!$A$2:$A$1000,$A882,Observacion_Directa!$B$2:$B$1000,"&gt;="&amp;DATEVALUE($B882&amp;"-01"),Observacion_Directa!$B$2:$B$1000,"&lt;="&amp;EOMONTH(DATEVALUE($B882&amp;"-01"),0)))-1)/4*100,"")</f>
        <v/>
      </c>
      <c r="Q882" t="str">
        <f>IF(H882="","",MIN(100,100*H882/Parametros!$B$4))</f>
        <v/>
      </c>
      <c r="R882" t="str">
        <f>IF(I882="","",IF(I882=0,100,MIN(100,100*Parametros!$B$5/I882)))</f>
        <v/>
      </c>
      <c r="S882" t="str">
        <f>IF(J882="","",IF(J882=0,100,MIN(100,100*Parametros!$B$6/J882)))</f>
        <v/>
      </c>
      <c r="T882" t="str">
        <f>IF(L882="","",MIN(100,100*L882/Parametros!$B$7))</f>
        <v/>
      </c>
      <c r="U882" t="str">
        <f>IF(K882="","",MIN(100,100*K882/Parametros!$B$8))</f>
        <v/>
      </c>
      <c r="V882" t="str">
        <f ca="1">IFERROR(((AVERAGEIFS(Documentacion!$C$2:$C$1000,Documentacion!$A$2:$A$1000,$A882,Documentacion!$B$2:$B$1000,"&gt;="&amp;DATEVALUE($B882&amp;"-01"),Documentacion!$B$2:$B$1000,"&lt;="&amp;EOMONTH(DATEVALUE($B882&amp;"-01"),0)))-1)/4*100,"")</f>
        <v/>
      </c>
      <c r="W882" t="str">
        <f ca="1">IFERROR(((AVERAGEIFS(Feedback_360!$D$2:$D$1000,Feedback_360!$A$2:$A$1000,$A882,Feedback_360!$B$2:$B$1000,"&gt;="&amp;DATEVALUE($B882&amp;"-01"),Feedback_360!$B$2:$B$1000,"&lt;="&amp;EOMONTH(DATEVALUE($B882&amp;"-01"),0)))-1)/4*100,"")</f>
        <v/>
      </c>
      <c r="X882" t="str">
        <f ca="1">IFERROR(((AVERAGEIFS(Observacion_Directa!$D$2:$D$1000,Observacion_Directa!$A$2:$A$1000,$A882,Observacion_Directa!$B$2:$B$1000,"&gt;="&amp;DATEVALUE($B882&amp;"-01"),Observacion_Directa!$B$2:$B$1000,"&lt;="&amp;EOMONTH(DATEVALUE($B882&amp;"-01"),0)))-1)/4*100,"")</f>
        <v/>
      </c>
      <c r="Y882" t="e">
        <f t="shared" ca="1" si="27"/>
        <v>#DIV/0!</v>
      </c>
    </row>
    <row r="883" spans="12:25" x14ac:dyDescent="0.2">
      <c r="L883" t="str">
        <f t="shared" si="26"/>
        <v/>
      </c>
      <c r="M883" t="str">
        <f>IFERROR(AVERAGEIFS(Prod_5dias!$H$2:$H$1000,Prod_5dias!$A$2:$A$1000,$A883,Prod_5dias!$B$2:$B$1000,$B883),"")</f>
        <v/>
      </c>
      <c r="N883" t="str">
        <f>IF(M883="","",MIN(100,100*M883/Parametros!$B$7))</f>
        <v/>
      </c>
      <c r="O883" t="str">
        <f>IF(F883="","",IF(F883=0,100,MIN(100,100*Parametros!$B$3/F883)))</f>
        <v/>
      </c>
      <c r="P883" t="str">
        <f ca="1">IFERROR(((AVERAGEIFS(Observacion_Directa!$E$2:$E$1000,Observacion_Directa!$A$2:$A$1000,$A883,Observacion_Directa!$B$2:$B$1000,"&gt;="&amp;DATEVALUE($B883&amp;"-01"),Observacion_Directa!$B$2:$B$1000,"&lt;="&amp;EOMONTH(DATEVALUE($B883&amp;"-01"),0)))-1)/4*100,"")</f>
        <v/>
      </c>
      <c r="Q883" t="str">
        <f>IF(H883="","",MIN(100,100*H883/Parametros!$B$4))</f>
        <v/>
      </c>
      <c r="R883" t="str">
        <f>IF(I883="","",IF(I883=0,100,MIN(100,100*Parametros!$B$5/I883)))</f>
        <v/>
      </c>
      <c r="S883" t="str">
        <f>IF(J883="","",IF(J883=0,100,MIN(100,100*Parametros!$B$6/J883)))</f>
        <v/>
      </c>
      <c r="T883" t="str">
        <f>IF(L883="","",MIN(100,100*L883/Parametros!$B$7))</f>
        <v/>
      </c>
      <c r="U883" t="str">
        <f>IF(K883="","",MIN(100,100*K883/Parametros!$B$8))</f>
        <v/>
      </c>
      <c r="V883" t="str">
        <f ca="1">IFERROR(((AVERAGEIFS(Documentacion!$C$2:$C$1000,Documentacion!$A$2:$A$1000,$A883,Documentacion!$B$2:$B$1000,"&gt;="&amp;DATEVALUE($B883&amp;"-01"),Documentacion!$B$2:$B$1000,"&lt;="&amp;EOMONTH(DATEVALUE($B883&amp;"-01"),0)))-1)/4*100,"")</f>
        <v/>
      </c>
      <c r="W883" t="str">
        <f ca="1">IFERROR(((AVERAGEIFS(Feedback_360!$D$2:$D$1000,Feedback_360!$A$2:$A$1000,$A883,Feedback_360!$B$2:$B$1000,"&gt;="&amp;DATEVALUE($B883&amp;"-01"),Feedback_360!$B$2:$B$1000,"&lt;="&amp;EOMONTH(DATEVALUE($B883&amp;"-01"),0)))-1)/4*100,"")</f>
        <v/>
      </c>
      <c r="X883" t="str">
        <f ca="1">IFERROR(((AVERAGEIFS(Observacion_Directa!$D$2:$D$1000,Observacion_Directa!$A$2:$A$1000,$A883,Observacion_Directa!$B$2:$B$1000,"&gt;="&amp;DATEVALUE($B883&amp;"-01"),Observacion_Directa!$B$2:$B$1000,"&lt;="&amp;EOMONTH(DATEVALUE($B883&amp;"-01"),0)))-1)/4*100,"")</f>
        <v/>
      </c>
      <c r="Y883" t="e">
        <f t="shared" ca="1" si="27"/>
        <v>#DIV/0!</v>
      </c>
    </row>
    <row r="884" spans="12:25" x14ac:dyDescent="0.2">
      <c r="L884" t="str">
        <f t="shared" si="26"/>
        <v/>
      </c>
      <c r="M884" t="str">
        <f>IFERROR(AVERAGEIFS(Prod_5dias!$H$2:$H$1000,Prod_5dias!$A$2:$A$1000,$A884,Prod_5dias!$B$2:$B$1000,$B884),"")</f>
        <v/>
      </c>
      <c r="N884" t="str">
        <f>IF(M884="","",MIN(100,100*M884/Parametros!$B$7))</f>
        <v/>
      </c>
      <c r="O884" t="str">
        <f>IF(F884="","",IF(F884=0,100,MIN(100,100*Parametros!$B$3/F884)))</f>
        <v/>
      </c>
      <c r="P884" t="str">
        <f ca="1">IFERROR(((AVERAGEIFS(Observacion_Directa!$E$2:$E$1000,Observacion_Directa!$A$2:$A$1000,$A884,Observacion_Directa!$B$2:$B$1000,"&gt;="&amp;DATEVALUE($B884&amp;"-01"),Observacion_Directa!$B$2:$B$1000,"&lt;="&amp;EOMONTH(DATEVALUE($B884&amp;"-01"),0)))-1)/4*100,"")</f>
        <v/>
      </c>
      <c r="Q884" t="str">
        <f>IF(H884="","",MIN(100,100*H884/Parametros!$B$4))</f>
        <v/>
      </c>
      <c r="R884" t="str">
        <f>IF(I884="","",IF(I884=0,100,MIN(100,100*Parametros!$B$5/I884)))</f>
        <v/>
      </c>
      <c r="S884" t="str">
        <f>IF(J884="","",IF(J884=0,100,MIN(100,100*Parametros!$B$6/J884)))</f>
        <v/>
      </c>
      <c r="T884" t="str">
        <f>IF(L884="","",MIN(100,100*L884/Parametros!$B$7))</f>
        <v/>
      </c>
      <c r="U884" t="str">
        <f>IF(K884="","",MIN(100,100*K884/Parametros!$B$8))</f>
        <v/>
      </c>
      <c r="V884" t="str">
        <f ca="1">IFERROR(((AVERAGEIFS(Documentacion!$C$2:$C$1000,Documentacion!$A$2:$A$1000,$A884,Documentacion!$B$2:$B$1000,"&gt;="&amp;DATEVALUE($B884&amp;"-01"),Documentacion!$B$2:$B$1000,"&lt;="&amp;EOMONTH(DATEVALUE($B884&amp;"-01"),0)))-1)/4*100,"")</f>
        <v/>
      </c>
      <c r="W884" t="str">
        <f ca="1">IFERROR(((AVERAGEIFS(Feedback_360!$D$2:$D$1000,Feedback_360!$A$2:$A$1000,$A884,Feedback_360!$B$2:$B$1000,"&gt;="&amp;DATEVALUE($B884&amp;"-01"),Feedback_360!$B$2:$B$1000,"&lt;="&amp;EOMONTH(DATEVALUE($B884&amp;"-01"),0)))-1)/4*100,"")</f>
        <v/>
      </c>
      <c r="X884" t="str">
        <f ca="1">IFERROR(((AVERAGEIFS(Observacion_Directa!$D$2:$D$1000,Observacion_Directa!$A$2:$A$1000,$A884,Observacion_Directa!$B$2:$B$1000,"&gt;="&amp;DATEVALUE($B884&amp;"-01"),Observacion_Directa!$B$2:$B$1000,"&lt;="&amp;EOMONTH(DATEVALUE($B884&amp;"-01"),0)))-1)/4*100,"")</f>
        <v/>
      </c>
      <c r="Y884" t="e">
        <f t="shared" ca="1" si="27"/>
        <v>#DIV/0!</v>
      </c>
    </row>
    <row r="885" spans="12:25" x14ac:dyDescent="0.2">
      <c r="L885" t="str">
        <f t="shared" si="26"/>
        <v/>
      </c>
      <c r="M885" t="str">
        <f>IFERROR(AVERAGEIFS(Prod_5dias!$H$2:$H$1000,Prod_5dias!$A$2:$A$1000,$A885,Prod_5dias!$B$2:$B$1000,$B885),"")</f>
        <v/>
      </c>
      <c r="N885" t="str">
        <f>IF(M885="","",MIN(100,100*M885/Parametros!$B$7))</f>
        <v/>
      </c>
      <c r="O885" t="str">
        <f>IF(F885="","",IF(F885=0,100,MIN(100,100*Parametros!$B$3/F885)))</f>
        <v/>
      </c>
      <c r="P885" t="str">
        <f ca="1">IFERROR(((AVERAGEIFS(Observacion_Directa!$E$2:$E$1000,Observacion_Directa!$A$2:$A$1000,$A885,Observacion_Directa!$B$2:$B$1000,"&gt;="&amp;DATEVALUE($B885&amp;"-01"),Observacion_Directa!$B$2:$B$1000,"&lt;="&amp;EOMONTH(DATEVALUE($B885&amp;"-01"),0)))-1)/4*100,"")</f>
        <v/>
      </c>
      <c r="Q885" t="str">
        <f>IF(H885="","",MIN(100,100*H885/Parametros!$B$4))</f>
        <v/>
      </c>
      <c r="R885" t="str">
        <f>IF(I885="","",IF(I885=0,100,MIN(100,100*Parametros!$B$5/I885)))</f>
        <v/>
      </c>
      <c r="S885" t="str">
        <f>IF(J885="","",IF(J885=0,100,MIN(100,100*Parametros!$B$6/J885)))</f>
        <v/>
      </c>
      <c r="T885" t="str">
        <f>IF(L885="","",MIN(100,100*L885/Parametros!$B$7))</f>
        <v/>
      </c>
      <c r="U885" t="str">
        <f>IF(K885="","",MIN(100,100*K885/Parametros!$B$8))</f>
        <v/>
      </c>
      <c r="V885" t="str">
        <f ca="1">IFERROR(((AVERAGEIFS(Documentacion!$C$2:$C$1000,Documentacion!$A$2:$A$1000,$A885,Documentacion!$B$2:$B$1000,"&gt;="&amp;DATEVALUE($B885&amp;"-01"),Documentacion!$B$2:$B$1000,"&lt;="&amp;EOMONTH(DATEVALUE($B885&amp;"-01"),0)))-1)/4*100,"")</f>
        <v/>
      </c>
      <c r="W885" t="str">
        <f ca="1">IFERROR(((AVERAGEIFS(Feedback_360!$D$2:$D$1000,Feedback_360!$A$2:$A$1000,$A885,Feedback_360!$B$2:$B$1000,"&gt;="&amp;DATEVALUE($B885&amp;"-01"),Feedback_360!$B$2:$B$1000,"&lt;="&amp;EOMONTH(DATEVALUE($B885&amp;"-01"),0)))-1)/4*100,"")</f>
        <v/>
      </c>
      <c r="X885" t="str">
        <f ca="1">IFERROR(((AVERAGEIFS(Observacion_Directa!$D$2:$D$1000,Observacion_Directa!$A$2:$A$1000,$A885,Observacion_Directa!$B$2:$B$1000,"&gt;="&amp;DATEVALUE($B885&amp;"-01"),Observacion_Directa!$B$2:$B$1000,"&lt;="&amp;EOMONTH(DATEVALUE($B885&amp;"-01"),0)))-1)/4*100,"")</f>
        <v/>
      </c>
      <c r="Y885" t="e">
        <f t="shared" ca="1" si="27"/>
        <v>#DIV/0!</v>
      </c>
    </row>
    <row r="886" spans="12:25" x14ac:dyDescent="0.2">
      <c r="L886" t="str">
        <f t="shared" si="26"/>
        <v/>
      </c>
      <c r="M886" t="str">
        <f>IFERROR(AVERAGEIFS(Prod_5dias!$H$2:$H$1000,Prod_5dias!$A$2:$A$1000,$A886,Prod_5dias!$B$2:$B$1000,$B886),"")</f>
        <v/>
      </c>
      <c r="N886" t="str">
        <f>IF(M886="","",MIN(100,100*M886/Parametros!$B$7))</f>
        <v/>
      </c>
      <c r="O886" t="str">
        <f>IF(F886="","",IF(F886=0,100,MIN(100,100*Parametros!$B$3/F886)))</f>
        <v/>
      </c>
      <c r="P886" t="str">
        <f ca="1">IFERROR(((AVERAGEIFS(Observacion_Directa!$E$2:$E$1000,Observacion_Directa!$A$2:$A$1000,$A886,Observacion_Directa!$B$2:$B$1000,"&gt;="&amp;DATEVALUE($B886&amp;"-01"),Observacion_Directa!$B$2:$B$1000,"&lt;="&amp;EOMONTH(DATEVALUE($B886&amp;"-01"),0)))-1)/4*100,"")</f>
        <v/>
      </c>
      <c r="Q886" t="str">
        <f>IF(H886="","",MIN(100,100*H886/Parametros!$B$4))</f>
        <v/>
      </c>
      <c r="R886" t="str">
        <f>IF(I886="","",IF(I886=0,100,MIN(100,100*Parametros!$B$5/I886)))</f>
        <v/>
      </c>
      <c r="S886" t="str">
        <f>IF(J886="","",IF(J886=0,100,MIN(100,100*Parametros!$B$6/J886)))</f>
        <v/>
      </c>
      <c r="T886" t="str">
        <f>IF(L886="","",MIN(100,100*L886/Parametros!$B$7))</f>
        <v/>
      </c>
      <c r="U886" t="str">
        <f>IF(K886="","",MIN(100,100*K886/Parametros!$B$8))</f>
        <v/>
      </c>
      <c r="V886" t="str">
        <f ca="1">IFERROR(((AVERAGEIFS(Documentacion!$C$2:$C$1000,Documentacion!$A$2:$A$1000,$A886,Documentacion!$B$2:$B$1000,"&gt;="&amp;DATEVALUE($B886&amp;"-01"),Documentacion!$B$2:$B$1000,"&lt;="&amp;EOMONTH(DATEVALUE($B886&amp;"-01"),0)))-1)/4*100,"")</f>
        <v/>
      </c>
      <c r="W886" t="str">
        <f ca="1">IFERROR(((AVERAGEIFS(Feedback_360!$D$2:$D$1000,Feedback_360!$A$2:$A$1000,$A886,Feedback_360!$B$2:$B$1000,"&gt;="&amp;DATEVALUE($B886&amp;"-01"),Feedback_360!$B$2:$B$1000,"&lt;="&amp;EOMONTH(DATEVALUE($B886&amp;"-01"),0)))-1)/4*100,"")</f>
        <v/>
      </c>
      <c r="X886" t="str">
        <f ca="1">IFERROR(((AVERAGEIFS(Observacion_Directa!$D$2:$D$1000,Observacion_Directa!$A$2:$A$1000,$A886,Observacion_Directa!$B$2:$B$1000,"&gt;="&amp;DATEVALUE($B886&amp;"-01"),Observacion_Directa!$B$2:$B$1000,"&lt;="&amp;EOMONTH(DATEVALUE($B886&amp;"-01"),0)))-1)/4*100,"")</f>
        <v/>
      </c>
      <c r="Y886" t="e">
        <f t="shared" ca="1" si="27"/>
        <v>#DIV/0!</v>
      </c>
    </row>
    <row r="887" spans="12:25" x14ac:dyDescent="0.2">
      <c r="L887" t="str">
        <f t="shared" si="26"/>
        <v/>
      </c>
      <c r="M887" t="str">
        <f>IFERROR(AVERAGEIFS(Prod_5dias!$H$2:$H$1000,Prod_5dias!$A$2:$A$1000,$A887,Prod_5dias!$B$2:$B$1000,$B887),"")</f>
        <v/>
      </c>
      <c r="N887" t="str">
        <f>IF(M887="","",MIN(100,100*M887/Parametros!$B$7))</f>
        <v/>
      </c>
      <c r="O887" t="str">
        <f>IF(F887="","",IF(F887=0,100,MIN(100,100*Parametros!$B$3/F887)))</f>
        <v/>
      </c>
      <c r="P887" t="str">
        <f ca="1">IFERROR(((AVERAGEIFS(Observacion_Directa!$E$2:$E$1000,Observacion_Directa!$A$2:$A$1000,$A887,Observacion_Directa!$B$2:$B$1000,"&gt;="&amp;DATEVALUE($B887&amp;"-01"),Observacion_Directa!$B$2:$B$1000,"&lt;="&amp;EOMONTH(DATEVALUE($B887&amp;"-01"),0)))-1)/4*100,"")</f>
        <v/>
      </c>
      <c r="Q887" t="str">
        <f>IF(H887="","",MIN(100,100*H887/Parametros!$B$4))</f>
        <v/>
      </c>
      <c r="R887" t="str">
        <f>IF(I887="","",IF(I887=0,100,MIN(100,100*Parametros!$B$5/I887)))</f>
        <v/>
      </c>
      <c r="S887" t="str">
        <f>IF(J887="","",IF(J887=0,100,MIN(100,100*Parametros!$B$6/J887)))</f>
        <v/>
      </c>
      <c r="T887" t="str">
        <f>IF(L887="","",MIN(100,100*L887/Parametros!$B$7))</f>
        <v/>
      </c>
      <c r="U887" t="str">
        <f>IF(K887="","",MIN(100,100*K887/Parametros!$B$8))</f>
        <v/>
      </c>
      <c r="V887" t="str">
        <f ca="1">IFERROR(((AVERAGEIFS(Documentacion!$C$2:$C$1000,Documentacion!$A$2:$A$1000,$A887,Documentacion!$B$2:$B$1000,"&gt;="&amp;DATEVALUE($B887&amp;"-01"),Documentacion!$B$2:$B$1000,"&lt;="&amp;EOMONTH(DATEVALUE($B887&amp;"-01"),0)))-1)/4*100,"")</f>
        <v/>
      </c>
      <c r="W887" t="str">
        <f ca="1">IFERROR(((AVERAGEIFS(Feedback_360!$D$2:$D$1000,Feedback_360!$A$2:$A$1000,$A887,Feedback_360!$B$2:$B$1000,"&gt;="&amp;DATEVALUE($B887&amp;"-01"),Feedback_360!$B$2:$B$1000,"&lt;="&amp;EOMONTH(DATEVALUE($B887&amp;"-01"),0)))-1)/4*100,"")</f>
        <v/>
      </c>
      <c r="X887" t="str">
        <f ca="1">IFERROR(((AVERAGEIFS(Observacion_Directa!$D$2:$D$1000,Observacion_Directa!$A$2:$A$1000,$A887,Observacion_Directa!$B$2:$B$1000,"&gt;="&amp;DATEVALUE($B887&amp;"-01"),Observacion_Directa!$B$2:$B$1000,"&lt;="&amp;EOMONTH(DATEVALUE($B887&amp;"-01"),0)))-1)/4*100,"")</f>
        <v/>
      </c>
      <c r="Y887" t="e">
        <f t="shared" ca="1" si="27"/>
        <v>#DIV/0!</v>
      </c>
    </row>
    <row r="888" spans="12:25" x14ac:dyDescent="0.2">
      <c r="L888" t="str">
        <f t="shared" si="26"/>
        <v/>
      </c>
      <c r="M888" t="str">
        <f>IFERROR(AVERAGEIFS(Prod_5dias!$H$2:$H$1000,Prod_5dias!$A$2:$A$1000,$A888,Prod_5dias!$B$2:$B$1000,$B888),"")</f>
        <v/>
      </c>
      <c r="N888" t="str">
        <f>IF(M888="","",MIN(100,100*M888/Parametros!$B$7))</f>
        <v/>
      </c>
      <c r="O888" t="str">
        <f>IF(F888="","",IF(F888=0,100,MIN(100,100*Parametros!$B$3/F888)))</f>
        <v/>
      </c>
      <c r="P888" t="str">
        <f ca="1">IFERROR(((AVERAGEIFS(Observacion_Directa!$E$2:$E$1000,Observacion_Directa!$A$2:$A$1000,$A888,Observacion_Directa!$B$2:$B$1000,"&gt;="&amp;DATEVALUE($B888&amp;"-01"),Observacion_Directa!$B$2:$B$1000,"&lt;="&amp;EOMONTH(DATEVALUE($B888&amp;"-01"),0)))-1)/4*100,"")</f>
        <v/>
      </c>
      <c r="Q888" t="str">
        <f>IF(H888="","",MIN(100,100*H888/Parametros!$B$4))</f>
        <v/>
      </c>
      <c r="R888" t="str">
        <f>IF(I888="","",IF(I888=0,100,MIN(100,100*Parametros!$B$5/I888)))</f>
        <v/>
      </c>
      <c r="S888" t="str">
        <f>IF(J888="","",IF(J888=0,100,MIN(100,100*Parametros!$B$6/J888)))</f>
        <v/>
      </c>
      <c r="T888" t="str">
        <f>IF(L888="","",MIN(100,100*L888/Parametros!$B$7))</f>
        <v/>
      </c>
      <c r="U888" t="str">
        <f>IF(K888="","",MIN(100,100*K888/Parametros!$B$8))</f>
        <v/>
      </c>
      <c r="V888" t="str">
        <f ca="1">IFERROR(((AVERAGEIFS(Documentacion!$C$2:$C$1000,Documentacion!$A$2:$A$1000,$A888,Documentacion!$B$2:$B$1000,"&gt;="&amp;DATEVALUE($B888&amp;"-01"),Documentacion!$B$2:$B$1000,"&lt;="&amp;EOMONTH(DATEVALUE($B888&amp;"-01"),0)))-1)/4*100,"")</f>
        <v/>
      </c>
      <c r="W888" t="str">
        <f ca="1">IFERROR(((AVERAGEIFS(Feedback_360!$D$2:$D$1000,Feedback_360!$A$2:$A$1000,$A888,Feedback_360!$B$2:$B$1000,"&gt;="&amp;DATEVALUE($B888&amp;"-01"),Feedback_360!$B$2:$B$1000,"&lt;="&amp;EOMONTH(DATEVALUE($B888&amp;"-01"),0)))-1)/4*100,"")</f>
        <v/>
      </c>
      <c r="X888" t="str">
        <f ca="1">IFERROR(((AVERAGEIFS(Observacion_Directa!$D$2:$D$1000,Observacion_Directa!$A$2:$A$1000,$A888,Observacion_Directa!$B$2:$B$1000,"&gt;="&amp;DATEVALUE($B888&amp;"-01"),Observacion_Directa!$B$2:$B$1000,"&lt;="&amp;EOMONTH(DATEVALUE($B888&amp;"-01"),0)))-1)/4*100,"")</f>
        <v/>
      </c>
      <c r="Y888" t="e">
        <f t="shared" ca="1" si="27"/>
        <v>#DIV/0!</v>
      </c>
    </row>
    <row r="889" spans="12:25" x14ac:dyDescent="0.2">
      <c r="L889" t="str">
        <f t="shared" si="26"/>
        <v/>
      </c>
      <c r="M889" t="str">
        <f>IFERROR(AVERAGEIFS(Prod_5dias!$H$2:$H$1000,Prod_5dias!$A$2:$A$1000,$A889,Prod_5dias!$B$2:$B$1000,$B889),"")</f>
        <v/>
      </c>
      <c r="N889" t="str">
        <f>IF(M889="","",MIN(100,100*M889/Parametros!$B$7))</f>
        <v/>
      </c>
      <c r="O889" t="str">
        <f>IF(F889="","",IF(F889=0,100,MIN(100,100*Parametros!$B$3/F889)))</f>
        <v/>
      </c>
      <c r="P889" t="str">
        <f ca="1">IFERROR(((AVERAGEIFS(Observacion_Directa!$E$2:$E$1000,Observacion_Directa!$A$2:$A$1000,$A889,Observacion_Directa!$B$2:$B$1000,"&gt;="&amp;DATEVALUE($B889&amp;"-01"),Observacion_Directa!$B$2:$B$1000,"&lt;="&amp;EOMONTH(DATEVALUE($B889&amp;"-01"),0)))-1)/4*100,"")</f>
        <v/>
      </c>
      <c r="Q889" t="str">
        <f>IF(H889="","",MIN(100,100*H889/Parametros!$B$4))</f>
        <v/>
      </c>
      <c r="R889" t="str">
        <f>IF(I889="","",IF(I889=0,100,MIN(100,100*Parametros!$B$5/I889)))</f>
        <v/>
      </c>
      <c r="S889" t="str">
        <f>IF(J889="","",IF(J889=0,100,MIN(100,100*Parametros!$B$6/J889)))</f>
        <v/>
      </c>
      <c r="T889" t="str">
        <f>IF(L889="","",MIN(100,100*L889/Parametros!$B$7))</f>
        <v/>
      </c>
      <c r="U889" t="str">
        <f>IF(K889="","",MIN(100,100*K889/Parametros!$B$8))</f>
        <v/>
      </c>
      <c r="V889" t="str">
        <f ca="1">IFERROR(((AVERAGEIFS(Documentacion!$C$2:$C$1000,Documentacion!$A$2:$A$1000,$A889,Documentacion!$B$2:$B$1000,"&gt;="&amp;DATEVALUE($B889&amp;"-01"),Documentacion!$B$2:$B$1000,"&lt;="&amp;EOMONTH(DATEVALUE($B889&amp;"-01"),0)))-1)/4*100,"")</f>
        <v/>
      </c>
      <c r="W889" t="str">
        <f ca="1">IFERROR(((AVERAGEIFS(Feedback_360!$D$2:$D$1000,Feedback_360!$A$2:$A$1000,$A889,Feedback_360!$B$2:$B$1000,"&gt;="&amp;DATEVALUE($B889&amp;"-01"),Feedback_360!$B$2:$B$1000,"&lt;="&amp;EOMONTH(DATEVALUE($B889&amp;"-01"),0)))-1)/4*100,"")</f>
        <v/>
      </c>
      <c r="X889" t="str">
        <f ca="1">IFERROR(((AVERAGEIFS(Observacion_Directa!$D$2:$D$1000,Observacion_Directa!$A$2:$A$1000,$A889,Observacion_Directa!$B$2:$B$1000,"&gt;="&amp;DATEVALUE($B889&amp;"-01"),Observacion_Directa!$B$2:$B$1000,"&lt;="&amp;EOMONTH(DATEVALUE($B889&amp;"-01"),0)))-1)/4*100,"")</f>
        <v/>
      </c>
      <c r="Y889" t="e">
        <f t="shared" ca="1" si="27"/>
        <v>#DIV/0!</v>
      </c>
    </row>
    <row r="890" spans="12:25" x14ac:dyDescent="0.2">
      <c r="L890" t="str">
        <f t="shared" si="26"/>
        <v/>
      </c>
      <c r="M890" t="str">
        <f>IFERROR(AVERAGEIFS(Prod_5dias!$H$2:$H$1000,Prod_5dias!$A$2:$A$1000,$A890,Prod_5dias!$B$2:$B$1000,$B890),"")</f>
        <v/>
      </c>
      <c r="N890" t="str">
        <f>IF(M890="","",MIN(100,100*M890/Parametros!$B$7))</f>
        <v/>
      </c>
      <c r="O890" t="str">
        <f>IF(F890="","",IF(F890=0,100,MIN(100,100*Parametros!$B$3/F890)))</f>
        <v/>
      </c>
      <c r="P890" t="str">
        <f ca="1">IFERROR(((AVERAGEIFS(Observacion_Directa!$E$2:$E$1000,Observacion_Directa!$A$2:$A$1000,$A890,Observacion_Directa!$B$2:$B$1000,"&gt;="&amp;DATEVALUE($B890&amp;"-01"),Observacion_Directa!$B$2:$B$1000,"&lt;="&amp;EOMONTH(DATEVALUE($B890&amp;"-01"),0)))-1)/4*100,"")</f>
        <v/>
      </c>
      <c r="Q890" t="str">
        <f>IF(H890="","",MIN(100,100*H890/Parametros!$B$4))</f>
        <v/>
      </c>
      <c r="R890" t="str">
        <f>IF(I890="","",IF(I890=0,100,MIN(100,100*Parametros!$B$5/I890)))</f>
        <v/>
      </c>
      <c r="S890" t="str">
        <f>IF(J890="","",IF(J890=0,100,MIN(100,100*Parametros!$B$6/J890)))</f>
        <v/>
      </c>
      <c r="T890" t="str">
        <f>IF(L890="","",MIN(100,100*L890/Parametros!$B$7))</f>
        <v/>
      </c>
      <c r="U890" t="str">
        <f>IF(K890="","",MIN(100,100*K890/Parametros!$B$8))</f>
        <v/>
      </c>
      <c r="V890" t="str">
        <f ca="1">IFERROR(((AVERAGEIFS(Documentacion!$C$2:$C$1000,Documentacion!$A$2:$A$1000,$A890,Documentacion!$B$2:$B$1000,"&gt;="&amp;DATEVALUE($B890&amp;"-01"),Documentacion!$B$2:$B$1000,"&lt;="&amp;EOMONTH(DATEVALUE($B890&amp;"-01"),0)))-1)/4*100,"")</f>
        <v/>
      </c>
      <c r="W890" t="str">
        <f ca="1">IFERROR(((AVERAGEIFS(Feedback_360!$D$2:$D$1000,Feedback_360!$A$2:$A$1000,$A890,Feedback_360!$B$2:$B$1000,"&gt;="&amp;DATEVALUE($B890&amp;"-01"),Feedback_360!$B$2:$B$1000,"&lt;="&amp;EOMONTH(DATEVALUE($B890&amp;"-01"),0)))-1)/4*100,"")</f>
        <v/>
      </c>
      <c r="X890" t="str">
        <f ca="1">IFERROR(((AVERAGEIFS(Observacion_Directa!$D$2:$D$1000,Observacion_Directa!$A$2:$A$1000,$A890,Observacion_Directa!$B$2:$B$1000,"&gt;="&amp;DATEVALUE($B890&amp;"-01"),Observacion_Directa!$B$2:$B$1000,"&lt;="&amp;EOMONTH(DATEVALUE($B890&amp;"-01"),0)))-1)/4*100,"")</f>
        <v/>
      </c>
      <c r="Y890" t="e">
        <f t="shared" ca="1" si="27"/>
        <v>#DIV/0!</v>
      </c>
    </row>
    <row r="891" spans="12:25" x14ac:dyDescent="0.2">
      <c r="L891" t="str">
        <f t="shared" si="26"/>
        <v/>
      </c>
      <c r="M891" t="str">
        <f>IFERROR(AVERAGEIFS(Prod_5dias!$H$2:$H$1000,Prod_5dias!$A$2:$A$1000,$A891,Prod_5dias!$B$2:$B$1000,$B891),"")</f>
        <v/>
      </c>
      <c r="N891" t="str">
        <f>IF(M891="","",MIN(100,100*M891/Parametros!$B$7))</f>
        <v/>
      </c>
      <c r="O891" t="str">
        <f>IF(F891="","",IF(F891=0,100,MIN(100,100*Parametros!$B$3/F891)))</f>
        <v/>
      </c>
      <c r="P891" t="str">
        <f ca="1">IFERROR(((AVERAGEIFS(Observacion_Directa!$E$2:$E$1000,Observacion_Directa!$A$2:$A$1000,$A891,Observacion_Directa!$B$2:$B$1000,"&gt;="&amp;DATEVALUE($B891&amp;"-01"),Observacion_Directa!$B$2:$B$1000,"&lt;="&amp;EOMONTH(DATEVALUE($B891&amp;"-01"),0)))-1)/4*100,"")</f>
        <v/>
      </c>
      <c r="Q891" t="str">
        <f>IF(H891="","",MIN(100,100*H891/Parametros!$B$4))</f>
        <v/>
      </c>
      <c r="R891" t="str">
        <f>IF(I891="","",IF(I891=0,100,MIN(100,100*Parametros!$B$5/I891)))</f>
        <v/>
      </c>
      <c r="S891" t="str">
        <f>IF(J891="","",IF(J891=0,100,MIN(100,100*Parametros!$B$6/J891)))</f>
        <v/>
      </c>
      <c r="T891" t="str">
        <f>IF(L891="","",MIN(100,100*L891/Parametros!$B$7))</f>
        <v/>
      </c>
      <c r="U891" t="str">
        <f>IF(K891="","",MIN(100,100*K891/Parametros!$B$8))</f>
        <v/>
      </c>
      <c r="V891" t="str">
        <f ca="1">IFERROR(((AVERAGEIFS(Documentacion!$C$2:$C$1000,Documentacion!$A$2:$A$1000,$A891,Documentacion!$B$2:$B$1000,"&gt;="&amp;DATEVALUE($B891&amp;"-01"),Documentacion!$B$2:$B$1000,"&lt;="&amp;EOMONTH(DATEVALUE($B891&amp;"-01"),0)))-1)/4*100,"")</f>
        <v/>
      </c>
      <c r="W891" t="str">
        <f ca="1">IFERROR(((AVERAGEIFS(Feedback_360!$D$2:$D$1000,Feedback_360!$A$2:$A$1000,$A891,Feedback_360!$B$2:$B$1000,"&gt;="&amp;DATEVALUE($B891&amp;"-01"),Feedback_360!$B$2:$B$1000,"&lt;="&amp;EOMONTH(DATEVALUE($B891&amp;"-01"),0)))-1)/4*100,"")</f>
        <v/>
      </c>
      <c r="X891" t="str">
        <f ca="1">IFERROR(((AVERAGEIFS(Observacion_Directa!$D$2:$D$1000,Observacion_Directa!$A$2:$A$1000,$A891,Observacion_Directa!$B$2:$B$1000,"&gt;="&amp;DATEVALUE($B891&amp;"-01"),Observacion_Directa!$B$2:$B$1000,"&lt;="&amp;EOMONTH(DATEVALUE($B891&amp;"-01"),0)))-1)/4*100,"")</f>
        <v/>
      </c>
      <c r="Y891" t="e">
        <f t="shared" ca="1" si="27"/>
        <v>#DIV/0!</v>
      </c>
    </row>
    <row r="892" spans="12:25" x14ac:dyDescent="0.2">
      <c r="L892" t="str">
        <f t="shared" si="26"/>
        <v/>
      </c>
      <c r="M892" t="str">
        <f>IFERROR(AVERAGEIFS(Prod_5dias!$H$2:$H$1000,Prod_5dias!$A$2:$A$1000,$A892,Prod_5dias!$B$2:$B$1000,$B892),"")</f>
        <v/>
      </c>
      <c r="N892" t="str">
        <f>IF(M892="","",MIN(100,100*M892/Parametros!$B$7))</f>
        <v/>
      </c>
      <c r="O892" t="str">
        <f>IF(F892="","",IF(F892=0,100,MIN(100,100*Parametros!$B$3/F892)))</f>
        <v/>
      </c>
      <c r="P892" t="str">
        <f ca="1">IFERROR(((AVERAGEIFS(Observacion_Directa!$E$2:$E$1000,Observacion_Directa!$A$2:$A$1000,$A892,Observacion_Directa!$B$2:$B$1000,"&gt;="&amp;DATEVALUE($B892&amp;"-01"),Observacion_Directa!$B$2:$B$1000,"&lt;="&amp;EOMONTH(DATEVALUE($B892&amp;"-01"),0)))-1)/4*100,"")</f>
        <v/>
      </c>
      <c r="Q892" t="str">
        <f>IF(H892="","",MIN(100,100*H892/Parametros!$B$4))</f>
        <v/>
      </c>
      <c r="R892" t="str">
        <f>IF(I892="","",IF(I892=0,100,MIN(100,100*Parametros!$B$5/I892)))</f>
        <v/>
      </c>
      <c r="S892" t="str">
        <f>IF(J892="","",IF(J892=0,100,MIN(100,100*Parametros!$B$6/J892)))</f>
        <v/>
      </c>
      <c r="T892" t="str">
        <f>IF(L892="","",MIN(100,100*L892/Parametros!$B$7))</f>
        <v/>
      </c>
      <c r="U892" t="str">
        <f>IF(K892="","",MIN(100,100*K892/Parametros!$B$8))</f>
        <v/>
      </c>
      <c r="V892" t="str">
        <f ca="1">IFERROR(((AVERAGEIFS(Documentacion!$C$2:$C$1000,Documentacion!$A$2:$A$1000,$A892,Documentacion!$B$2:$B$1000,"&gt;="&amp;DATEVALUE($B892&amp;"-01"),Documentacion!$B$2:$B$1000,"&lt;="&amp;EOMONTH(DATEVALUE($B892&amp;"-01"),0)))-1)/4*100,"")</f>
        <v/>
      </c>
      <c r="W892" t="str">
        <f ca="1">IFERROR(((AVERAGEIFS(Feedback_360!$D$2:$D$1000,Feedback_360!$A$2:$A$1000,$A892,Feedback_360!$B$2:$B$1000,"&gt;="&amp;DATEVALUE($B892&amp;"-01"),Feedback_360!$B$2:$B$1000,"&lt;="&amp;EOMONTH(DATEVALUE($B892&amp;"-01"),0)))-1)/4*100,"")</f>
        <v/>
      </c>
      <c r="X892" t="str">
        <f ca="1">IFERROR(((AVERAGEIFS(Observacion_Directa!$D$2:$D$1000,Observacion_Directa!$A$2:$A$1000,$A892,Observacion_Directa!$B$2:$B$1000,"&gt;="&amp;DATEVALUE($B892&amp;"-01"),Observacion_Directa!$B$2:$B$1000,"&lt;="&amp;EOMONTH(DATEVALUE($B892&amp;"-01"),0)))-1)/4*100,"")</f>
        <v/>
      </c>
      <c r="Y892" t="e">
        <f t="shared" ca="1" si="27"/>
        <v>#DIV/0!</v>
      </c>
    </row>
    <row r="893" spans="12:25" x14ac:dyDescent="0.2">
      <c r="L893" t="str">
        <f t="shared" si="26"/>
        <v/>
      </c>
      <c r="M893" t="str">
        <f>IFERROR(AVERAGEIFS(Prod_5dias!$H$2:$H$1000,Prod_5dias!$A$2:$A$1000,$A893,Prod_5dias!$B$2:$B$1000,$B893),"")</f>
        <v/>
      </c>
      <c r="N893" t="str">
        <f>IF(M893="","",MIN(100,100*M893/Parametros!$B$7))</f>
        <v/>
      </c>
      <c r="O893" t="str">
        <f>IF(F893="","",IF(F893=0,100,MIN(100,100*Parametros!$B$3/F893)))</f>
        <v/>
      </c>
      <c r="P893" t="str">
        <f ca="1">IFERROR(((AVERAGEIFS(Observacion_Directa!$E$2:$E$1000,Observacion_Directa!$A$2:$A$1000,$A893,Observacion_Directa!$B$2:$B$1000,"&gt;="&amp;DATEVALUE($B893&amp;"-01"),Observacion_Directa!$B$2:$B$1000,"&lt;="&amp;EOMONTH(DATEVALUE($B893&amp;"-01"),0)))-1)/4*100,"")</f>
        <v/>
      </c>
      <c r="Q893" t="str">
        <f>IF(H893="","",MIN(100,100*H893/Parametros!$B$4))</f>
        <v/>
      </c>
      <c r="R893" t="str">
        <f>IF(I893="","",IF(I893=0,100,MIN(100,100*Parametros!$B$5/I893)))</f>
        <v/>
      </c>
      <c r="S893" t="str">
        <f>IF(J893="","",IF(J893=0,100,MIN(100,100*Parametros!$B$6/J893)))</f>
        <v/>
      </c>
      <c r="T893" t="str">
        <f>IF(L893="","",MIN(100,100*L893/Parametros!$B$7))</f>
        <v/>
      </c>
      <c r="U893" t="str">
        <f>IF(K893="","",MIN(100,100*K893/Parametros!$B$8))</f>
        <v/>
      </c>
      <c r="V893" t="str">
        <f ca="1">IFERROR(((AVERAGEIFS(Documentacion!$C$2:$C$1000,Documentacion!$A$2:$A$1000,$A893,Documentacion!$B$2:$B$1000,"&gt;="&amp;DATEVALUE($B893&amp;"-01"),Documentacion!$B$2:$B$1000,"&lt;="&amp;EOMONTH(DATEVALUE($B893&amp;"-01"),0)))-1)/4*100,"")</f>
        <v/>
      </c>
      <c r="W893" t="str">
        <f ca="1">IFERROR(((AVERAGEIFS(Feedback_360!$D$2:$D$1000,Feedback_360!$A$2:$A$1000,$A893,Feedback_360!$B$2:$B$1000,"&gt;="&amp;DATEVALUE($B893&amp;"-01"),Feedback_360!$B$2:$B$1000,"&lt;="&amp;EOMONTH(DATEVALUE($B893&amp;"-01"),0)))-1)/4*100,"")</f>
        <v/>
      </c>
      <c r="X893" t="str">
        <f ca="1">IFERROR(((AVERAGEIFS(Observacion_Directa!$D$2:$D$1000,Observacion_Directa!$A$2:$A$1000,$A893,Observacion_Directa!$B$2:$B$1000,"&gt;="&amp;DATEVALUE($B893&amp;"-01"),Observacion_Directa!$B$2:$B$1000,"&lt;="&amp;EOMONTH(DATEVALUE($B893&amp;"-01"),0)))-1)/4*100,"")</f>
        <v/>
      </c>
      <c r="Y893" t="e">
        <f t="shared" ca="1" si="27"/>
        <v>#DIV/0!</v>
      </c>
    </row>
    <row r="894" spans="12:25" x14ac:dyDescent="0.2">
      <c r="L894" t="str">
        <f t="shared" si="26"/>
        <v/>
      </c>
      <c r="M894" t="str">
        <f>IFERROR(AVERAGEIFS(Prod_5dias!$H$2:$H$1000,Prod_5dias!$A$2:$A$1000,$A894,Prod_5dias!$B$2:$B$1000,$B894),"")</f>
        <v/>
      </c>
      <c r="N894" t="str">
        <f>IF(M894="","",MIN(100,100*M894/Parametros!$B$7))</f>
        <v/>
      </c>
      <c r="O894" t="str">
        <f>IF(F894="","",IF(F894=0,100,MIN(100,100*Parametros!$B$3/F894)))</f>
        <v/>
      </c>
      <c r="P894" t="str">
        <f ca="1">IFERROR(((AVERAGEIFS(Observacion_Directa!$E$2:$E$1000,Observacion_Directa!$A$2:$A$1000,$A894,Observacion_Directa!$B$2:$B$1000,"&gt;="&amp;DATEVALUE($B894&amp;"-01"),Observacion_Directa!$B$2:$B$1000,"&lt;="&amp;EOMONTH(DATEVALUE($B894&amp;"-01"),0)))-1)/4*100,"")</f>
        <v/>
      </c>
      <c r="Q894" t="str">
        <f>IF(H894="","",MIN(100,100*H894/Parametros!$B$4))</f>
        <v/>
      </c>
      <c r="R894" t="str">
        <f>IF(I894="","",IF(I894=0,100,MIN(100,100*Parametros!$B$5/I894)))</f>
        <v/>
      </c>
      <c r="S894" t="str">
        <f>IF(J894="","",IF(J894=0,100,MIN(100,100*Parametros!$B$6/J894)))</f>
        <v/>
      </c>
      <c r="T894" t="str">
        <f>IF(L894="","",MIN(100,100*L894/Parametros!$B$7))</f>
        <v/>
      </c>
      <c r="U894" t="str">
        <f>IF(K894="","",MIN(100,100*K894/Parametros!$B$8))</f>
        <v/>
      </c>
      <c r="V894" t="str">
        <f ca="1">IFERROR(((AVERAGEIFS(Documentacion!$C$2:$C$1000,Documentacion!$A$2:$A$1000,$A894,Documentacion!$B$2:$B$1000,"&gt;="&amp;DATEVALUE($B894&amp;"-01"),Documentacion!$B$2:$B$1000,"&lt;="&amp;EOMONTH(DATEVALUE($B894&amp;"-01"),0)))-1)/4*100,"")</f>
        <v/>
      </c>
      <c r="W894" t="str">
        <f ca="1">IFERROR(((AVERAGEIFS(Feedback_360!$D$2:$D$1000,Feedback_360!$A$2:$A$1000,$A894,Feedback_360!$B$2:$B$1000,"&gt;="&amp;DATEVALUE($B894&amp;"-01"),Feedback_360!$B$2:$B$1000,"&lt;="&amp;EOMONTH(DATEVALUE($B894&amp;"-01"),0)))-1)/4*100,"")</f>
        <v/>
      </c>
      <c r="X894" t="str">
        <f ca="1">IFERROR(((AVERAGEIFS(Observacion_Directa!$D$2:$D$1000,Observacion_Directa!$A$2:$A$1000,$A894,Observacion_Directa!$B$2:$B$1000,"&gt;="&amp;DATEVALUE($B894&amp;"-01"),Observacion_Directa!$B$2:$B$1000,"&lt;="&amp;EOMONTH(DATEVALUE($B894&amp;"-01"),0)))-1)/4*100,"")</f>
        <v/>
      </c>
      <c r="Y894" t="e">
        <f t="shared" ca="1" si="27"/>
        <v>#DIV/0!</v>
      </c>
    </row>
    <row r="895" spans="12:25" x14ac:dyDescent="0.2">
      <c r="L895" t="str">
        <f t="shared" si="26"/>
        <v/>
      </c>
      <c r="M895" t="str">
        <f>IFERROR(AVERAGEIFS(Prod_5dias!$H$2:$H$1000,Prod_5dias!$A$2:$A$1000,$A895,Prod_5dias!$B$2:$B$1000,$B895),"")</f>
        <v/>
      </c>
      <c r="N895" t="str">
        <f>IF(M895="","",MIN(100,100*M895/Parametros!$B$7))</f>
        <v/>
      </c>
      <c r="O895" t="str">
        <f>IF(F895="","",IF(F895=0,100,MIN(100,100*Parametros!$B$3/F895)))</f>
        <v/>
      </c>
      <c r="P895" t="str">
        <f ca="1">IFERROR(((AVERAGEIFS(Observacion_Directa!$E$2:$E$1000,Observacion_Directa!$A$2:$A$1000,$A895,Observacion_Directa!$B$2:$B$1000,"&gt;="&amp;DATEVALUE($B895&amp;"-01"),Observacion_Directa!$B$2:$B$1000,"&lt;="&amp;EOMONTH(DATEVALUE($B895&amp;"-01"),0)))-1)/4*100,"")</f>
        <v/>
      </c>
      <c r="Q895" t="str">
        <f>IF(H895="","",MIN(100,100*H895/Parametros!$B$4))</f>
        <v/>
      </c>
      <c r="R895" t="str">
        <f>IF(I895="","",IF(I895=0,100,MIN(100,100*Parametros!$B$5/I895)))</f>
        <v/>
      </c>
      <c r="S895" t="str">
        <f>IF(J895="","",IF(J895=0,100,MIN(100,100*Parametros!$B$6/J895)))</f>
        <v/>
      </c>
      <c r="T895" t="str">
        <f>IF(L895="","",MIN(100,100*L895/Parametros!$B$7))</f>
        <v/>
      </c>
      <c r="U895" t="str">
        <f>IF(K895="","",MIN(100,100*K895/Parametros!$B$8))</f>
        <v/>
      </c>
      <c r="V895" t="str">
        <f ca="1">IFERROR(((AVERAGEIFS(Documentacion!$C$2:$C$1000,Documentacion!$A$2:$A$1000,$A895,Documentacion!$B$2:$B$1000,"&gt;="&amp;DATEVALUE($B895&amp;"-01"),Documentacion!$B$2:$B$1000,"&lt;="&amp;EOMONTH(DATEVALUE($B895&amp;"-01"),0)))-1)/4*100,"")</f>
        <v/>
      </c>
      <c r="W895" t="str">
        <f ca="1">IFERROR(((AVERAGEIFS(Feedback_360!$D$2:$D$1000,Feedback_360!$A$2:$A$1000,$A895,Feedback_360!$B$2:$B$1000,"&gt;="&amp;DATEVALUE($B895&amp;"-01"),Feedback_360!$B$2:$B$1000,"&lt;="&amp;EOMONTH(DATEVALUE($B895&amp;"-01"),0)))-1)/4*100,"")</f>
        <v/>
      </c>
      <c r="X895" t="str">
        <f ca="1">IFERROR(((AVERAGEIFS(Observacion_Directa!$D$2:$D$1000,Observacion_Directa!$A$2:$A$1000,$A895,Observacion_Directa!$B$2:$B$1000,"&gt;="&amp;DATEVALUE($B895&amp;"-01"),Observacion_Directa!$B$2:$B$1000,"&lt;="&amp;EOMONTH(DATEVALUE($B895&amp;"-01"),0)))-1)/4*100,"")</f>
        <v/>
      </c>
      <c r="Y895" t="e">
        <f t="shared" ca="1" si="27"/>
        <v>#DIV/0!</v>
      </c>
    </row>
    <row r="896" spans="12:25" x14ac:dyDescent="0.2">
      <c r="L896" t="str">
        <f t="shared" si="26"/>
        <v/>
      </c>
      <c r="M896" t="str">
        <f>IFERROR(AVERAGEIFS(Prod_5dias!$H$2:$H$1000,Prod_5dias!$A$2:$A$1000,$A896,Prod_5dias!$B$2:$B$1000,$B896),"")</f>
        <v/>
      </c>
      <c r="N896" t="str">
        <f>IF(M896="","",MIN(100,100*M896/Parametros!$B$7))</f>
        <v/>
      </c>
      <c r="O896" t="str">
        <f>IF(F896="","",IF(F896=0,100,MIN(100,100*Parametros!$B$3/F896)))</f>
        <v/>
      </c>
      <c r="P896" t="str">
        <f ca="1">IFERROR(((AVERAGEIFS(Observacion_Directa!$E$2:$E$1000,Observacion_Directa!$A$2:$A$1000,$A896,Observacion_Directa!$B$2:$B$1000,"&gt;="&amp;DATEVALUE($B896&amp;"-01"),Observacion_Directa!$B$2:$B$1000,"&lt;="&amp;EOMONTH(DATEVALUE($B896&amp;"-01"),0)))-1)/4*100,"")</f>
        <v/>
      </c>
      <c r="Q896" t="str">
        <f>IF(H896="","",MIN(100,100*H896/Parametros!$B$4))</f>
        <v/>
      </c>
      <c r="R896" t="str">
        <f>IF(I896="","",IF(I896=0,100,MIN(100,100*Parametros!$B$5/I896)))</f>
        <v/>
      </c>
      <c r="S896" t="str">
        <f>IF(J896="","",IF(J896=0,100,MIN(100,100*Parametros!$B$6/J896)))</f>
        <v/>
      </c>
      <c r="T896" t="str">
        <f>IF(L896="","",MIN(100,100*L896/Parametros!$B$7))</f>
        <v/>
      </c>
      <c r="U896" t="str">
        <f>IF(K896="","",MIN(100,100*K896/Parametros!$B$8))</f>
        <v/>
      </c>
      <c r="V896" t="str">
        <f ca="1">IFERROR(((AVERAGEIFS(Documentacion!$C$2:$C$1000,Documentacion!$A$2:$A$1000,$A896,Documentacion!$B$2:$B$1000,"&gt;="&amp;DATEVALUE($B896&amp;"-01"),Documentacion!$B$2:$B$1000,"&lt;="&amp;EOMONTH(DATEVALUE($B896&amp;"-01"),0)))-1)/4*100,"")</f>
        <v/>
      </c>
      <c r="W896" t="str">
        <f ca="1">IFERROR(((AVERAGEIFS(Feedback_360!$D$2:$D$1000,Feedback_360!$A$2:$A$1000,$A896,Feedback_360!$B$2:$B$1000,"&gt;="&amp;DATEVALUE($B896&amp;"-01"),Feedback_360!$B$2:$B$1000,"&lt;="&amp;EOMONTH(DATEVALUE($B896&amp;"-01"),0)))-1)/4*100,"")</f>
        <v/>
      </c>
      <c r="X896" t="str">
        <f ca="1">IFERROR(((AVERAGEIFS(Observacion_Directa!$D$2:$D$1000,Observacion_Directa!$A$2:$A$1000,$A896,Observacion_Directa!$B$2:$B$1000,"&gt;="&amp;DATEVALUE($B896&amp;"-01"),Observacion_Directa!$B$2:$B$1000,"&lt;="&amp;EOMONTH(DATEVALUE($B896&amp;"-01"),0)))-1)/4*100,"")</f>
        <v/>
      </c>
      <c r="Y896" t="e">
        <f t="shared" ca="1" si="27"/>
        <v>#DIV/0!</v>
      </c>
    </row>
    <row r="897" spans="12:25" x14ac:dyDescent="0.2">
      <c r="L897" t="str">
        <f t="shared" si="26"/>
        <v/>
      </c>
      <c r="M897" t="str">
        <f>IFERROR(AVERAGEIFS(Prod_5dias!$H$2:$H$1000,Prod_5dias!$A$2:$A$1000,$A897,Prod_5dias!$B$2:$B$1000,$B897),"")</f>
        <v/>
      </c>
      <c r="N897" t="str">
        <f>IF(M897="","",MIN(100,100*M897/Parametros!$B$7))</f>
        <v/>
      </c>
      <c r="O897" t="str">
        <f>IF(F897="","",IF(F897=0,100,MIN(100,100*Parametros!$B$3/F897)))</f>
        <v/>
      </c>
      <c r="P897" t="str">
        <f ca="1">IFERROR(((AVERAGEIFS(Observacion_Directa!$E$2:$E$1000,Observacion_Directa!$A$2:$A$1000,$A897,Observacion_Directa!$B$2:$B$1000,"&gt;="&amp;DATEVALUE($B897&amp;"-01"),Observacion_Directa!$B$2:$B$1000,"&lt;="&amp;EOMONTH(DATEVALUE($B897&amp;"-01"),0)))-1)/4*100,"")</f>
        <v/>
      </c>
      <c r="Q897" t="str">
        <f>IF(H897="","",MIN(100,100*H897/Parametros!$B$4))</f>
        <v/>
      </c>
      <c r="R897" t="str">
        <f>IF(I897="","",IF(I897=0,100,MIN(100,100*Parametros!$B$5/I897)))</f>
        <v/>
      </c>
      <c r="S897" t="str">
        <f>IF(J897="","",IF(J897=0,100,MIN(100,100*Parametros!$B$6/J897)))</f>
        <v/>
      </c>
      <c r="T897" t="str">
        <f>IF(L897="","",MIN(100,100*L897/Parametros!$B$7))</f>
        <v/>
      </c>
      <c r="U897" t="str">
        <f>IF(K897="","",MIN(100,100*K897/Parametros!$B$8))</f>
        <v/>
      </c>
      <c r="V897" t="str">
        <f ca="1">IFERROR(((AVERAGEIFS(Documentacion!$C$2:$C$1000,Documentacion!$A$2:$A$1000,$A897,Documentacion!$B$2:$B$1000,"&gt;="&amp;DATEVALUE($B897&amp;"-01"),Documentacion!$B$2:$B$1000,"&lt;="&amp;EOMONTH(DATEVALUE($B897&amp;"-01"),0)))-1)/4*100,"")</f>
        <v/>
      </c>
      <c r="W897" t="str">
        <f ca="1">IFERROR(((AVERAGEIFS(Feedback_360!$D$2:$D$1000,Feedback_360!$A$2:$A$1000,$A897,Feedback_360!$B$2:$B$1000,"&gt;="&amp;DATEVALUE($B897&amp;"-01"),Feedback_360!$B$2:$B$1000,"&lt;="&amp;EOMONTH(DATEVALUE($B897&amp;"-01"),0)))-1)/4*100,"")</f>
        <v/>
      </c>
      <c r="X897" t="str">
        <f ca="1">IFERROR(((AVERAGEIFS(Observacion_Directa!$D$2:$D$1000,Observacion_Directa!$A$2:$A$1000,$A897,Observacion_Directa!$B$2:$B$1000,"&gt;="&amp;DATEVALUE($B897&amp;"-01"),Observacion_Directa!$B$2:$B$1000,"&lt;="&amp;EOMONTH(DATEVALUE($B897&amp;"-01"),0)))-1)/4*100,"")</f>
        <v/>
      </c>
      <c r="Y897" t="e">
        <f t="shared" ca="1" si="27"/>
        <v>#DIV/0!</v>
      </c>
    </row>
    <row r="898" spans="12:25" x14ac:dyDescent="0.2">
      <c r="L898" t="str">
        <f t="shared" ref="L898:L961" si="28">IF(OR(C898="",D898=""),"",C898/D898)</f>
        <v/>
      </c>
      <c r="M898" t="str">
        <f>IFERROR(AVERAGEIFS(Prod_5dias!$H$2:$H$1000,Prod_5dias!$A$2:$A$1000,$A898,Prod_5dias!$B$2:$B$1000,$B898),"")</f>
        <v/>
      </c>
      <c r="N898" t="str">
        <f>IF(M898="","",MIN(100,100*M898/Parametros!$B$7))</f>
        <v/>
      </c>
      <c r="O898" t="str">
        <f>IF(F898="","",IF(F898=0,100,MIN(100,100*Parametros!$B$3/F898)))</f>
        <v/>
      </c>
      <c r="P898" t="str">
        <f ca="1">IFERROR(((AVERAGEIFS(Observacion_Directa!$E$2:$E$1000,Observacion_Directa!$A$2:$A$1000,$A898,Observacion_Directa!$B$2:$B$1000,"&gt;="&amp;DATEVALUE($B898&amp;"-01"),Observacion_Directa!$B$2:$B$1000,"&lt;="&amp;EOMONTH(DATEVALUE($B898&amp;"-01"),0)))-1)/4*100,"")</f>
        <v/>
      </c>
      <c r="Q898" t="str">
        <f>IF(H898="","",MIN(100,100*H898/Parametros!$B$4))</f>
        <v/>
      </c>
      <c r="R898" t="str">
        <f>IF(I898="","",IF(I898=0,100,MIN(100,100*Parametros!$B$5/I898)))</f>
        <v/>
      </c>
      <c r="S898" t="str">
        <f>IF(J898="","",IF(J898=0,100,MIN(100,100*Parametros!$B$6/J898)))</f>
        <v/>
      </c>
      <c r="T898" t="str">
        <f>IF(L898="","",MIN(100,100*L898/Parametros!$B$7))</f>
        <v/>
      </c>
      <c r="U898" t="str">
        <f>IF(K898="","",MIN(100,100*K898/Parametros!$B$8))</f>
        <v/>
      </c>
      <c r="V898" t="str">
        <f ca="1">IFERROR(((AVERAGEIFS(Documentacion!$C$2:$C$1000,Documentacion!$A$2:$A$1000,$A898,Documentacion!$B$2:$B$1000,"&gt;="&amp;DATEVALUE($B898&amp;"-01"),Documentacion!$B$2:$B$1000,"&lt;="&amp;EOMONTH(DATEVALUE($B898&amp;"-01"),0)))-1)/4*100,"")</f>
        <v/>
      </c>
      <c r="W898" t="str">
        <f ca="1">IFERROR(((AVERAGEIFS(Feedback_360!$D$2:$D$1000,Feedback_360!$A$2:$A$1000,$A898,Feedback_360!$B$2:$B$1000,"&gt;="&amp;DATEVALUE($B898&amp;"-01"),Feedback_360!$B$2:$B$1000,"&lt;="&amp;EOMONTH(DATEVALUE($B898&amp;"-01"),0)))-1)/4*100,"")</f>
        <v/>
      </c>
      <c r="X898" t="str">
        <f ca="1">IFERROR(((AVERAGEIFS(Observacion_Directa!$D$2:$D$1000,Observacion_Directa!$A$2:$A$1000,$A898,Observacion_Directa!$B$2:$B$1000,"&gt;="&amp;DATEVALUE($B898&amp;"-01"),Observacion_Directa!$B$2:$B$1000,"&lt;="&amp;EOMONTH(DATEVALUE($B898&amp;"-01"),0)))-1)/4*100,"")</f>
        <v/>
      </c>
      <c r="Y898" t="e">
        <f t="shared" ref="Y898:Y961" ca="1" si="29">IF(COUNTA(N898:X898)=0,"",AVERAGE(N898:X898))</f>
        <v>#DIV/0!</v>
      </c>
    </row>
    <row r="899" spans="12:25" x14ac:dyDescent="0.2">
      <c r="L899" t="str">
        <f t="shared" si="28"/>
        <v/>
      </c>
      <c r="M899" t="str">
        <f>IFERROR(AVERAGEIFS(Prod_5dias!$H$2:$H$1000,Prod_5dias!$A$2:$A$1000,$A899,Prod_5dias!$B$2:$B$1000,$B899),"")</f>
        <v/>
      </c>
      <c r="N899" t="str">
        <f>IF(M899="","",MIN(100,100*M899/Parametros!$B$7))</f>
        <v/>
      </c>
      <c r="O899" t="str">
        <f>IF(F899="","",IF(F899=0,100,MIN(100,100*Parametros!$B$3/F899)))</f>
        <v/>
      </c>
      <c r="P899" t="str">
        <f ca="1">IFERROR(((AVERAGEIFS(Observacion_Directa!$E$2:$E$1000,Observacion_Directa!$A$2:$A$1000,$A899,Observacion_Directa!$B$2:$B$1000,"&gt;="&amp;DATEVALUE($B899&amp;"-01"),Observacion_Directa!$B$2:$B$1000,"&lt;="&amp;EOMONTH(DATEVALUE($B899&amp;"-01"),0)))-1)/4*100,"")</f>
        <v/>
      </c>
      <c r="Q899" t="str">
        <f>IF(H899="","",MIN(100,100*H899/Parametros!$B$4))</f>
        <v/>
      </c>
      <c r="R899" t="str">
        <f>IF(I899="","",IF(I899=0,100,MIN(100,100*Parametros!$B$5/I899)))</f>
        <v/>
      </c>
      <c r="S899" t="str">
        <f>IF(J899="","",IF(J899=0,100,MIN(100,100*Parametros!$B$6/J899)))</f>
        <v/>
      </c>
      <c r="T899" t="str">
        <f>IF(L899="","",MIN(100,100*L899/Parametros!$B$7))</f>
        <v/>
      </c>
      <c r="U899" t="str">
        <f>IF(K899="","",MIN(100,100*K899/Parametros!$B$8))</f>
        <v/>
      </c>
      <c r="V899" t="str">
        <f ca="1">IFERROR(((AVERAGEIFS(Documentacion!$C$2:$C$1000,Documentacion!$A$2:$A$1000,$A899,Documentacion!$B$2:$B$1000,"&gt;="&amp;DATEVALUE($B899&amp;"-01"),Documentacion!$B$2:$B$1000,"&lt;="&amp;EOMONTH(DATEVALUE($B899&amp;"-01"),0)))-1)/4*100,"")</f>
        <v/>
      </c>
      <c r="W899" t="str">
        <f ca="1">IFERROR(((AVERAGEIFS(Feedback_360!$D$2:$D$1000,Feedback_360!$A$2:$A$1000,$A899,Feedback_360!$B$2:$B$1000,"&gt;="&amp;DATEVALUE($B899&amp;"-01"),Feedback_360!$B$2:$B$1000,"&lt;="&amp;EOMONTH(DATEVALUE($B899&amp;"-01"),0)))-1)/4*100,"")</f>
        <v/>
      </c>
      <c r="X899" t="str">
        <f ca="1">IFERROR(((AVERAGEIFS(Observacion_Directa!$D$2:$D$1000,Observacion_Directa!$A$2:$A$1000,$A899,Observacion_Directa!$B$2:$B$1000,"&gt;="&amp;DATEVALUE($B899&amp;"-01"),Observacion_Directa!$B$2:$B$1000,"&lt;="&amp;EOMONTH(DATEVALUE($B899&amp;"-01"),0)))-1)/4*100,"")</f>
        <v/>
      </c>
      <c r="Y899" t="e">
        <f t="shared" ca="1" si="29"/>
        <v>#DIV/0!</v>
      </c>
    </row>
    <row r="900" spans="12:25" x14ac:dyDescent="0.2">
      <c r="L900" t="str">
        <f t="shared" si="28"/>
        <v/>
      </c>
      <c r="M900" t="str">
        <f>IFERROR(AVERAGEIFS(Prod_5dias!$H$2:$H$1000,Prod_5dias!$A$2:$A$1000,$A900,Prod_5dias!$B$2:$B$1000,$B900),"")</f>
        <v/>
      </c>
      <c r="N900" t="str">
        <f>IF(M900="","",MIN(100,100*M900/Parametros!$B$7))</f>
        <v/>
      </c>
      <c r="O900" t="str">
        <f>IF(F900="","",IF(F900=0,100,MIN(100,100*Parametros!$B$3/F900)))</f>
        <v/>
      </c>
      <c r="P900" t="str">
        <f ca="1">IFERROR(((AVERAGEIFS(Observacion_Directa!$E$2:$E$1000,Observacion_Directa!$A$2:$A$1000,$A900,Observacion_Directa!$B$2:$B$1000,"&gt;="&amp;DATEVALUE($B900&amp;"-01"),Observacion_Directa!$B$2:$B$1000,"&lt;="&amp;EOMONTH(DATEVALUE($B900&amp;"-01"),0)))-1)/4*100,"")</f>
        <v/>
      </c>
      <c r="Q900" t="str">
        <f>IF(H900="","",MIN(100,100*H900/Parametros!$B$4))</f>
        <v/>
      </c>
      <c r="R900" t="str">
        <f>IF(I900="","",IF(I900=0,100,MIN(100,100*Parametros!$B$5/I900)))</f>
        <v/>
      </c>
      <c r="S900" t="str">
        <f>IF(J900="","",IF(J900=0,100,MIN(100,100*Parametros!$B$6/J900)))</f>
        <v/>
      </c>
      <c r="T900" t="str">
        <f>IF(L900="","",MIN(100,100*L900/Parametros!$B$7))</f>
        <v/>
      </c>
      <c r="U900" t="str">
        <f>IF(K900="","",MIN(100,100*K900/Parametros!$B$8))</f>
        <v/>
      </c>
      <c r="V900" t="str">
        <f ca="1">IFERROR(((AVERAGEIFS(Documentacion!$C$2:$C$1000,Documentacion!$A$2:$A$1000,$A900,Documentacion!$B$2:$B$1000,"&gt;="&amp;DATEVALUE($B900&amp;"-01"),Documentacion!$B$2:$B$1000,"&lt;="&amp;EOMONTH(DATEVALUE($B900&amp;"-01"),0)))-1)/4*100,"")</f>
        <v/>
      </c>
      <c r="W900" t="str">
        <f ca="1">IFERROR(((AVERAGEIFS(Feedback_360!$D$2:$D$1000,Feedback_360!$A$2:$A$1000,$A900,Feedback_360!$B$2:$B$1000,"&gt;="&amp;DATEVALUE($B900&amp;"-01"),Feedback_360!$B$2:$B$1000,"&lt;="&amp;EOMONTH(DATEVALUE($B900&amp;"-01"),0)))-1)/4*100,"")</f>
        <v/>
      </c>
      <c r="X900" t="str">
        <f ca="1">IFERROR(((AVERAGEIFS(Observacion_Directa!$D$2:$D$1000,Observacion_Directa!$A$2:$A$1000,$A900,Observacion_Directa!$B$2:$B$1000,"&gt;="&amp;DATEVALUE($B900&amp;"-01"),Observacion_Directa!$B$2:$B$1000,"&lt;="&amp;EOMONTH(DATEVALUE($B900&amp;"-01"),0)))-1)/4*100,"")</f>
        <v/>
      </c>
      <c r="Y900" t="e">
        <f t="shared" ca="1" si="29"/>
        <v>#DIV/0!</v>
      </c>
    </row>
    <row r="901" spans="12:25" x14ac:dyDescent="0.2">
      <c r="L901" t="str">
        <f t="shared" si="28"/>
        <v/>
      </c>
      <c r="M901" t="str">
        <f>IFERROR(AVERAGEIFS(Prod_5dias!$H$2:$H$1000,Prod_5dias!$A$2:$A$1000,$A901,Prod_5dias!$B$2:$B$1000,$B901),"")</f>
        <v/>
      </c>
      <c r="N901" t="str">
        <f>IF(M901="","",MIN(100,100*M901/Parametros!$B$7))</f>
        <v/>
      </c>
      <c r="O901" t="str">
        <f>IF(F901="","",IF(F901=0,100,MIN(100,100*Parametros!$B$3/F901)))</f>
        <v/>
      </c>
      <c r="P901" t="str">
        <f ca="1">IFERROR(((AVERAGEIFS(Observacion_Directa!$E$2:$E$1000,Observacion_Directa!$A$2:$A$1000,$A901,Observacion_Directa!$B$2:$B$1000,"&gt;="&amp;DATEVALUE($B901&amp;"-01"),Observacion_Directa!$B$2:$B$1000,"&lt;="&amp;EOMONTH(DATEVALUE($B901&amp;"-01"),0)))-1)/4*100,"")</f>
        <v/>
      </c>
      <c r="Q901" t="str">
        <f>IF(H901="","",MIN(100,100*H901/Parametros!$B$4))</f>
        <v/>
      </c>
      <c r="R901" t="str">
        <f>IF(I901="","",IF(I901=0,100,MIN(100,100*Parametros!$B$5/I901)))</f>
        <v/>
      </c>
      <c r="S901" t="str">
        <f>IF(J901="","",IF(J901=0,100,MIN(100,100*Parametros!$B$6/J901)))</f>
        <v/>
      </c>
      <c r="T901" t="str">
        <f>IF(L901="","",MIN(100,100*L901/Parametros!$B$7))</f>
        <v/>
      </c>
      <c r="U901" t="str">
        <f>IF(K901="","",MIN(100,100*K901/Parametros!$B$8))</f>
        <v/>
      </c>
      <c r="V901" t="str">
        <f ca="1">IFERROR(((AVERAGEIFS(Documentacion!$C$2:$C$1000,Documentacion!$A$2:$A$1000,$A901,Documentacion!$B$2:$B$1000,"&gt;="&amp;DATEVALUE($B901&amp;"-01"),Documentacion!$B$2:$B$1000,"&lt;="&amp;EOMONTH(DATEVALUE($B901&amp;"-01"),0)))-1)/4*100,"")</f>
        <v/>
      </c>
      <c r="W901" t="str">
        <f ca="1">IFERROR(((AVERAGEIFS(Feedback_360!$D$2:$D$1000,Feedback_360!$A$2:$A$1000,$A901,Feedback_360!$B$2:$B$1000,"&gt;="&amp;DATEVALUE($B901&amp;"-01"),Feedback_360!$B$2:$B$1000,"&lt;="&amp;EOMONTH(DATEVALUE($B901&amp;"-01"),0)))-1)/4*100,"")</f>
        <v/>
      </c>
      <c r="X901" t="str">
        <f ca="1">IFERROR(((AVERAGEIFS(Observacion_Directa!$D$2:$D$1000,Observacion_Directa!$A$2:$A$1000,$A901,Observacion_Directa!$B$2:$B$1000,"&gt;="&amp;DATEVALUE($B901&amp;"-01"),Observacion_Directa!$B$2:$B$1000,"&lt;="&amp;EOMONTH(DATEVALUE($B901&amp;"-01"),0)))-1)/4*100,"")</f>
        <v/>
      </c>
      <c r="Y901" t="e">
        <f t="shared" ca="1" si="29"/>
        <v>#DIV/0!</v>
      </c>
    </row>
    <row r="902" spans="12:25" x14ac:dyDescent="0.2">
      <c r="L902" t="str">
        <f t="shared" si="28"/>
        <v/>
      </c>
      <c r="M902" t="str">
        <f>IFERROR(AVERAGEIFS(Prod_5dias!$H$2:$H$1000,Prod_5dias!$A$2:$A$1000,$A902,Prod_5dias!$B$2:$B$1000,$B902),"")</f>
        <v/>
      </c>
      <c r="N902" t="str">
        <f>IF(M902="","",MIN(100,100*M902/Parametros!$B$7))</f>
        <v/>
      </c>
      <c r="O902" t="str">
        <f>IF(F902="","",IF(F902=0,100,MIN(100,100*Parametros!$B$3/F902)))</f>
        <v/>
      </c>
      <c r="P902" t="str">
        <f ca="1">IFERROR(((AVERAGEIFS(Observacion_Directa!$E$2:$E$1000,Observacion_Directa!$A$2:$A$1000,$A902,Observacion_Directa!$B$2:$B$1000,"&gt;="&amp;DATEVALUE($B902&amp;"-01"),Observacion_Directa!$B$2:$B$1000,"&lt;="&amp;EOMONTH(DATEVALUE($B902&amp;"-01"),0)))-1)/4*100,"")</f>
        <v/>
      </c>
      <c r="Q902" t="str">
        <f>IF(H902="","",MIN(100,100*H902/Parametros!$B$4))</f>
        <v/>
      </c>
      <c r="R902" t="str">
        <f>IF(I902="","",IF(I902=0,100,MIN(100,100*Parametros!$B$5/I902)))</f>
        <v/>
      </c>
      <c r="S902" t="str">
        <f>IF(J902="","",IF(J902=0,100,MIN(100,100*Parametros!$B$6/J902)))</f>
        <v/>
      </c>
      <c r="T902" t="str">
        <f>IF(L902="","",MIN(100,100*L902/Parametros!$B$7))</f>
        <v/>
      </c>
      <c r="U902" t="str">
        <f>IF(K902="","",MIN(100,100*K902/Parametros!$B$8))</f>
        <v/>
      </c>
      <c r="V902" t="str">
        <f ca="1">IFERROR(((AVERAGEIFS(Documentacion!$C$2:$C$1000,Documentacion!$A$2:$A$1000,$A902,Documentacion!$B$2:$B$1000,"&gt;="&amp;DATEVALUE($B902&amp;"-01"),Documentacion!$B$2:$B$1000,"&lt;="&amp;EOMONTH(DATEVALUE($B902&amp;"-01"),0)))-1)/4*100,"")</f>
        <v/>
      </c>
      <c r="W902" t="str">
        <f ca="1">IFERROR(((AVERAGEIFS(Feedback_360!$D$2:$D$1000,Feedback_360!$A$2:$A$1000,$A902,Feedback_360!$B$2:$B$1000,"&gt;="&amp;DATEVALUE($B902&amp;"-01"),Feedback_360!$B$2:$B$1000,"&lt;="&amp;EOMONTH(DATEVALUE($B902&amp;"-01"),0)))-1)/4*100,"")</f>
        <v/>
      </c>
      <c r="X902" t="str">
        <f ca="1">IFERROR(((AVERAGEIFS(Observacion_Directa!$D$2:$D$1000,Observacion_Directa!$A$2:$A$1000,$A902,Observacion_Directa!$B$2:$B$1000,"&gt;="&amp;DATEVALUE($B902&amp;"-01"),Observacion_Directa!$B$2:$B$1000,"&lt;="&amp;EOMONTH(DATEVALUE($B902&amp;"-01"),0)))-1)/4*100,"")</f>
        <v/>
      </c>
      <c r="Y902" t="e">
        <f t="shared" ca="1" si="29"/>
        <v>#DIV/0!</v>
      </c>
    </row>
    <row r="903" spans="12:25" x14ac:dyDescent="0.2">
      <c r="L903" t="str">
        <f t="shared" si="28"/>
        <v/>
      </c>
      <c r="M903" t="str">
        <f>IFERROR(AVERAGEIFS(Prod_5dias!$H$2:$H$1000,Prod_5dias!$A$2:$A$1000,$A903,Prod_5dias!$B$2:$B$1000,$B903),"")</f>
        <v/>
      </c>
      <c r="N903" t="str">
        <f>IF(M903="","",MIN(100,100*M903/Parametros!$B$7))</f>
        <v/>
      </c>
      <c r="O903" t="str">
        <f>IF(F903="","",IF(F903=0,100,MIN(100,100*Parametros!$B$3/F903)))</f>
        <v/>
      </c>
      <c r="P903" t="str">
        <f ca="1">IFERROR(((AVERAGEIFS(Observacion_Directa!$E$2:$E$1000,Observacion_Directa!$A$2:$A$1000,$A903,Observacion_Directa!$B$2:$B$1000,"&gt;="&amp;DATEVALUE($B903&amp;"-01"),Observacion_Directa!$B$2:$B$1000,"&lt;="&amp;EOMONTH(DATEVALUE($B903&amp;"-01"),0)))-1)/4*100,"")</f>
        <v/>
      </c>
      <c r="Q903" t="str">
        <f>IF(H903="","",MIN(100,100*H903/Parametros!$B$4))</f>
        <v/>
      </c>
      <c r="R903" t="str">
        <f>IF(I903="","",IF(I903=0,100,MIN(100,100*Parametros!$B$5/I903)))</f>
        <v/>
      </c>
      <c r="S903" t="str">
        <f>IF(J903="","",IF(J903=0,100,MIN(100,100*Parametros!$B$6/J903)))</f>
        <v/>
      </c>
      <c r="T903" t="str">
        <f>IF(L903="","",MIN(100,100*L903/Parametros!$B$7))</f>
        <v/>
      </c>
      <c r="U903" t="str">
        <f>IF(K903="","",MIN(100,100*K903/Parametros!$B$8))</f>
        <v/>
      </c>
      <c r="V903" t="str">
        <f ca="1">IFERROR(((AVERAGEIFS(Documentacion!$C$2:$C$1000,Documentacion!$A$2:$A$1000,$A903,Documentacion!$B$2:$B$1000,"&gt;="&amp;DATEVALUE($B903&amp;"-01"),Documentacion!$B$2:$B$1000,"&lt;="&amp;EOMONTH(DATEVALUE($B903&amp;"-01"),0)))-1)/4*100,"")</f>
        <v/>
      </c>
      <c r="W903" t="str">
        <f ca="1">IFERROR(((AVERAGEIFS(Feedback_360!$D$2:$D$1000,Feedback_360!$A$2:$A$1000,$A903,Feedback_360!$B$2:$B$1000,"&gt;="&amp;DATEVALUE($B903&amp;"-01"),Feedback_360!$B$2:$B$1000,"&lt;="&amp;EOMONTH(DATEVALUE($B903&amp;"-01"),0)))-1)/4*100,"")</f>
        <v/>
      </c>
      <c r="X903" t="str">
        <f ca="1">IFERROR(((AVERAGEIFS(Observacion_Directa!$D$2:$D$1000,Observacion_Directa!$A$2:$A$1000,$A903,Observacion_Directa!$B$2:$B$1000,"&gt;="&amp;DATEVALUE($B903&amp;"-01"),Observacion_Directa!$B$2:$B$1000,"&lt;="&amp;EOMONTH(DATEVALUE($B903&amp;"-01"),0)))-1)/4*100,"")</f>
        <v/>
      </c>
      <c r="Y903" t="e">
        <f t="shared" ca="1" si="29"/>
        <v>#DIV/0!</v>
      </c>
    </row>
    <row r="904" spans="12:25" x14ac:dyDescent="0.2">
      <c r="L904" t="str">
        <f t="shared" si="28"/>
        <v/>
      </c>
      <c r="M904" t="str">
        <f>IFERROR(AVERAGEIFS(Prod_5dias!$H$2:$H$1000,Prod_5dias!$A$2:$A$1000,$A904,Prod_5dias!$B$2:$B$1000,$B904),"")</f>
        <v/>
      </c>
      <c r="N904" t="str">
        <f>IF(M904="","",MIN(100,100*M904/Parametros!$B$7))</f>
        <v/>
      </c>
      <c r="O904" t="str">
        <f>IF(F904="","",IF(F904=0,100,MIN(100,100*Parametros!$B$3/F904)))</f>
        <v/>
      </c>
      <c r="P904" t="str">
        <f ca="1">IFERROR(((AVERAGEIFS(Observacion_Directa!$E$2:$E$1000,Observacion_Directa!$A$2:$A$1000,$A904,Observacion_Directa!$B$2:$B$1000,"&gt;="&amp;DATEVALUE($B904&amp;"-01"),Observacion_Directa!$B$2:$B$1000,"&lt;="&amp;EOMONTH(DATEVALUE($B904&amp;"-01"),0)))-1)/4*100,"")</f>
        <v/>
      </c>
      <c r="Q904" t="str">
        <f>IF(H904="","",MIN(100,100*H904/Parametros!$B$4))</f>
        <v/>
      </c>
      <c r="R904" t="str">
        <f>IF(I904="","",IF(I904=0,100,MIN(100,100*Parametros!$B$5/I904)))</f>
        <v/>
      </c>
      <c r="S904" t="str">
        <f>IF(J904="","",IF(J904=0,100,MIN(100,100*Parametros!$B$6/J904)))</f>
        <v/>
      </c>
      <c r="T904" t="str">
        <f>IF(L904="","",MIN(100,100*L904/Parametros!$B$7))</f>
        <v/>
      </c>
      <c r="U904" t="str">
        <f>IF(K904="","",MIN(100,100*K904/Parametros!$B$8))</f>
        <v/>
      </c>
      <c r="V904" t="str">
        <f ca="1">IFERROR(((AVERAGEIFS(Documentacion!$C$2:$C$1000,Documentacion!$A$2:$A$1000,$A904,Documentacion!$B$2:$B$1000,"&gt;="&amp;DATEVALUE($B904&amp;"-01"),Documentacion!$B$2:$B$1000,"&lt;="&amp;EOMONTH(DATEVALUE($B904&amp;"-01"),0)))-1)/4*100,"")</f>
        <v/>
      </c>
      <c r="W904" t="str">
        <f ca="1">IFERROR(((AVERAGEIFS(Feedback_360!$D$2:$D$1000,Feedback_360!$A$2:$A$1000,$A904,Feedback_360!$B$2:$B$1000,"&gt;="&amp;DATEVALUE($B904&amp;"-01"),Feedback_360!$B$2:$B$1000,"&lt;="&amp;EOMONTH(DATEVALUE($B904&amp;"-01"),0)))-1)/4*100,"")</f>
        <v/>
      </c>
      <c r="X904" t="str">
        <f ca="1">IFERROR(((AVERAGEIFS(Observacion_Directa!$D$2:$D$1000,Observacion_Directa!$A$2:$A$1000,$A904,Observacion_Directa!$B$2:$B$1000,"&gt;="&amp;DATEVALUE($B904&amp;"-01"),Observacion_Directa!$B$2:$B$1000,"&lt;="&amp;EOMONTH(DATEVALUE($B904&amp;"-01"),0)))-1)/4*100,"")</f>
        <v/>
      </c>
      <c r="Y904" t="e">
        <f t="shared" ca="1" si="29"/>
        <v>#DIV/0!</v>
      </c>
    </row>
    <row r="905" spans="12:25" x14ac:dyDescent="0.2">
      <c r="L905" t="str">
        <f t="shared" si="28"/>
        <v/>
      </c>
      <c r="M905" t="str">
        <f>IFERROR(AVERAGEIFS(Prod_5dias!$H$2:$H$1000,Prod_5dias!$A$2:$A$1000,$A905,Prod_5dias!$B$2:$B$1000,$B905),"")</f>
        <v/>
      </c>
      <c r="N905" t="str">
        <f>IF(M905="","",MIN(100,100*M905/Parametros!$B$7))</f>
        <v/>
      </c>
      <c r="O905" t="str">
        <f>IF(F905="","",IF(F905=0,100,MIN(100,100*Parametros!$B$3/F905)))</f>
        <v/>
      </c>
      <c r="P905" t="str">
        <f ca="1">IFERROR(((AVERAGEIFS(Observacion_Directa!$E$2:$E$1000,Observacion_Directa!$A$2:$A$1000,$A905,Observacion_Directa!$B$2:$B$1000,"&gt;="&amp;DATEVALUE($B905&amp;"-01"),Observacion_Directa!$B$2:$B$1000,"&lt;="&amp;EOMONTH(DATEVALUE($B905&amp;"-01"),0)))-1)/4*100,"")</f>
        <v/>
      </c>
      <c r="Q905" t="str">
        <f>IF(H905="","",MIN(100,100*H905/Parametros!$B$4))</f>
        <v/>
      </c>
      <c r="R905" t="str">
        <f>IF(I905="","",IF(I905=0,100,MIN(100,100*Parametros!$B$5/I905)))</f>
        <v/>
      </c>
      <c r="S905" t="str">
        <f>IF(J905="","",IF(J905=0,100,MIN(100,100*Parametros!$B$6/J905)))</f>
        <v/>
      </c>
      <c r="T905" t="str">
        <f>IF(L905="","",MIN(100,100*L905/Parametros!$B$7))</f>
        <v/>
      </c>
      <c r="U905" t="str">
        <f>IF(K905="","",MIN(100,100*K905/Parametros!$B$8))</f>
        <v/>
      </c>
      <c r="V905" t="str">
        <f ca="1">IFERROR(((AVERAGEIFS(Documentacion!$C$2:$C$1000,Documentacion!$A$2:$A$1000,$A905,Documentacion!$B$2:$B$1000,"&gt;="&amp;DATEVALUE($B905&amp;"-01"),Documentacion!$B$2:$B$1000,"&lt;="&amp;EOMONTH(DATEVALUE($B905&amp;"-01"),0)))-1)/4*100,"")</f>
        <v/>
      </c>
      <c r="W905" t="str">
        <f ca="1">IFERROR(((AVERAGEIFS(Feedback_360!$D$2:$D$1000,Feedback_360!$A$2:$A$1000,$A905,Feedback_360!$B$2:$B$1000,"&gt;="&amp;DATEVALUE($B905&amp;"-01"),Feedback_360!$B$2:$B$1000,"&lt;="&amp;EOMONTH(DATEVALUE($B905&amp;"-01"),0)))-1)/4*100,"")</f>
        <v/>
      </c>
      <c r="X905" t="str">
        <f ca="1">IFERROR(((AVERAGEIFS(Observacion_Directa!$D$2:$D$1000,Observacion_Directa!$A$2:$A$1000,$A905,Observacion_Directa!$B$2:$B$1000,"&gt;="&amp;DATEVALUE($B905&amp;"-01"),Observacion_Directa!$B$2:$B$1000,"&lt;="&amp;EOMONTH(DATEVALUE($B905&amp;"-01"),0)))-1)/4*100,"")</f>
        <v/>
      </c>
      <c r="Y905" t="e">
        <f t="shared" ca="1" si="29"/>
        <v>#DIV/0!</v>
      </c>
    </row>
    <row r="906" spans="12:25" x14ac:dyDescent="0.2">
      <c r="L906" t="str">
        <f t="shared" si="28"/>
        <v/>
      </c>
      <c r="M906" t="str">
        <f>IFERROR(AVERAGEIFS(Prod_5dias!$H$2:$H$1000,Prod_5dias!$A$2:$A$1000,$A906,Prod_5dias!$B$2:$B$1000,$B906),"")</f>
        <v/>
      </c>
      <c r="N906" t="str">
        <f>IF(M906="","",MIN(100,100*M906/Parametros!$B$7))</f>
        <v/>
      </c>
      <c r="O906" t="str">
        <f>IF(F906="","",IF(F906=0,100,MIN(100,100*Parametros!$B$3/F906)))</f>
        <v/>
      </c>
      <c r="P906" t="str">
        <f ca="1">IFERROR(((AVERAGEIFS(Observacion_Directa!$E$2:$E$1000,Observacion_Directa!$A$2:$A$1000,$A906,Observacion_Directa!$B$2:$B$1000,"&gt;="&amp;DATEVALUE($B906&amp;"-01"),Observacion_Directa!$B$2:$B$1000,"&lt;="&amp;EOMONTH(DATEVALUE($B906&amp;"-01"),0)))-1)/4*100,"")</f>
        <v/>
      </c>
      <c r="Q906" t="str">
        <f>IF(H906="","",MIN(100,100*H906/Parametros!$B$4))</f>
        <v/>
      </c>
      <c r="R906" t="str">
        <f>IF(I906="","",IF(I906=0,100,MIN(100,100*Parametros!$B$5/I906)))</f>
        <v/>
      </c>
      <c r="S906" t="str">
        <f>IF(J906="","",IF(J906=0,100,MIN(100,100*Parametros!$B$6/J906)))</f>
        <v/>
      </c>
      <c r="T906" t="str">
        <f>IF(L906="","",MIN(100,100*L906/Parametros!$B$7))</f>
        <v/>
      </c>
      <c r="U906" t="str">
        <f>IF(K906="","",MIN(100,100*K906/Parametros!$B$8))</f>
        <v/>
      </c>
      <c r="V906" t="str">
        <f ca="1">IFERROR(((AVERAGEIFS(Documentacion!$C$2:$C$1000,Documentacion!$A$2:$A$1000,$A906,Documentacion!$B$2:$B$1000,"&gt;="&amp;DATEVALUE($B906&amp;"-01"),Documentacion!$B$2:$B$1000,"&lt;="&amp;EOMONTH(DATEVALUE($B906&amp;"-01"),0)))-1)/4*100,"")</f>
        <v/>
      </c>
      <c r="W906" t="str">
        <f ca="1">IFERROR(((AVERAGEIFS(Feedback_360!$D$2:$D$1000,Feedback_360!$A$2:$A$1000,$A906,Feedback_360!$B$2:$B$1000,"&gt;="&amp;DATEVALUE($B906&amp;"-01"),Feedback_360!$B$2:$B$1000,"&lt;="&amp;EOMONTH(DATEVALUE($B906&amp;"-01"),0)))-1)/4*100,"")</f>
        <v/>
      </c>
      <c r="X906" t="str">
        <f ca="1">IFERROR(((AVERAGEIFS(Observacion_Directa!$D$2:$D$1000,Observacion_Directa!$A$2:$A$1000,$A906,Observacion_Directa!$B$2:$B$1000,"&gt;="&amp;DATEVALUE($B906&amp;"-01"),Observacion_Directa!$B$2:$B$1000,"&lt;="&amp;EOMONTH(DATEVALUE($B906&amp;"-01"),0)))-1)/4*100,"")</f>
        <v/>
      </c>
      <c r="Y906" t="e">
        <f t="shared" ca="1" si="29"/>
        <v>#DIV/0!</v>
      </c>
    </row>
    <row r="907" spans="12:25" x14ac:dyDescent="0.2">
      <c r="L907" t="str">
        <f t="shared" si="28"/>
        <v/>
      </c>
      <c r="M907" t="str">
        <f>IFERROR(AVERAGEIFS(Prod_5dias!$H$2:$H$1000,Prod_5dias!$A$2:$A$1000,$A907,Prod_5dias!$B$2:$B$1000,$B907),"")</f>
        <v/>
      </c>
      <c r="N907" t="str">
        <f>IF(M907="","",MIN(100,100*M907/Parametros!$B$7))</f>
        <v/>
      </c>
      <c r="O907" t="str">
        <f>IF(F907="","",IF(F907=0,100,MIN(100,100*Parametros!$B$3/F907)))</f>
        <v/>
      </c>
      <c r="P907" t="str">
        <f ca="1">IFERROR(((AVERAGEIFS(Observacion_Directa!$E$2:$E$1000,Observacion_Directa!$A$2:$A$1000,$A907,Observacion_Directa!$B$2:$B$1000,"&gt;="&amp;DATEVALUE($B907&amp;"-01"),Observacion_Directa!$B$2:$B$1000,"&lt;="&amp;EOMONTH(DATEVALUE($B907&amp;"-01"),0)))-1)/4*100,"")</f>
        <v/>
      </c>
      <c r="Q907" t="str">
        <f>IF(H907="","",MIN(100,100*H907/Parametros!$B$4))</f>
        <v/>
      </c>
      <c r="R907" t="str">
        <f>IF(I907="","",IF(I907=0,100,MIN(100,100*Parametros!$B$5/I907)))</f>
        <v/>
      </c>
      <c r="S907" t="str">
        <f>IF(J907="","",IF(J907=0,100,MIN(100,100*Parametros!$B$6/J907)))</f>
        <v/>
      </c>
      <c r="T907" t="str">
        <f>IF(L907="","",MIN(100,100*L907/Parametros!$B$7))</f>
        <v/>
      </c>
      <c r="U907" t="str">
        <f>IF(K907="","",MIN(100,100*K907/Parametros!$B$8))</f>
        <v/>
      </c>
      <c r="V907" t="str">
        <f ca="1">IFERROR(((AVERAGEIFS(Documentacion!$C$2:$C$1000,Documentacion!$A$2:$A$1000,$A907,Documentacion!$B$2:$B$1000,"&gt;="&amp;DATEVALUE($B907&amp;"-01"),Documentacion!$B$2:$B$1000,"&lt;="&amp;EOMONTH(DATEVALUE($B907&amp;"-01"),0)))-1)/4*100,"")</f>
        <v/>
      </c>
      <c r="W907" t="str">
        <f ca="1">IFERROR(((AVERAGEIFS(Feedback_360!$D$2:$D$1000,Feedback_360!$A$2:$A$1000,$A907,Feedback_360!$B$2:$B$1000,"&gt;="&amp;DATEVALUE($B907&amp;"-01"),Feedback_360!$B$2:$B$1000,"&lt;="&amp;EOMONTH(DATEVALUE($B907&amp;"-01"),0)))-1)/4*100,"")</f>
        <v/>
      </c>
      <c r="X907" t="str">
        <f ca="1">IFERROR(((AVERAGEIFS(Observacion_Directa!$D$2:$D$1000,Observacion_Directa!$A$2:$A$1000,$A907,Observacion_Directa!$B$2:$B$1000,"&gt;="&amp;DATEVALUE($B907&amp;"-01"),Observacion_Directa!$B$2:$B$1000,"&lt;="&amp;EOMONTH(DATEVALUE($B907&amp;"-01"),0)))-1)/4*100,"")</f>
        <v/>
      </c>
      <c r="Y907" t="e">
        <f t="shared" ca="1" si="29"/>
        <v>#DIV/0!</v>
      </c>
    </row>
    <row r="908" spans="12:25" x14ac:dyDescent="0.2">
      <c r="L908" t="str">
        <f t="shared" si="28"/>
        <v/>
      </c>
      <c r="M908" t="str">
        <f>IFERROR(AVERAGEIFS(Prod_5dias!$H$2:$H$1000,Prod_5dias!$A$2:$A$1000,$A908,Prod_5dias!$B$2:$B$1000,$B908),"")</f>
        <v/>
      </c>
      <c r="N908" t="str">
        <f>IF(M908="","",MIN(100,100*M908/Parametros!$B$7))</f>
        <v/>
      </c>
      <c r="O908" t="str">
        <f>IF(F908="","",IF(F908=0,100,MIN(100,100*Parametros!$B$3/F908)))</f>
        <v/>
      </c>
      <c r="P908" t="str">
        <f ca="1">IFERROR(((AVERAGEIFS(Observacion_Directa!$E$2:$E$1000,Observacion_Directa!$A$2:$A$1000,$A908,Observacion_Directa!$B$2:$B$1000,"&gt;="&amp;DATEVALUE($B908&amp;"-01"),Observacion_Directa!$B$2:$B$1000,"&lt;="&amp;EOMONTH(DATEVALUE($B908&amp;"-01"),0)))-1)/4*100,"")</f>
        <v/>
      </c>
      <c r="Q908" t="str">
        <f>IF(H908="","",MIN(100,100*H908/Parametros!$B$4))</f>
        <v/>
      </c>
      <c r="R908" t="str">
        <f>IF(I908="","",IF(I908=0,100,MIN(100,100*Parametros!$B$5/I908)))</f>
        <v/>
      </c>
      <c r="S908" t="str">
        <f>IF(J908="","",IF(J908=0,100,MIN(100,100*Parametros!$B$6/J908)))</f>
        <v/>
      </c>
      <c r="T908" t="str">
        <f>IF(L908="","",MIN(100,100*L908/Parametros!$B$7))</f>
        <v/>
      </c>
      <c r="U908" t="str">
        <f>IF(K908="","",MIN(100,100*K908/Parametros!$B$8))</f>
        <v/>
      </c>
      <c r="V908" t="str">
        <f ca="1">IFERROR(((AVERAGEIFS(Documentacion!$C$2:$C$1000,Documentacion!$A$2:$A$1000,$A908,Documentacion!$B$2:$B$1000,"&gt;="&amp;DATEVALUE($B908&amp;"-01"),Documentacion!$B$2:$B$1000,"&lt;="&amp;EOMONTH(DATEVALUE($B908&amp;"-01"),0)))-1)/4*100,"")</f>
        <v/>
      </c>
      <c r="W908" t="str">
        <f ca="1">IFERROR(((AVERAGEIFS(Feedback_360!$D$2:$D$1000,Feedback_360!$A$2:$A$1000,$A908,Feedback_360!$B$2:$B$1000,"&gt;="&amp;DATEVALUE($B908&amp;"-01"),Feedback_360!$B$2:$B$1000,"&lt;="&amp;EOMONTH(DATEVALUE($B908&amp;"-01"),0)))-1)/4*100,"")</f>
        <v/>
      </c>
      <c r="X908" t="str">
        <f ca="1">IFERROR(((AVERAGEIFS(Observacion_Directa!$D$2:$D$1000,Observacion_Directa!$A$2:$A$1000,$A908,Observacion_Directa!$B$2:$B$1000,"&gt;="&amp;DATEVALUE($B908&amp;"-01"),Observacion_Directa!$B$2:$B$1000,"&lt;="&amp;EOMONTH(DATEVALUE($B908&amp;"-01"),0)))-1)/4*100,"")</f>
        <v/>
      </c>
      <c r="Y908" t="e">
        <f t="shared" ca="1" si="29"/>
        <v>#DIV/0!</v>
      </c>
    </row>
    <row r="909" spans="12:25" x14ac:dyDescent="0.2">
      <c r="L909" t="str">
        <f t="shared" si="28"/>
        <v/>
      </c>
      <c r="M909" t="str">
        <f>IFERROR(AVERAGEIFS(Prod_5dias!$H$2:$H$1000,Prod_5dias!$A$2:$A$1000,$A909,Prod_5dias!$B$2:$B$1000,$B909),"")</f>
        <v/>
      </c>
      <c r="N909" t="str">
        <f>IF(M909="","",MIN(100,100*M909/Parametros!$B$7))</f>
        <v/>
      </c>
      <c r="O909" t="str">
        <f>IF(F909="","",IF(F909=0,100,MIN(100,100*Parametros!$B$3/F909)))</f>
        <v/>
      </c>
      <c r="P909" t="str">
        <f ca="1">IFERROR(((AVERAGEIFS(Observacion_Directa!$E$2:$E$1000,Observacion_Directa!$A$2:$A$1000,$A909,Observacion_Directa!$B$2:$B$1000,"&gt;="&amp;DATEVALUE($B909&amp;"-01"),Observacion_Directa!$B$2:$B$1000,"&lt;="&amp;EOMONTH(DATEVALUE($B909&amp;"-01"),0)))-1)/4*100,"")</f>
        <v/>
      </c>
      <c r="Q909" t="str">
        <f>IF(H909="","",MIN(100,100*H909/Parametros!$B$4))</f>
        <v/>
      </c>
      <c r="R909" t="str">
        <f>IF(I909="","",IF(I909=0,100,MIN(100,100*Parametros!$B$5/I909)))</f>
        <v/>
      </c>
      <c r="S909" t="str">
        <f>IF(J909="","",IF(J909=0,100,MIN(100,100*Parametros!$B$6/J909)))</f>
        <v/>
      </c>
      <c r="T909" t="str">
        <f>IF(L909="","",MIN(100,100*L909/Parametros!$B$7))</f>
        <v/>
      </c>
      <c r="U909" t="str">
        <f>IF(K909="","",MIN(100,100*K909/Parametros!$B$8))</f>
        <v/>
      </c>
      <c r="V909" t="str">
        <f ca="1">IFERROR(((AVERAGEIFS(Documentacion!$C$2:$C$1000,Documentacion!$A$2:$A$1000,$A909,Documentacion!$B$2:$B$1000,"&gt;="&amp;DATEVALUE($B909&amp;"-01"),Documentacion!$B$2:$B$1000,"&lt;="&amp;EOMONTH(DATEVALUE($B909&amp;"-01"),0)))-1)/4*100,"")</f>
        <v/>
      </c>
      <c r="W909" t="str">
        <f ca="1">IFERROR(((AVERAGEIFS(Feedback_360!$D$2:$D$1000,Feedback_360!$A$2:$A$1000,$A909,Feedback_360!$B$2:$B$1000,"&gt;="&amp;DATEVALUE($B909&amp;"-01"),Feedback_360!$B$2:$B$1000,"&lt;="&amp;EOMONTH(DATEVALUE($B909&amp;"-01"),0)))-1)/4*100,"")</f>
        <v/>
      </c>
      <c r="X909" t="str">
        <f ca="1">IFERROR(((AVERAGEIFS(Observacion_Directa!$D$2:$D$1000,Observacion_Directa!$A$2:$A$1000,$A909,Observacion_Directa!$B$2:$B$1000,"&gt;="&amp;DATEVALUE($B909&amp;"-01"),Observacion_Directa!$B$2:$B$1000,"&lt;="&amp;EOMONTH(DATEVALUE($B909&amp;"-01"),0)))-1)/4*100,"")</f>
        <v/>
      </c>
      <c r="Y909" t="e">
        <f t="shared" ca="1" si="29"/>
        <v>#DIV/0!</v>
      </c>
    </row>
    <row r="910" spans="12:25" x14ac:dyDescent="0.2">
      <c r="L910" t="str">
        <f t="shared" si="28"/>
        <v/>
      </c>
      <c r="M910" t="str">
        <f>IFERROR(AVERAGEIFS(Prod_5dias!$H$2:$H$1000,Prod_5dias!$A$2:$A$1000,$A910,Prod_5dias!$B$2:$B$1000,$B910),"")</f>
        <v/>
      </c>
      <c r="N910" t="str">
        <f>IF(M910="","",MIN(100,100*M910/Parametros!$B$7))</f>
        <v/>
      </c>
      <c r="O910" t="str">
        <f>IF(F910="","",IF(F910=0,100,MIN(100,100*Parametros!$B$3/F910)))</f>
        <v/>
      </c>
      <c r="P910" t="str">
        <f ca="1">IFERROR(((AVERAGEIFS(Observacion_Directa!$E$2:$E$1000,Observacion_Directa!$A$2:$A$1000,$A910,Observacion_Directa!$B$2:$B$1000,"&gt;="&amp;DATEVALUE($B910&amp;"-01"),Observacion_Directa!$B$2:$B$1000,"&lt;="&amp;EOMONTH(DATEVALUE($B910&amp;"-01"),0)))-1)/4*100,"")</f>
        <v/>
      </c>
      <c r="Q910" t="str">
        <f>IF(H910="","",MIN(100,100*H910/Parametros!$B$4))</f>
        <v/>
      </c>
      <c r="R910" t="str">
        <f>IF(I910="","",IF(I910=0,100,MIN(100,100*Parametros!$B$5/I910)))</f>
        <v/>
      </c>
      <c r="S910" t="str">
        <f>IF(J910="","",IF(J910=0,100,MIN(100,100*Parametros!$B$6/J910)))</f>
        <v/>
      </c>
      <c r="T910" t="str">
        <f>IF(L910="","",MIN(100,100*L910/Parametros!$B$7))</f>
        <v/>
      </c>
      <c r="U910" t="str">
        <f>IF(K910="","",MIN(100,100*K910/Parametros!$B$8))</f>
        <v/>
      </c>
      <c r="V910" t="str">
        <f ca="1">IFERROR(((AVERAGEIFS(Documentacion!$C$2:$C$1000,Documentacion!$A$2:$A$1000,$A910,Documentacion!$B$2:$B$1000,"&gt;="&amp;DATEVALUE($B910&amp;"-01"),Documentacion!$B$2:$B$1000,"&lt;="&amp;EOMONTH(DATEVALUE($B910&amp;"-01"),0)))-1)/4*100,"")</f>
        <v/>
      </c>
      <c r="W910" t="str">
        <f ca="1">IFERROR(((AVERAGEIFS(Feedback_360!$D$2:$D$1000,Feedback_360!$A$2:$A$1000,$A910,Feedback_360!$B$2:$B$1000,"&gt;="&amp;DATEVALUE($B910&amp;"-01"),Feedback_360!$B$2:$B$1000,"&lt;="&amp;EOMONTH(DATEVALUE($B910&amp;"-01"),0)))-1)/4*100,"")</f>
        <v/>
      </c>
      <c r="X910" t="str">
        <f ca="1">IFERROR(((AVERAGEIFS(Observacion_Directa!$D$2:$D$1000,Observacion_Directa!$A$2:$A$1000,$A910,Observacion_Directa!$B$2:$B$1000,"&gt;="&amp;DATEVALUE($B910&amp;"-01"),Observacion_Directa!$B$2:$B$1000,"&lt;="&amp;EOMONTH(DATEVALUE($B910&amp;"-01"),0)))-1)/4*100,"")</f>
        <v/>
      </c>
      <c r="Y910" t="e">
        <f t="shared" ca="1" si="29"/>
        <v>#DIV/0!</v>
      </c>
    </row>
    <row r="911" spans="12:25" x14ac:dyDescent="0.2">
      <c r="L911" t="str">
        <f t="shared" si="28"/>
        <v/>
      </c>
      <c r="M911" t="str">
        <f>IFERROR(AVERAGEIFS(Prod_5dias!$H$2:$H$1000,Prod_5dias!$A$2:$A$1000,$A911,Prod_5dias!$B$2:$B$1000,$B911),"")</f>
        <v/>
      </c>
      <c r="N911" t="str">
        <f>IF(M911="","",MIN(100,100*M911/Parametros!$B$7))</f>
        <v/>
      </c>
      <c r="O911" t="str">
        <f>IF(F911="","",IF(F911=0,100,MIN(100,100*Parametros!$B$3/F911)))</f>
        <v/>
      </c>
      <c r="P911" t="str">
        <f ca="1">IFERROR(((AVERAGEIFS(Observacion_Directa!$E$2:$E$1000,Observacion_Directa!$A$2:$A$1000,$A911,Observacion_Directa!$B$2:$B$1000,"&gt;="&amp;DATEVALUE($B911&amp;"-01"),Observacion_Directa!$B$2:$B$1000,"&lt;="&amp;EOMONTH(DATEVALUE($B911&amp;"-01"),0)))-1)/4*100,"")</f>
        <v/>
      </c>
      <c r="Q911" t="str">
        <f>IF(H911="","",MIN(100,100*H911/Parametros!$B$4))</f>
        <v/>
      </c>
      <c r="R911" t="str">
        <f>IF(I911="","",IF(I911=0,100,MIN(100,100*Parametros!$B$5/I911)))</f>
        <v/>
      </c>
      <c r="S911" t="str">
        <f>IF(J911="","",IF(J911=0,100,MIN(100,100*Parametros!$B$6/J911)))</f>
        <v/>
      </c>
      <c r="T911" t="str">
        <f>IF(L911="","",MIN(100,100*L911/Parametros!$B$7))</f>
        <v/>
      </c>
      <c r="U911" t="str">
        <f>IF(K911="","",MIN(100,100*K911/Parametros!$B$8))</f>
        <v/>
      </c>
      <c r="V911" t="str">
        <f ca="1">IFERROR(((AVERAGEIFS(Documentacion!$C$2:$C$1000,Documentacion!$A$2:$A$1000,$A911,Documentacion!$B$2:$B$1000,"&gt;="&amp;DATEVALUE($B911&amp;"-01"),Documentacion!$B$2:$B$1000,"&lt;="&amp;EOMONTH(DATEVALUE($B911&amp;"-01"),0)))-1)/4*100,"")</f>
        <v/>
      </c>
      <c r="W911" t="str">
        <f ca="1">IFERROR(((AVERAGEIFS(Feedback_360!$D$2:$D$1000,Feedback_360!$A$2:$A$1000,$A911,Feedback_360!$B$2:$B$1000,"&gt;="&amp;DATEVALUE($B911&amp;"-01"),Feedback_360!$B$2:$B$1000,"&lt;="&amp;EOMONTH(DATEVALUE($B911&amp;"-01"),0)))-1)/4*100,"")</f>
        <v/>
      </c>
      <c r="X911" t="str">
        <f ca="1">IFERROR(((AVERAGEIFS(Observacion_Directa!$D$2:$D$1000,Observacion_Directa!$A$2:$A$1000,$A911,Observacion_Directa!$B$2:$B$1000,"&gt;="&amp;DATEVALUE($B911&amp;"-01"),Observacion_Directa!$B$2:$B$1000,"&lt;="&amp;EOMONTH(DATEVALUE($B911&amp;"-01"),0)))-1)/4*100,"")</f>
        <v/>
      </c>
      <c r="Y911" t="e">
        <f t="shared" ca="1" si="29"/>
        <v>#DIV/0!</v>
      </c>
    </row>
    <row r="912" spans="12:25" x14ac:dyDescent="0.2">
      <c r="L912" t="str">
        <f t="shared" si="28"/>
        <v/>
      </c>
      <c r="M912" t="str">
        <f>IFERROR(AVERAGEIFS(Prod_5dias!$H$2:$H$1000,Prod_5dias!$A$2:$A$1000,$A912,Prod_5dias!$B$2:$B$1000,$B912),"")</f>
        <v/>
      </c>
      <c r="N912" t="str">
        <f>IF(M912="","",MIN(100,100*M912/Parametros!$B$7))</f>
        <v/>
      </c>
      <c r="O912" t="str">
        <f>IF(F912="","",IF(F912=0,100,MIN(100,100*Parametros!$B$3/F912)))</f>
        <v/>
      </c>
      <c r="P912" t="str">
        <f ca="1">IFERROR(((AVERAGEIFS(Observacion_Directa!$E$2:$E$1000,Observacion_Directa!$A$2:$A$1000,$A912,Observacion_Directa!$B$2:$B$1000,"&gt;="&amp;DATEVALUE($B912&amp;"-01"),Observacion_Directa!$B$2:$B$1000,"&lt;="&amp;EOMONTH(DATEVALUE($B912&amp;"-01"),0)))-1)/4*100,"")</f>
        <v/>
      </c>
      <c r="Q912" t="str">
        <f>IF(H912="","",MIN(100,100*H912/Parametros!$B$4))</f>
        <v/>
      </c>
      <c r="R912" t="str">
        <f>IF(I912="","",IF(I912=0,100,MIN(100,100*Parametros!$B$5/I912)))</f>
        <v/>
      </c>
      <c r="S912" t="str">
        <f>IF(J912="","",IF(J912=0,100,MIN(100,100*Parametros!$B$6/J912)))</f>
        <v/>
      </c>
      <c r="T912" t="str">
        <f>IF(L912="","",MIN(100,100*L912/Parametros!$B$7))</f>
        <v/>
      </c>
      <c r="U912" t="str">
        <f>IF(K912="","",MIN(100,100*K912/Parametros!$B$8))</f>
        <v/>
      </c>
      <c r="V912" t="str">
        <f ca="1">IFERROR(((AVERAGEIFS(Documentacion!$C$2:$C$1000,Documentacion!$A$2:$A$1000,$A912,Documentacion!$B$2:$B$1000,"&gt;="&amp;DATEVALUE($B912&amp;"-01"),Documentacion!$B$2:$B$1000,"&lt;="&amp;EOMONTH(DATEVALUE($B912&amp;"-01"),0)))-1)/4*100,"")</f>
        <v/>
      </c>
      <c r="W912" t="str">
        <f ca="1">IFERROR(((AVERAGEIFS(Feedback_360!$D$2:$D$1000,Feedback_360!$A$2:$A$1000,$A912,Feedback_360!$B$2:$B$1000,"&gt;="&amp;DATEVALUE($B912&amp;"-01"),Feedback_360!$B$2:$B$1000,"&lt;="&amp;EOMONTH(DATEVALUE($B912&amp;"-01"),0)))-1)/4*100,"")</f>
        <v/>
      </c>
      <c r="X912" t="str">
        <f ca="1">IFERROR(((AVERAGEIFS(Observacion_Directa!$D$2:$D$1000,Observacion_Directa!$A$2:$A$1000,$A912,Observacion_Directa!$B$2:$B$1000,"&gt;="&amp;DATEVALUE($B912&amp;"-01"),Observacion_Directa!$B$2:$B$1000,"&lt;="&amp;EOMONTH(DATEVALUE($B912&amp;"-01"),0)))-1)/4*100,"")</f>
        <v/>
      </c>
      <c r="Y912" t="e">
        <f t="shared" ca="1" si="29"/>
        <v>#DIV/0!</v>
      </c>
    </row>
    <row r="913" spans="12:25" x14ac:dyDescent="0.2">
      <c r="L913" t="str">
        <f t="shared" si="28"/>
        <v/>
      </c>
      <c r="M913" t="str">
        <f>IFERROR(AVERAGEIFS(Prod_5dias!$H$2:$H$1000,Prod_5dias!$A$2:$A$1000,$A913,Prod_5dias!$B$2:$B$1000,$B913),"")</f>
        <v/>
      </c>
      <c r="N913" t="str">
        <f>IF(M913="","",MIN(100,100*M913/Parametros!$B$7))</f>
        <v/>
      </c>
      <c r="O913" t="str">
        <f>IF(F913="","",IF(F913=0,100,MIN(100,100*Parametros!$B$3/F913)))</f>
        <v/>
      </c>
      <c r="P913" t="str">
        <f ca="1">IFERROR(((AVERAGEIFS(Observacion_Directa!$E$2:$E$1000,Observacion_Directa!$A$2:$A$1000,$A913,Observacion_Directa!$B$2:$B$1000,"&gt;="&amp;DATEVALUE($B913&amp;"-01"),Observacion_Directa!$B$2:$B$1000,"&lt;="&amp;EOMONTH(DATEVALUE($B913&amp;"-01"),0)))-1)/4*100,"")</f>
        <v/>
      </c>
      <c r="Q913" t="str">
        <f>IF(H913="","",MIN(100,100*H913/Parametros!$B$4))</f>
        <v/>
      </c>
      <c r="R913" t="str">
        <f>IF(I913="","",IF(I913=0,100,MIN(100,100*Parametros!$B$5/I913)))</f>
        <v/>
      </c>
      <c r="S913" t="str">
        <f>IF(J913="","",IF(J913=0,100,MIN(100,100*Parametros!$B$6/J913)))</f>
        <v/>
      </c>
      <c r="T913" t="str">
        <f>IF(L913="","",MIN(100,100*L913/Parametros!$B$7))</f>
        <v/>
      </c>
      <c r="U913" t="str">
        <f>IF(K913="","",MIN(100,100*K913/Parametros!$B$8))</f>
        <v/>
      </c>
      <c r="V913" t="str">
        <f ca="1">IFERROR(((AVERAGEIFS(Documentacion!$C$2:$C$1000,Documentacion!$A$2:$A$1000,$A913,Documentacion!$B$2:$B$1000,"&gt;="&amp;DATEVALUE($B913&amp;"-01"),Documentacion!$B$2:$B$1000,"&lt;="&amp;EOMONTH(DATEVALUE($B913&amp;"-01"),0)))-1)/4*100,"")</f>
        <v/>
      </c>
      <c r="W913" t="str">
        <f ca="1">IFERROR(((AVERAGEIFS(Feedback_360!$D$2:$D$1000,Feedback_360!$A$2:$A$1000,$A913,Feedback_360!$B$2:$B$1000,"&gt;="&amp;DATEVALUE($B913&amp;"-01"),Feedback_360!$B$2:$B$1000,"&lt;="&amp;EOMONTH(DATEVALUE($B913&amp;"-01"),0)))-1)/4*100,"")</f>
        <v/>
      </c>
      <c r="X913" t="str">
        <f ca="1">IFERROR(((AVERAGEIFS(Observacion_Directa!$D$2:$D$1000,Observacion_Directa!$A$2:$A$1000,$A913,Observacion_Directa!$B$2:$B$1000,"&gt;="&amp;DATEVALUE($B913&amp;"-01"),Observacion_Directa!$B$2:$B$1000,"&lt;="&amp;EOMONTH(DATEVALUE($B913&amp;"-01"),0)))-1)/4*100,"")</f>
        <v/>
      </c>
      <c r="Y913" t="e">
        <f t="shared" ca="1" si="29"/>
        <v>#DIV/0!</v>
      </c>
    </row>
    <row r="914" spans="12:25" x14ac:dyDescent="0.2">
      <c r="L914" t="str">
        <f t="shared" si="28"/>
        <v/>
      </c>
      <c r="M914" t="str">
        <f>IFERROR(AVERAGEIFS(Prod_5dias!$H$2:$H$1000,Prod_5dias!$A$2:$A$1000,$A914,Prod_5dias!$B$2:$B$1000,$B914),"")</f>
        <v/>
      </c>
      <c r="N914" t="str">
        <f>IF(M914="","",MIN(100,100*M914/Parametros!$B$7))</f>
        <v/>
      </c>
      <c r="O914" t="str">
        <f>IF(F914="","",IF(F914=0,100,MIN(100,100*Parametros!$B$3/F914)))</f>
        <v/>
      </c>
      <c r="P914" t="str">
        <f ca="1">IFERROR(((AVERAGEIFS(Observacion_Directa!$E$2:$E$1000,Observacion_Directa!$A$2:$A$1000,$A914,Observacion_Directa!$B$2:$B$1000,"&gt;="&amp;DATEVALUE($B914&amp;"-01"),Observacion_Directa!$B$2:$B$1000,"&lt;="&amp;EOMONTH(DATEVALUE($B914&amp;"-01"),0)))-1)/4*100,"")</f>
        <v/>
      </c>
      <c r="Q914" t="str">
        <f>IF(H914="","",MIN(100,100*H914/Parametros!$B$4))</f>
        <v/>
      </c>
      <c r="R914" t="str">
        <f>IF(I914="","",IF(I914=0,100,MIN(100,100*Parametros!$B$5/I914)))</f>
        <v/>
      </c>
      <c r="S914" t="str">
        <f>IF(J914="","",IF(J914=0,100,MIN(100,100*Parametros!$B$6/J914)))</f>
        <v/>
      </c>
      <c r="T914" t="str">
        <f>IF(L914="","",MIN(100,100*L914/Parametros!$B$7))</f>
        <v/>
      </c>
      <c r="U914" t="str">
        <f>IF(K914="","",MIN(100,100*K914/Parametros!$B$8))</f>
        <v/>
      </c>
      <c r="V914" t="str">
        <f ca="1">IFERROR(((AVERAGEIFS(Documentacion!$C$2:$C$1000,Documentacion!$A$2:$A$1000,$A914,Documentacion!$B$2:$B$1000,"&gt;="&amp;DATEVALUE($B914&amp;"-01"),Documentacion!$B$2:$B$1000,"&lt;="&amp;EOMONTH(DATEVALUE($B914&amp;"-01"),0)))-1)/4*100,"")</f>
        <v/>
      </c>
      <c r="W914" t="str">
        <f ca="1">IFERROR(((AVERAGEIFS(Feedback_360!$D$2:$D$1000,Feedback_360!$A$2:$A$1000,$A914,Feedback_360!$B$2:$B$1000,"&gt;="&amp;DATEVALUE($B914&amp;"-01"),Feedback_360!$B$2:$B$1000,"&lt;="&amp;EOMONTH(DATEVALUE($B914&amp;"-01"),0)))-1)/4*100,"")</f>
        <v/>
      </c>
      <c r="X914" t="str">
        <f ca="1">IFERROR(((AVERAGEIFS(Observacion_Directa!$D$2:$D$1000,Observacion_Directa!$A$2:$A$1000,$A914,Observacion_Directa!$B$2:$B$1000,"&gt;="&amp;DATEVALUE($B914&amp;"-01"),Observacion_Directa!$B$2:$B$1000,"&lt;="&amp;EOMONTH(DATEVALUE($B914&amp;"-01"),0)))-1)/4*100,"")</f>
        <v/>
      </c>
      <c r="Y914" t="e">
        <f t="shared" ca="1" si="29"/>
        <v>#DIV/0!</v>
      </c>
    </row>
    <row r="915" spans="12:25" x14ac:dyDescent="0.2">
      <c r="L915" t="str">
        <f t="shared" si="28"/>
        <v/>
      </c>
      <c r="M915" t="str">
        <f>IFERROR(AVERAGEIFS(Prod_5dias!$H$2:$H$1000,Prod_5dias!$A$2:$A$1000,$A915,Prod_5dias!$B$2:$B$1000,$B915),"")</f>
        <v/>
      </c>
      <c r="N915" t="str">
        <f>IF(M915="","",MIN(100,100*M915/Parametros!$B$7))</f>
        <v/>
      </c>
      <c r="O915" t="str">
        <f>IF(F915="","",IF(F915=0,100,MIN(100,100*Parametros!$B$3/F915)))</f>
        <v/>
      </c>
      <c r="P915" t="str">
        <f ca="1">IFERROR(((AVERAGEIFS(Observacion_Directa!$E$2:$E$1000,Observacion_Directa!$A$2:$A$1000,$A915,Observacion_Directa!$B$2:$B$1000,"&gt;="&amp;DATEVALUE($B915&amp;"-01"),Observacion_Directa!$B$2:$B$1000,"&lt;="&amp;EOMONTH(DATEVALUE($B915&amp;"-01"),0)))-1)/4*100,"")</f>
        <v/>
      </c>
      <c r="Q915" t="str">
        <f>IF(H915="","",MIN(100,100*H915/Parametros!$B$4))</f>
        <v/>
      </c>
      <c r="R915" t="str">
        <f>IF(I915="","",IF(I915=0,100,MIN(100,100*Parametros!$B$5/I915)))</f>
        <v/>
      </c>
      <c r="S915" t="str">
        <f>IF(J915="","",IF(J915=0,100,MIN(100,100*Parametros!$B$6/J915)))</f>
        <v/>
      </c>
      <c r="T915" t="str">
        <f>IF(L915="","",MIN(100,100*L915/Parametros!$B$7))</f>
        <v/>
      </c>
      <c r="U915" t="str">
        <f>IF(K915="","",MIN(100,100*K915/Parametros!$B$8))</f>
        <v/>
      </c>
      <c r="V915" t="str">
        <f ca="1">IFERROR(((AVERAGEIFS(Documentacion!$C$2:$C$1000,Documentacion!$A$2:$A$1000,$A915,Documentacion!$B$2:$B$1000,"&gt;="&amp;DATEVALUE($B915&amp;"-01"),Documentacion!$B$2:$B$1000,"&lt;="&amp;EOMONTH(DATEVALUE($B915&amp;"-01"),0)))-1)/4*100,"")</f>
        <v/>
      </c>
      <c r="W915" t="str">
        <f ca="1">IFERROR(((AVERAGEIFS(Feedback_360!$D$2:$D$1000,Feedback_360!$A$2:$A$1000,$A915,Feedback_360!$B$2:$B$1000,"&gt;="&amp;DATEVALUE($B915&amp;"-01"),Feedback_360!$B$2:$B$1000,"&lt;="&amp;EOMONTH(DATEVALUE($B915&amp;"-01"),0)))-1)/4*100,"")</f>
        <v/>
      </c>
      <c r="X915" t="str">
        <f ca="1">IFERROR(((AVERAGEIFS(Observacion_Directa!$D$2:$D$1000,Observacion_Directa!$A$2:$A$1000,$A915,Observacion_Directa!$B$2:$B$1000,"&gt;="&amp;DATEVALUE($B915&amp;"-01"),Observacion_Directa!$B$2:$B$1000,"&lt;="&amp;EOMONTH(DATEVALUE($B915&amp;"-01"),0)))-1)/4*100,"")</f>
        <v/>
      </c>
      <c r="Y915" t="e">
        <f t="shared" ca="1" si="29"/>
        <v>#DIV/0!</v>
      </c>
    </row>
    <row r="916" spans="12:25" x14ac:dyDescent="0.2">
      <c r="L916" t="str">
        <f t="shared" si="28"/>
        <v/>
      </c>
      <c r="M916" t="str">
        <f>IFERROR(AVERAGEIFS(Prod_5dias!$H$2:$H$1000,Prod_5dias!$A$2:$A$1000,$A916,Prod_5dias!$B$2:$B$1000,$B916),"")</f>
        <v/>
      </c>
      <c r="N916" t="str">
        <f>IF(M916="","",MIN(100,100*M916/Parametros!$B$7))</f>
        <v/>
      </c>
      <c r="O916" t="str">
        <f>IF(F916="","",IF(F916=0,100,MIN(100,100*Parametros!$B$3/F916)))</f>
        <v/>
      </c>
      <c r="P916" t="str">
        <f ca="1">IFERROR(((AVERAGEIFS(Observacion_Directa!$E$2:$E$1000,Observacion_Directa!$A$2:$A$1000,$A916,Observacion_Directa!$B$2:$B$1000,"&gt;="&amp;DATEVALUE($B916&amp;"-01"),Observacion_Directa!$B$2:$B$1000,"&lt;="&amp;EOMONTH(DATEVALUE($B916&amp;"-01"),0)))-1)/4*100,"")</f>
        <v/>
      </c>
      <c r="Q916" t="str">
        <f>IF(H916="","",MIN(100,100*H916/Parametros!$B$4))</f>
        <v/>
      </c>
      <c r="R916" t="str">
        <f>IF(I916="","",IF(I916=0,100,MIN(100,100*Parametros!$B$5/I916)))</f>
        <v/>
      </c>
      <c r="S916" t="str">
        <f>IF(J916="","",IF(J916=0,100,MIN(100,100*Parametros!$B$6/J916)))</f>
        <v/>
      </c>
      <c r="T916" t="str">
        <f>IF(L916="","",MIN(100,100*L916/Parametros!$B$7))</f>
        <v/>
      </c>
      <c r="U916" t="str">
        <f>IF(K916="","",MIN(100,100*K916/Parametros!$B$8))</f>
        <v/>
      </c>
      <c r="V916" t="str">
        <f ca="1">IFERROR(((AVERAGEIFS(Documentacion!$C$2:$C$1000,Documentacion!$A$2:$A$1000,$A916,Documentacion!$B$2:$B$1000,"&gt;="&amp;DATEVALUE($B916&amp;"-01"),Documentacion!$B$2:$B$1000,"&lt;="&amp;EOMONTH(DATEVALUE($B916&amp;"-01"),0)))-1)/4*100,"")</f>
        <v/>
      </c>
      <c r="W916" t="str">
        <f ca="1">IFERROR(((AVERAGEIFS(Feedback_360!$D$2:$D$1000,Feedback_360!$A$2:$A$1000,$A916,Feedback_360!$B$2:$B$1000,"&gt;="&amp;DATEVALUE($B916&amp;"-01"),Feedback_360!$B$2:$B$1000,"&lt;="&amp;EOMONTH(DATEVALUE($B916&amp;"-01"),0)))-1)/4*100,"")</f>
        <v/>
      </c>
      <c r="X916" t="str">
        <f ca="1">IFERROR(((AVERAGEIFS(Observacion_Directa!$D$2:$D$1000,Observacion_Directa!$A$2:$A$1000,$A916,Observacion_Directa!$B$2:$B$1000,"&gt;="&amp;DATEVALUE($B916&amp;"-01"),Observacion_Directa!$B$2:$B$1000,"&lt;="&amp;EOMONTH(DATEVALUE($B916&amp;"-01"),0)))-1)/4*100,"")</f>
        <v/>
      </c>
      <c r="Y916" t="e">
        <f t="shared" ca="1" si="29"/>
        <v>#DIV/0!</v>
      </c>
    </row>
    <row r="917" spans="12:25" x14ac:dyDescent="0.2">
      <c r="L917" t="str">
        <f t="shared" si="28"/>
        <v/>
      </c>
      <c r="M917" t="str">
        <f>IFERROR(AVERAGEIFS(Prod_5dias!$H$2:$H$1000,Prod_5dias!$A$2:$A$1000,$A917,Prod_5dias!$B$2:$B$1000,$B917),"")</f>
        <v/>
      </c>
      <c r="N917" t="str">
        <f>IF(M917="","",MIN(100,100*M917/Parametros!$B$7))</f>
        <v/>
      </c>
      <c r="O917" t="str">
        <f>IF(F917="","",IF(F917=0,100,MIN(100,100*Parametros!$B$3/F917)))</f>
        <v/>
      </c>
      <c r="P917" t="str">
        <f ca="1">IFERROR(((AVERAGEIFS(Observacion_Directa!$E$2:$E$1000,Observacion_Directa!$A$2:$A$1000,$A917,Observacion_Directa!$B$2:$B$1000,"&gt;="&amp;DATEVALUE($B917&amp;"-01"),Observacion_Directa!$B$2:$B$1000,"&lt;="&amp;EOMONTH(DATEVALUE($B917&amp;"-01"),0)))-1)/4*100,"")</f>
        <v/>
      </c>
      <c r="Q917" t="str">
        <f>IF(H917="","",MIN(100,100*H917/Parametros!$B$4))</f>
        <v/>
      </c>
      <c r="R917" t="str">
        <f>IF(I917="","",IF(I917=0,100,MIN(100,100*Parametros!$B$5/I917)))</f>
        <v/>
      </c>
      <c r="S917" t="str">
        <f>IF(J917="","",IF(J917=0,100,MIN(100,100*Parametros!$B$6/J917)))</f>
        <v/>
      </c>
      <c r="T917" t="str">
        <f>IF(L917="","",MIN(100,100*L917/Parametros!$B$7))</f>
        <v/>
      </c>
      <c r="U917" t="str">
        <f>IF(K917="","",MIN(100,100*K917/Parametros!$B$8))</f>
        <v/>
      </c>
      <c r="V917" t="str">
        <f ca="1">IFERROR(((AVERAGEIFS(Documentacion!$C$2:$C$1000,Documentacion!$A$2:$A$1000,$A917,Documentacion!$B$2:$B$1000,"&gt;="&amp;DATEVALUE($B917&amp;"-01"),Documentacion!$B$2:$B$1000,"&lt;="&amp;EOMONTH(DATEVALUE($B917&amp;"-01"),0)))-1)/4*100,"")</f>
        <v/>
      </c>
      <c r="W917" t="str">
        <f ca="1">IFERROR(((AVERAGEIFS(Feedback_360!$D$2:$D$1000,Feedback_360!$A$2:$A$1000,$A917,Feedback_360!$B$2:$B$1000,"&gt;="&amp;DATEVALUE($B917&amp;"-01"),Feedback_360!$B$2:$B$1000,"&lt;="&amp;EOMONTH(DATEVALUE($B917&amp;"-01"),0)))-1)/4*100,"")</f>
        <v/>
      </c>
      <c r="X917" t="str">
        <f ca="1">IFERROR(((AVERAGEIFS(Observacion_Directa!$D$2:$D$1000,Observacion_Directa!$A$2:$A$1000,$A917,Observacion_Directa!$B$2:$B$1000,"&gt;="&amp;DATEVALUE($B917&amp;"-01"),Observacion_Directa!$B$2:$B$1000,"&lt;="&amp;EOMONTH(DATEVALUE($B917&amp;"-01"),0)))-1)/4*100,"")</f>
        <v/>
      </c>
      <c r="Y917" t="e">
        <f t="shared" ca="1" si="29"/>
        <v>#DIV/0!</v>
      </c>
    </row>
    <row r="918" spans="12:25" x14ac:dyDescent="0.2">
      <c r="L918" t="str">
        <f t="shared" si="28"/>
        <v/>
      </c>
      <c r="M918" t="str">
        <f>IFERROR(AVERAGEIFS(Prod_5dias!$H$2:$H$1000,Prod_5dias!$A$2:$A$1000,$A918,Prod_5dias!$B$2:$B$1000,$B918),"")</f>
        <v/>
      </c>
      <c r="N918" t="str">
        <f>IF(M918="","",MIN(100,100*M918/Parametros!$B$7))</f>
        <v/>
      </c>
      <c r="O918" t="str">
        <f>IF(F918="","",IF(F918=0,100,MIN(100,100*Parametros!$B$3/F918)))</f>
        <v/>
      </c>
      <c r="P918" t="str">
        <f ca="1">IFERROR(((AVERAGEIFS(Observacion_Directa!$E$2:$E$1000,Observacion_Directa!$A$2:$A$1000,$A918,Observacion_Directa!$B$2:$B$1000,"&gt;="&amp;DATEVALUE($B918&amp;"-01"),Observacion_Directa!$B$2:$B$1000,"&lt;="&amp;EOMONTH(DATEVALUE($B918&amp;"-01"),0)))-1)/4*100,"")</f>
        <v/>
      </c>
      <c r="Q918" t="str">
        <f>IF(H918="","",MIN(100,100*H918/Parametros!$B$4))</f>
        <v/>
      </c>
      <c r="R918" t="str">
        <f>IF(I918="","",IF(I918=0,100,MIN(100,100*Parametros!$B$5/I918)))</f>
        <v/>
      </c>
      <c r="S918" t="str">
        <f>IF(J918="","",IF(J918=0,100,MIN(100,100*Parametros!$B$6/J918)))</f>
        <v/>
      </c>
      <c r="T918" t="str">
        <f>IF(L918="","",MIN(100,100*L918/Parametros!$B$7))</f>
        <v/>
      </c>
      <c r="U918" t="str">
        <f>IF(K918="","",MIN(100,100*K918/Parametros!$B$8))</f>
        <v/>
      </c>
      <c r="V918" t="str">
        <f ca="1">IFERROR(((AVERAGEIFS(Documentacion!$C$2:$C$1000,Documentacion!$A$2:$A$1000,$A918,Documentacion!$B$2:$B$1000,"&gt;="&amp;DATEVALUE($B918&amp;"-01"),Documentacion!$B$2:$B$1000,"&lt;="&amp;EOMONTH(DATEVALUE($B918&amp;"-01"),0)))-1)/4*100,"")</f>
        <v/>
      </c>
      <c r="W918" t="str">
        <f ca="1">IFERROR(((AVERAGEIFS(Feedback_360!$D$2:$D$1000,Feedback_360!$A$2:$A$1000,$A918,Feedback_360!$B$2:$B$1000,"&gt;="&amp;DATEVALUE($B918&amp;"-01"),Feedback_360!$B$2:$B$1000,"&lt;="&amp;EOMONTH(DATEVALUE($B918&amp;"-01"),0)))-1)/4*100,"")</f>
        <v/>
      </c>
      <c r="X918" t="str">
        <f ca="1">IFERROR(((AVERAGEIFS(Observacion_Directa!$D$2:$D$1000,Observacion_Directa!$A$2:$A$1000,$A918,Observacion_Directa!$B$2:$B$1000,"&gt;="&amp;DATEVALUE($B918&amp;"-01"),Observacion_Directa!$B$2:$B$1000,"&lt;="&amp;EOMONTH(DATEVALUE($B918&amp;"-01"),0)))-1)/4*100,"")</f>
        <v/>
      </c>
      <c r="Y918" t="e">
        <f t="shared" ca="1" si="29"/>
        <v>#DIV/0!</v>
      </c>
    </row>
    <row r="919" spans="12:25" x14ac:dyDescent="0.2">
      <c r="L919" t="str">
        <f t="shared" si="28"/>
        <v/>
      </c>
      <c r="M919" t="str">
        <f>IFERROR(AVERAGEIFS(Prod_5dias!$H$2:$H$1000,Prod_5dias!$A$2:$A$1000,$A919,Prod_5dias!$B$2:$B$1000,$B919),"")</f>
        <v/>
      </c>
      <c r="N919" t="str">
        <f>IF(M919="","",MIN(100,100*M919/Parametros!$B$7))</f>
        <v/>
      </c>
      <c r="O919" t="str">
        <f>IF(F919="","",IF(F919=0,100,MIN(100,100*Parametros!$B$3/F919)))</f>
        <v/>
      </c>
      <c r="P919" t="str">
        <f ca="1">IFERROR(((AVERAGEIFS(Observacion_Directa!$E$2:$E$1000,Observacion_Directa!$A$2:$A$1000,$A919,Observacion_Directa!$B$2:$B$1000,"&gt;="&amp;DATEVALUE($B919&amp;"-01"),Observacion_Directa!$B$2:$B$1000,"&lt;="&amp;EOMONTH(DATEVALUE($B919&amp;"-01"),0)))-1)/4*100,"")</f>
        <v/>
      </c>
      <c r="Q919" t="str">
        <f>IF(H919="","",MIN(100,100*H919/Parametros!$B$4))</f>
        <v/>
      </c>
      <c r="R919" t="str">
        <f>IF(I919="","",IF(I919=0,100,MIN(100,100*Parametros!$B$5/I919)))</f>
        <v/>
      </c>
      <c r="S919" t="str">
        <f>IF(J919="","",IF(J919=0,100,MIN(100,100*Parametros!$B$6/J919)))</f>
        <v/>
      </c>
      <c r="T919" t="str">
        <f>IF(L919="","",MIN(100,100*L919/Parametros!$B$7))</f>
        <v/>
      </c>
      <c r="U919" t="str">
        <f>IF(K919="","",MIN(100,100*K919/Parametros!$B$8))</f>
        <v/>
      </c>
      <c r="V919" t="str">
        <f ca="1">IFERROR(((AVERAGEIFS(Documentacion!$C$2:$C$1000,Documentacion!$A$2:$A$1000,$A919,Documentacion!$B$2:$B$1000,"&gt;="&amp;DATEVALUE($B919&amp;"-01"),Documentacion!$B$2:$B$1000,"&lt;="&amp;EOMONTH(DATEVALUE($B919&amp;"-01"),0)))-1)/4*100,"")</f>
        <v/>
      </c>
      <c r="W919" t="str">
        <f ca="1">IFERROR(((AVERAGEIFS(Feedback_360!$D$2:$D$1000,Feedback_360!$A$2:$A$1000,$A919,Feedback_360!$B$2:$B$1000,"&gt;="&amp;DATEVALUE($B919&amp;"-01"),Feedback_360!$B$2:$B$1000,"&lt;="&amp;EOMONTH(DATEVALUE($B919&amp;"-01"),0)))-1)/4*100,"")</f>
        <v/>
      </c>
      <c r="X919" t="str">
        <f ca="1">IFERROR(((AVERAGEIFS(Observacion_Directa!$D$2:$D$1000,Observacion_Directa!$A$2:$A$1000,$A919,Observacion_Directa!$B$2:$B$1000,"&gt;="&amp;DATEVALUE($B919&amp;"-01"),Observacion_Directa!$B$2:$B$1000,"&lt;="&amp;EOMONTH(DATEVALUE($B919&amp;"-01"),0)))-1)/4*100,"")</f>
        <v/>
      </c>
      <c r="Y919" t="e">
        <f t="shared" ca="1" si="29"/>
        <v>#DIV/0!</v>
      </c>
    </row>
    <row r="920" spans="12:25" x14ac:dyDescent="0.2">
      <c r="L920" t="str">
        <f t="shared" si="28"/>
        <v/>
      </c>
      <c r="M920" t="str">
        <f>IFERROR(AVERAGEIFS(Prod_5dias!$H$2:$H$1000,Prod_5dias!$A$2:$A$1000,$A920,Prod_5dias!$B$2:$B$1000,$B920),"")</f>
        <v/>
      </c>
      <c r="N920" t="str">
        <f>IF(M920="","",MIN(100,100*M920/Parametros!$B$7))</f>
        <v/>
      </c>
      <c r="O920" t="str">
        <f>IF(F920="","",IF(F920=0,100,MIN(100,100*Parametros!$B$3/F920)))</f>
        <v/>
      </c>
      <c r="P920" t="str">
        <f ca="1">IFERROR(((AVERAGEIFS(Observacion_Directa!$E$2:$E$1000,Observacion_Directa!$A$2:$A$1000,$A920,Observacion_Directa!$B$2:$B$1000,"&gt;="&amp;DATEVALUE($B920&amp;"-01"),Observacion_Directa!$B$2:$B$1000,"&lt;="&amp;EOMONTH(DATEVALUE($B920&amp;"-01"),0)))-1)/4*100,"")</f>
        <v/>
      </c>
      <c r="Q920" t="str">
        <f>IF(H920="","",MIN(100,100*H920/Parametros!$B$4))</f>
        <v/>
      </c>
      <c r="R920" t="str">
        <f>IF(I920="","",IF(I920=0,100,MIN(100,100*Parametros!$B$5/I920)))</f>
        <v/>
      </c>
      <c r="S920" t="str">
        <f>IF(J920="","",IF(J920=0,100,MIN(100,100*Parametros!$B$6/J920)))</f>
        <v/>
      </c>
      <c r="T920" t="str">
        <f>IF(L920="","",MIN(100,100*L920/Parametros!$B$7))</f>
        <v/>
      </c>
      <c r="U920" t="str">
        <f>IF(K920="","",MIN(100,100*K920/Parametros!$B$8))</f>
        <v/>
      </c>
      <c r="V920" t="str">
        <f ca="1">IFERROR(((AVERAGEIFS(Documentacion!$C$2:$C$1000,Documentacion!$A$2:$A$1000,$A920,Documentacion!$B$2:$B$1000,"&gt;="&amp;DATEVALUE($B920&amp;"-01"),Documentacion!$B$2:$B$1000,"&lt;="&amp;EOMONTH(DATEVALUE($B920&amp;"-01"),0)))-1)/4*100,"")</f>
        <v/>
      </c>
      <c r="W920" t="str">
        <f ca="1">IFERROR(((AVERAGEIFS(Feedback_360!$D$2:$D$1000,Feedback_360!$A$2:$A$1000,$A920,Feedback_360!$B$2:$B$1000,"&gt;="&amp;DATEVALUE($B920&amp;"-01"),Feedback_360!$B$2:$B$1000,"&lt;="&amp;EOMONTH(DATEVALUE($B920&amp;"-01"),0)))-1)/4*100,"")</f>
        <v/>
      </c>
      <c r="X920" t="str">
        <f ca="1">IFERROR(((AVERAGEIFS(Observacion_Directa!$D$2:$D$1000,Observacion_Directa!$A$2:$A$1000,$A920,Observacion_Directa!$B$2:$B$1000,"&gt;="&amp;DATEVALUE($B920&amp;"-01"),Observacion_Directa!$B$2:$B$1000,"&lt;="&amp;EOMONTH(DATEVALUE($B920&amp;"-01"),0)))-1)/4*100,"")</f>
        <v/>
      </c>
      <c r="Y920" t="e">
        <f t="shared" ca="1" si="29"/>
        <v>#DIV/0!</v>
      </c>
    </row>
    <row r="921" spans="12:25" x14ac:dyDescent="0.2">
      <c r="L921" t="str">
        <f t="shared" si="28"/>
        <v/>
      </c>
      <c r="M921" t="str">
        <f>IFERROR(AVERAGEIFS(Prod_5dias!$H$2:$H$1000,Prod_5dias!$A$2:$A$1000,$A921,Prod_5dias!$B$2:$B$1000,$B921),"")</f>
        <v/>
      </c>
      <c r="N921" t="str">
        <f>IF(M921="","",MIN(100,100*M921/Parametros!$B$7))</f>
        <v/>
      </c>
      <c r="O921" t="str">
        <f>IF(F921="","",IF(F921=0,100,MIN(100,100*Parametros!$B$3/F921)))</f>
        <v/>
      </c>
      <c r="P921" t="str">
        <f ca="1">IFERROR(((AVERAGEIFS(Observacion_Directa!$E$2:$E$1000,Observacion_Directa!$A$2:$A$1000,$A921,Observacion_Directa!$B$2:$B$1000,"&gt;="&amp;DATEVALUE($B921&amp;"-01"),Observacion_Directa!$B$2:$B$1000,"&lt;="&amp;EOMONTH(DATEVALUE($B921&amp;"-01"),0)))-1)/4*100,"")</f>
        <v/>
      </c>
      <c r="Q921" t="str">
        <f>IF(H921="","",MIN(100,100*H921/Parametros!$B$4))</f>
        <v/>
      </c>
      <c r="R921" t="str">
        <f>IF(I921="","",IF(I921=0,100,MIN(100,100*Parametros!$B$5/I921)))</f>
        <v/>
      </c>
      <c r="S921" t="str">
        <f>IF(J921="","",IF(J921=0,100,MIN(100,100*Parametros!$B$6/J921)))</f>
        <v/>
      </c>
      <c r="T921" t="str">
        <f>IF(L921="","",MIN(100,100*L921/Parametros!$B$7))</f>
        <v/>
      </c>
      <c r="U921" t="str">
        <f>IF(K921="","",MIN(100,100*K921/Parametros!$B$8))</f>
        <v/>
      </c>
      <c r="V921" t="str">
        <f ca="1">IFERROR(((AVERAGEIFS(Documentacion!$C$2:$C$1000,Documentacion!$A$2:$A$1000,$A921,Documentacion!$B$2:$B$1000,"&gt;="&amp;DATEVALUE($B921&amp;"-01"),Documentacion!$B$2:$B$1000,"&lt;="&amp;EOMONTH(DATEVALUE($B921&amp;"-01"),0)))-1)/4*100,"")</f>
        <v/>
      </c>
      <c r="W921" t="str">
        <f ca="1">IFERROR(((AVERAGEIFS(Feedback_360!$D$2:$D$1000,Feedback_360!$A$2:$A$1000,$A921,Feedback_360!$B$2:$B$1000,"&gt;="&amp;DATEVALUE($B921&amp;"-01"),Feedback_360!$B$2:$B$1000,"&lt;="&amp;EOMONTH(DATEVALUE($B921&amp;"-01"),0)))-1)/4*100,"")</f>
        <v/>
      </c>
      <c r="X921" t="str">
        <f ca="1">IFERROR(((AVERAGEIFS(Observacion_Directa!$D$2:$D$1000,Observacion_Directa!$A$2:$A$1000,$A921,Observacion_Directa!$B$2:$B$1000,"&gt;="&amp;DATEVALUE($B921&amp;"-01"),Observacion_Directa!$B$2:$B$1000,"&lt;="&amp;EOMONTH(DATEVALUE($B921&amp;"-01"),0)))-1)/4*100,"")</f>
        <v/>
      </c>
      <c r="Y921" t="e">
        <f t="shared" ca="1" si="29"/>
        <v>#DIV/0!</v>
      </c>
    </row>
    <row r="922" spans="12:25" x14ac:dyDescent="0.2">
      <c r="L922" t="str">
        <f t="shared" si="28"/>
        <v/>
      </c>
      <c r="M922" t="str">
        <f>IFERROR(AVERAGEIFS(Prod_5dias!$H$2:$H$1000,Prod_5dias!$A$2:$A$1000,$A922,Prod_5dias!$B$2:$B$1000,$B922),"")</f>
        <v/>
      </c>
      <c r="N922" t="str">
        <f>IF(M922="","",MIN(100,100*M922/Parametros!$B$7))</f>
        <v/>
      </c>
      <c r="O922" t="str">
        <f>IF(F922="","",IF(F922=0,100,MIN(100,100*Parametros!$B$3/F922)))</f>
        <v/>
      </c>
      <c r="P922" t="str">
        <f ca="1">IFERROR(((AVERAGEIFS(Observacion_Directa!$E$2:$E$1000,Observacion_Directa!$A$2:$A$1000,$A922,Observacion_Directa!$B$2:$B$1000,"&gt;="&amp;DATEVALUE($B922&amp;"-01"),Observacion_Directa!$B$2:$B$1000,"&lt;="&amp;EOMONTH(DATEVALUE($B922&amp;"-01"),0)))-1)/4*100,"")</f>
        <v/>
      </c>
      <c r="Q922" t="str">
        <f>IF(H922="","",MIN(100,100*H922/Parametros!$B$4))</f>
        <v/>
      </c>
      <c r="R922" t="str">
        <f>IF(I922="","",IF(I922=0,100,MIN(100,100*Parametros!$B$5/I922)))</f>
        <v/>
      </c>
      <c r="S922" t="str">
        <f>IF(J922="","",IF(J922=0,100,MIN(100,100*Parametros!$B$6/J922)))</f>
        <v/>
      </c>
      <c r="T922" t="str">
        <f>IF(L922="","",MIN(100,100*L922/Parametros!$B$7))</f>
        <v/>
      </c>
      <c r="U922" t="str">
        <f>IF(K922="","",MIN(100,100*K922/Parametros!$B$8))</f>
        <v/>
      </c>
      <c r="V922" t="str">
        <f ca="1">IFERROR(((AVERAGEIFS(Documentacion!$C$2:$C$1000,Documentacion!$A$2:$A$1000,$A922,Documentacion!$B$2:$B$1000,"&gt;="&amp;DATEVALUE($B922&amp;"-01"),Documentacion!$B$2:$B$1000,"&lt;="&amp;EOMONTH(DATEVALUE($B922&amp;"-01"),0)))-1)/4*100,"")</f>
        <v/>
      </c>
      <c r="W922" t="str">
        <f ca="1">IFERROR(((AVERAGEIFS(Feedback_360!$D$2:$D$1000,Feedback_360!$A$2:$A$1000,$A922,Feedback_360!$B$2:$B$1000,"&gt;="&amp;DATEVALUE($B922&amp;"-01"),Feedback_360!$B$2:$B$1000,"&lt;="&amp;EOMONTH(DATEVALUE($B922&amp;"-01"),0)))-1)/4*100,"")</f>
        <v/>
      </c>
      <c r="X922" t="str">
        <f ca="1">IFERROR(((AVERAGEIFS(Observacion_Directa!$D$2:$D$1000,Observacion_Directa!$A$2:$A$1000,$A922,Observacion_Directa!$B$2:$B$1000,"&gt;="&amp;DATEVALUE($B922&amp;"-01"),Observacion_Directa!$B$2:$B$1000,"&lt;="&amp;EOMONTH(DATEVALUE($B922&amp;"-01"),0)))-1)/4*100,"")</f>
        <v/>
      </c>
      <c r="Y922" t="e">
        <f t="shared" ca="1" si="29"/>
        <v>#DIV/0!</v>
      </c>
    </row>
    <row r="923" spans="12:25" x14ac:dyDescent="0.2">
      <c r="L923" t="str">
        <f t="shared" si="28"/>
        <v/>
      </c>
      <c r="M923" t="str">
        <f>IFERROR(AVERAGEIFS(Prod_5dias!$H$2:$H$1000,Prod_5dias!$A$2:$A$1000,$A923,Prod_5dias!$B$2:$B$1000,$B923),"")</f>
        <v/>
      </c>
      <c r="N923" t="str">
        <f>IF(M923="","",MIN(100,100*M923/Parametros!$B$7))</f>
        <v/>
      </c>
      <c r="O923" t="str">
        <f>IF(F923="","",IF(F923=0,100,MIN(100,100*Parametros!$B$3/F923)))</f>
        <v/>
      </c>
      <c r="P923" t="str">
        <f ca="1">IFERROR(((AVERAGEIFS(Observacion_Directa!$E$2:$E$1000,Observacion_Directa!$A$2:$A$1000,$A923,Observacion_Directa!$B$2:$B$1000,"&gt;="&amp;DATEVALUE($B923&amp;"-01"),Observacion_Directa!$B$2:$B$1000,"&lt;="&amp;EOMONTH(DATEVALUE($B923&amp;"-01"),0)))-1)/4*100,"")</f>
        <v/>
      </c>
      <c r="Q923" t="str">
        <f>IF(H923="","",MIN(100,100*H923/Parametros!$B$4))</f>
        <v/>
      </c>
      <c r="R923" t="str">
        <f>IF(I923="","",IF(I923=0,100,MIN(100,100*Parametros!$B$5/I923)))</f>
        <v/>
      </c>
      <c r="S923" t="str">
        <f>IF(J923="","",IF(J923=0,100,MIN(100,100*Parametros!$B$6/J923)))</f>
        <v/>
      </c>
      <c r="T923" t="str">
        <f>IF(L923="","",MIN(100,100*L923/Parametros!$B$7))</f>
        <v/>
      </c>
      <c r="U923" t="str">
        <f>IF(K923="","",MIN(100,100*K923/Parametros!$B$8))</f>
        <v/>
      </c>
      <c r="V923" t="str">
        <f ca="1">IFERROR(((AVERAGEIFS(Documentacion!$C$2:$C$1000,Documentacion!$A$2:$A$1000,$A923,Documentacion!$B$2:$B$1000,"&gt;="&amp;DATEVALUE($B923&amp;"-01"),Documentacion!$B$2:$B$1000,"&lt;="&amp;EOMONTH(DATEVALUE($B923&amp;"-01"),0)))-1)/4*100,"")</f>
        <v/>
      </c>
      <c r="W923" t="str">
        <f ca="1">IFERROR(((AVERAGEIFS(Feedback_360!$D$2:$D$1000,Feedback_360!$A$2:$A$1000,$A923,Feedback_360!$B$2:$B$1000,"&gt;="&amp;DATEVALUE($B923&amp;"-01"),Feedback_360!$B$2:$B$1000,"&lt;="&amp;EOMONTH(DATEVALUE($B923&amp;"-01"),0)))-1)/4*100,"")</f>
        <v/>
      </c>
      <c r="X923" t="str">
        <f ca="1">IFERROR(((AVERAGEIFS(Observacion_Directa!$D$2:$D$1000,Observacion_Directa!$A$2:$A$1000,$A923,Observacion_Directa!$B$2:$B$1000,"&gt;="&amp;DATEVALUE($B923&amp;"-01"),Observacion_Directa!$B$2:$B$1000,"&lt;="&amp;EOMONTH(DATEVALUE($B923&amp;"-01"),0)))-1)/4*100,"")</f>
        <v/>
      </c>
      <c r="Y923" t="e">
        <f t="shared" ca="1" si="29"/>
        <v>#DIV/0!</v>
      </c>
    </row>
    <row r="924" spans="12:25" x14ac:dyDescent="0.2">
      <c r="L924" t="str">
        <f t="shared" si="28"/>
        <v/>
      </c>
      <c r="M924" t="str">
        <f>IFERROR(AVERAGEIFS(Prod_5dias!$H$2:$H$1000,Prod_5dias!$A$2:$A$1000,$A924,Prod_5dias!$B$2:$B$1000,$B924),"")</f>
        <v/>
      </c>
      <c r="N924" t="str">
        <f>IF(M924="","",MIN(100,100*M924/Parametros!$B$7))</f>
        <v/>
      </c>
      <c r="O924" t="str">
        <f>IF(F924="","",IF(F924=0,100,MIN(100,100*Parametros!$B$3/F924)))</f>
        <v/>
      </c>
      <c r="P924" t="str">
        <f ca="1">IFERROR(((AVERAGEIFS(Observacion_Directa!$E$2:$E$1000,Observacion_Directa!$A$2:$A$1000,$A924,Observacion_Directa!$B$2:$B$1000,"&gt;="&amp;DATEVALUE($B924&amp;"-01"),Observacion_Directa!$B$2:$B$1000,"&lt;="&amp;EOMONTH(DATEVALUE($B924&amp;"-01"),0)))-1)/4*100,"")</f>
        <v/>
      </c>
      <c r="Q924" t="str">
        <f>IF(H924="","",MIN(100,100*H924/Parametros!$B$4))</f>
        <v/>
      </c>
      <c r="R924" t="str">
        <f>IF(I924="","",IF(I924=0,100,MIN(100,100*Parametros!$B$5/I924)))</f>
        <v/>
      </c>
      <c r="S924" t="str">
        <f>IF(J924="","",IF(J924=0,100,MIN(100,100*Parametros!$B$6/J924)))</f>
        <v/>
      </c>
      <c r="T924" t="str">
        <f>IF(L924="","",MIN(100,100*L924/Parametros!$B$7))</f>
        <v/>
      </c>
      <c r="U924" t="str">
        <f>IF(K924="","",MIN(100,100*K924/Parametros!$B$8))</f>
        <v/>
      </c>
      <c r="V924" t="str">
        <f ca="1">IFERROR(((AVERAGEIFS(Documentacion!$C$2:$C$1000,Documentacion!$A$2:$A$1000,$A924,Documentacion!$B$2:$B$1000,"&gt;="&amp;DATEVALUE($B924&amp;"-01"),Documentacion!$B$2:$B$1000,"&lt;="&amp;EOMONTH(DATEVALUE($B924&amp;"-01"),0)))-1)/4*100,"")</f>
        <v/>
      </c>
      <c r="W924" t="str">
        <f ca="1">IFERROR(((AVERAGEIFS(Feedback_360!$D$2:$D$1000,Feedback_360!$A$2:$A$1000,$A924,Feedback_360!$B$2:$B$1000,"&gt;="&amp;DATEVALUE($B924&amp;"-01"),Feedback_360!$B$2:$B$1000,"&lt;="&amp;EOMONTH(DATEVALUE($B924&amp;"-01"),0)))-1)/4*100,"")</f>
        <v/>
      </c>
      <c r="X924" t="str">
        <f ca="1">IFERROR(((AVERAGEIFS(Observacion_Directa!$D$2:$D$1000,Observacion_Directa!$A$2:$A$1000,$A924,Observacion_Directa!$B$2:$B$1000,"&gt;="&amp;DATEVALUE($B924&amp;"-01"),Observacion_Directa!$B$2:$B$1000,"&lt;="&amp;EOMONTH(DATEVALUE($B924&amp;"-01"),0)))-1)/4*100,"")</f>
        <v/>
      </c>
      <c r="Y924" t="e">
        <f t="shared" ca="1" si="29"/>
        <v>#DIV/0!</v>
      </c>
    </row>
    <row r="925" spans="12:25" x14ac:dyDescent="0.2">
      <c r="L925" t="str">
        <f t="shared" si="28"/>
        <v/>
      </c>
      <c r="M925" t="str">
        <f>IFERROR(AVERAGEIFS(Prod_5dias!$H$2:$H$1000,Prod_5dias!$A$2:$A$1000,$A925,Prod_5dias!$B$2:$B$1000,$B925),"")</f>
        <v/>
      </c>
      <c r="N925" t="str">
        <f>IF(M925="","",MIN(100,100*M925/Parametros!$B$7))</f>
        <v/>
      </c>
      <c r="O925" t="str">
        <f>IF(F925="","",IF(F925=0,100,MIN(100,100*Parametros!$B$3/F925)))</f>
        <v/>
      </c>
      <c r="P925" t="str">
        <f ca="1">IFERROR(((AVERAGEIFS(Observacion_Directa!$E$2:$E$1000,Observacion_Directa!$A$2:$A$1000,$A925,Observacion_Directa!$B$2:$B$1000,"&gt;="&amp;DATEVALUE($B925&amp;"-01"),Observacion_Directa!$B$2:$B$1000,"&lt;="&amp;EOMONTH(DATEVALUE($B925&amp;"-01"),0)))-1)/4*100,"")</f>
        <v/>
      </c>
      <c r="Q925" t="str">
        <f>IF(H925="","",MIN(100,100*H925/Parametros!$B$4))</f>
        <v/>
      </c>
      <c r="R925" t="str">
        <f>IF(I925="","",IF(I925=0,100,MIN(100,100*Parametros!$B$5/I925)))</f>
        <v/>
      </c>
      <c r="S925" t="str">
        <f>IF(J925="","",IF(J925=0,100,MIN(100,100*Parametros!$B$6/J925)))</f>
        <v/>
      </c>
      <c r="T925" t="str">
        <f>IF(L925="","",MIN(100,100*L925/Parametros!$B$7))</f>
        <v/>
      </c>
      <c r="U925" t="str">
        <f>IF(K925="","",MIN(100,100*K925/Parametros!$B$8))</f>
        <v/>
      </c>
      <c r="V925" t="str">
        <f ca="1">IFERROR(((AVERAGEIFS(Documentacion!$C$2:$C$1000,Documentacion!$A$2:$A$1000,$A925,Documentacion!$B$2:$B$1000,"&gt;="&amp;DATEVALUE($B925&amp;"-01"),Documentacion!$B$2:$B$1000,"&lt;="&amp;EOMONTH(DATEVALUE($B925&amp;"-01"),0)))-1)/4*100,"")</f>
        <v/>
      </c>
      <c r="W925" t="str">
        <f ca="1">IFERROR(((AVERAGEIFS(Feedback_360!$D$2:$D$1000,Feedback_360!$A$2:$A$1000,$A925,Feedback_360!$B$2:$B$1000,"&gt;="&amp;DATEVALUE($B925&amp;"-01"),Feedback_360!$B$2:$B$1000,"&lt;="&amp;EOMONTH(DATEVALUE($B925&amp;"-01"),0)))-1)/4*100,"")</f>
        <v/>
      </c>
      <c r="X925" t="str">
        <f ca="1">IFERROR(((AVERAGEIFS(Observacion_Directa!$D$2:$D$1000,Observacion_Directa!$A$2:$A$1000,$A925,Observacion_Directa!$B$2:$B$1000,"&gt;="&amp;DATEVALUE($B925&amp;"-01"),Observacion_Directa!$B$2:$B$1000,"&lt;="&amp;EOMONTH(DATEVALUE($B925&amp;"-01"),0)))-1)/4*100,"")</f>
        <v/>
      </c>
      <c r="Y925" t="e">
        <f t="shared" ca="1" si="29"/>
        <v>#DIV/0!</v>
      </c>
    </row>
    <row r="926" spans="12:25" x14ac:dyDescent="0.2">
      <c r="L926" t="str">
        <f t="shared" si="28"/>
        <v/>
      </c>
      <c r="M926" t="str">
        <f>IFERROR(AVERAGEIFS(Prod_5dias!$H$2:$H$1000,Prod_5dias!$A$2:$A$1000,$A926,Prod_5dias!$B$2:$B$1000,$B926),"")</f>
        <v/>
      </c>
      <c r="N926" t="str">
        <f>IF(M926="","",MIN(100,100*M926/Parametros!$B$7))</f>
        <v/>
      </c>
      <c r="O926" t="str">
        <f>IF(F926="","",IF(F926=0,100,MIN(100,100*Parametros!$B$3/F926)))</f>
        <v/>
      </c>
      <c r="P926" t="str">
        <f ca="1">IFERROR(((AVERAGEIFS(Observacion_Directa!$E$2:$E$1000,Observacion_Directa!$A$2:$A$1000,$A926,Observacion_Directa!$B$2:$B$1000,"&gt;="&amp;DATEVALUE($B926&amp;"-01"),Observacion_Directa!$B$2:$B$1000,"&lt;="&amp;EOMONTH(DATEVALUE($B926&amp;"-01"),0)))-1)/4*100,"")</f>
        <v/>
      </c>
      <c r="Q926" t="str">
        <f>IF(H926="","",MIN(100,100*H926/Parametros!$B$4))</f>
        <v/>
      </c>
      <c r="R926" t="str">
        <f>IF(I926="","",IF(I926=0,100,MIN(100,100*Parametros!$B$5/I926)))</f>
        <v/>
      </c>
      <c r="S926" t="str">
        <f>IF(J926="","",IF(J926=0,100,MIN(100,100*Parametros!$B$6/J926)))</f>
        <v/>
      </c>
      <c r="T926" t="str">
        <f>IF(L926="","",MIN(100,100*L926/Parametros!$B$7))</f>
        <v/>
      </c>
      <c r="U926" t="str">
        <f>IF(K926="","",MIN(100,100*K926/Parametros!$B$8))</f>
        <v/>
      </c>
      <c r="V926" t="str">
        <f ca="1">IFERROR(((AVERAGEIFS(Documentacion!$C$2:$C$1000,Documentacion!$A$2:$A$1000,$A926,Documentacion!$B$2:$B$1000,"&gt;="&amp;DATEVALUE($B926&amp;"-01"),Documentacion!$B$2:$B$1000,"&lt;="&amp;EOMONTH(DATEVALUE($B926&amp;"-01"),0)))-1)/4*100,"")</f>
        <v/>
      </c>
      <c r="W926" t="str">
        <f ca="1">IFERROR(((AVERAGEIFS(Feedback_360!$D$2:$D$1000,Feedback_360!$A$2:$A$1000,$A926,Feedback_360!$B$2:$B$1000,"&gt;="&amp;DATEVALUE($B926&amp;"-01"),Feedback_360!$B$2:$B$1000,"&lt;="&amp;EOMONTH(DATEVALUE($B926&amp;"-01"),0)))-1)/4*100,"")</f>
        <v/>
      </c>
      <c r="X926" t="str">
        <f ca="1">IFERROR(((AVERAGEIFS(Observacion_Directa!$D$2:$D$1000,Observacion_Directa!$A$2:$A$1000,$A926,Observacion_Directa!$B$2:$B$1000,"&gt;="&amp;DATEVALUE($B926&amp;"-01"),Observacion_Directa!$B$2:$B$1000,"&lt;="&amp;EOMONTH(DATEVALUE($B926&amp;"-01"),0)))-1)/4*100,"")</f>
        <v/>
      </c>
      <c r="Y926" t="e">
        <f t="shared" ca="1" si="29"/>
        <v>#DIV/0!</v>
      </c>
    </row>
    <row r="927" spans="12:25" x14ac:dyDescent="0.2">
      <c r="L927" t="str">
        <f t="shared" si="28"/>
        <v/>
      </c>
      <c r="M927" t="str">
        <f>IFERROR(AVERAGEIFS(Prod_5dias!$H$2:$H$1000,Prod_5dias!$A$2:$A$1000,$A927,Prod_5dias!$B$2:$B$1000,$B927),"")</f>
        <v/>
      </c>
      <c r="N927" t="str">
        <f>IF(M927="","",MIN(100,100*M927/Parametros!$B$7))</f>
        <v/>
      </c>
      <c r="O927" t="str">
        <f>IF(F927="","",IF(F927=0,100,MIN(100,100*Parametros!$B$3/F927)))</f>
        <v/>
      </c>
      <c r="P927" t="str">
        <f ca="1">IFERROR(((AVERAGEIFS(Observacion_Directa!$E$2:$E$1000,Observacion_Directa!$A$2:$A$1000,$A927,Observacion_Directa!$B$2:$B$1000,"&gt;="&amp;DATEVALUE($B927&amp;"-01"),Observacion_Directa!$B$2:$B$1000,"&lt;="&amp;EOMONTH(DATEVALUE($B927&amp;"-01"),0)))-1)/4*100,"")</f>
        <v/>
      </c>
      <c r="Q927" t="str">
        <f>IF(H927="","",MIN(100,100*H927/Parametros!$B$4))</f>
        <v/>
      </c>
      <c r="R927" t="str">
        <f>IF(I927="","",IF(I927=0,100,MIN(100,100*Parametros!$B$5/I927)))</f>
        <v/>
      </c>
      <c r="S927" t="str">
        <f>IF(J927="","",IF(J927=0,100,MIN(100,100*Parametros!$B$6/J927)))</f>
        <v/>
      </c>
      <c r="T927" t="str">
        <f>IF(L927="","",MIN(100,100*L927/Parametros!$B$7))</f>
        <v/>
      </c>
      <c r="U927" t="str">
        <f>IF(K927="","",MIN(100,100*K927/Parametros!$B$8))</f>
        <v/>
      </c>
      <c r="V927" t="str">
        <f ca="1">IFERROR(((AVERAGEIFS(Documentacion!$C$2:$C$1000,Documentacion!$A$2:$A$1000,$A927,Documentacion!$B$2:$B$1000,"&gt;="&amp;DATEVALUE($B927&amp;"-01"),Documentacion!$B$2:$B$1000,"&lt;="&amp;EOMONTH(DATEVALUE($B927&amp;"-01"),0)))-1)/4*100,"")</f>
        <v/>
      </c>
      <c r="W927" t="str">
        <f ca="1">IFERROR(((AVERAGEIFS(Feedback_360!$D$2:$D$1000,Feedback_360!$A$2:$A$1000,$A927,Feedback_360!$B$2:$B$1000,"&gt;="&amp;DATEVALUE($B927&amp;"-01"),Feedback_360!$B$2:$B$1000,"&lt;="&amp;EOMONTH(DATEVALUE($B927&amp;"-01"),0)))-1)/4*100,"")</f>
        <v/>
      </c>
      <c r="X927" t="str">
        <f ca="1">IFERROR(((AVERAGEIFS(Observacion_Directa!$D$2:$D$1000,Observacion_Directa!$A$2:$A$1000,$A927,Observacion_Directa!$B$2:$B$1000,"&gt;="&amp;DATEVALUE($B927&amp;"-01"),Observacion_Directa!$B$2:$B$1000,"&lt;="&amp;EOMONTH(DATEVALUE($B927&amp;"-01"),0)))-1)/4*100,"")</f>
        <v/>
      </c>
      <c r="Y927" t="e">
        <f t="shared" ca="1" si="29"/>
        <v>#DIV/0!</v>
      </c>
    </row>
    <row r="928" spans="12:25" x14ac:dyDescent="0.2">
      <c r="L928" t="str">
        <f t="shared" si="28"/>
        <v/>
      </c>
      <c r="M928" t="str">
        <f>IFERROR(AVERAGEIFS(Prod_5dias!$H$2:$H$1000,Prod_5dias!$A$2:$A$1000,$A928,Prod_5dias!$B$2:$B$1000,$B928),"")</f>
        <v/>
      </c>
      <c r="N928" t="str">
        <f>IF(M928="","",MIN(100,100*M928/Parametros!$B$7))</f>
        <v/>
      </c>
      <c r="O928" t="str">
        <f>IF(F928="","",IF(F928=0,100,MIN(100,100*Parametros!$B$3/F928)))</f>
        <v/>
      </c>
      <c r="P928" t="str">
        <f ca="1">IFERROR(((AVERAGEIFS(Observacion_Directa!$E$2:$E$1000,Observacion_Directa!$A$2:$A$1000,$A928,Observacion_Directa!$B$2:$B$1000,"&gt;="&amp;DATEVALUE($B928&amp;"-01"),Observacion_Directa!$B$2:$B$1000,"&lt;="&amp;EOMONTH(DATEVALUE($B928&amp;"-01"),0)))-1)/4*100,"")</f>
        <v/>
      </c>
      <c r="Q928" t="str">
        <f>IF(H928="","",MIN(100,100*H928/Parametros!$B$4))</f>
        <v/>
      </c>
      <c r="R928" t="str">
        <f>IF(I928="","",IF(I928=0,100,MIN(100,100*Parametros!$B$5/I928)))</f>
        <v/>
      </c>
      <c r="S928" t="str">
        <f>IF(J928="","",IF(J928=0,100,MIN(100,100*Parametros!$B$6/J928)))</f>
        <v/>
      </c>
      <c r="T928" t="str">
        <f>IF(L928="","",MIN(100,100*L928/Parametros!$B$7))</f>
        <v/>
      </c>
      <c r="U928" t="str">
        <f>IF(K928="","",MIN(100,100*K928/Parametros!$B$8))</f>
        <v/>
      </c>
      <c r="V928" t="str">
        <f ca="1">IFERROR(((AVERAGEIFS(Documentacion!$C$2:$C$1000,Documentacion!$A$2:$A$1000,$A928,Documentacion!$B$2:$B$1000,"&gt;="&amp;DATEVALUE($B928&amp;"-01"),Documentacion!$B$2:$B$1000,"&lt;="&amp;EOMONTH(DATEVALUE($B928&amp;"-01"),0)))-1)/4*100,"")</f>
        <v/>
      </c>
      <c r="W928" t="str">
        <f ca="1">IFERROR(((AVERAGEIFS(Feedback_360!$D$2:$D$1000,Feedback_360!$A$2:$A$1000,$A928,Feedback_360!$B$2:$B$1000,"&gt;="&amp;DATEVALUE($B928&amp;"-01"),Feedback_360!$B$2:$B$1000,"&lt;="&amp;EOMONTH(DATEVALUE($B928&amp;"-01"),0)))-1)/4*100,"")</f>
        <v/>
      </c>
      <c r="X928" t="str">
        <f ca="1">IFERROR(((AVERAGEIFS(Observacion_Directa!$D$2:$D$1000,Observacion_Directa!$A$2:$A$1000,$A928,Observacion_Directa!$B$2:$B$1000,"&gt;="&amp;DATEVALUE($B928&amp;"-01"),Observacion_Directa!$B$2:$B$1000,"&lt;="&amp;EOMONTH(DATEVALUE($B928&amp;"-01"),0)))-1)/4*100,"")</f>
        <v/>
      </c>
      <c r="Y928" t="e">
        <f t="shared" ca="1" si="29"/>
        <v>#DIV/0!</v>
      </c>
    </row>
    <row r="929" spans="12:25" x14ac:dyDescent="0.2">
      <c r="L929" t="str">
        <f t="shared" si="28"/>
        <v/>
      </c>
      <c r="M929" t="str">
        <f>IFERROR(AVERAGEIFS(Prod_5dias!$H$2:$H$1000,Prod_5dias!$A$2:$A$1000,$A929,Prod_5dias!$B$2:$B$1000,$B929),"")</f>
        <v/>
      </c>
      <c r="N929" t="str">
        <f>IF(M929="","",MIN(100,100*M929/Parametros!$B$7))</f>
        <v/>
      </c>
      <c r="O929" t="str">
        <f>IF(F929="","",IF(F929=0,100,MIN(100,100*Parametros!$B$3/F929)))</f>
        <v/>
      </c>
      <c r="P929" t="str">
        <f ca="1">IFERROR(((AVERAGEIFS(Observacion_Directa!$E$2:$E$1000,Observacion_Directa!$A$2:$A$1000,$A929,Observacion_Directa!$B$2:$B$1000,"&gt;="&amp;DATEVALUE($B929&amp;"-01"),Observacion_Directa!$B$2:$B$1000,"&lt;="&amp;EOMONTH(DATEVALUE($B929&amp;"-01"),0)))-1)/4*100,"")</f>
        <v/>
      </c>
      <c r="Q929" t="str">
        <f>IF(H929="","",MIN(100,100*H929/Parametros!$B$4))</f>
        <v/>
      </c>
      <c r="R929" t="str">
        <f>IF(I929="","",IF(I929=0,100,MIN(100,100*Parametros!$B$5/I929)))</f>
        <v/>
      </c>
      <c r="S929" t="str">
        <f>IF(J929="","",IF(J929=0,100,MIN(100,100*Parametros!$B$6/J929)))</f>
        <v/>
      </c>
      <c r="T929" t="str">
        <f>IF(L929="","",MIN(100,100*L929/Parametros!$B$7))</f>
        <v/>
      </c>
      <c r="U929" t="str">
        <f>IF(K929="","",MIN(100,100*K929/Parametros!$B$8))</f>
        <v/>
      </c>
      <c r="V929" t="str">
        <f ca="1">IFERROR(((AVERAGEIFS(Documentacion!$C$2:$C$1000,Documentacion!$A$2:$A$1000,$A929,Documentacion!$B$2:$B$1000,"&gt;="&amp;DATEVALUE($B929&amp;"-01"),Documentacion!$B$2:$B$1000,"&lt;="&amp;EOMONTH(DATEVALUE($B929&amp;"-01"),0)))-1)/4*100,"")</f>
        <v/>
      </c>
      <c r="W929" t="str">
        <f ca="1">IFERROR(((AVERAGEIFS(Feedback_360!$D$2:$D$1000,Feedback_360!$A$2:$A$1000,$A929,Feedback_360!$B$2:$B$1000,"&gt;="&amp;DATEVALUE($B929&amp;"-01"),Feedback_360!$B$2:$B$1000,"&lt;="&amp;EOMONTH(DATEVALUE($B929&amp;"-01"),0)))-1)/4*100,"")</f>
        <v/>
      </c>
      <c r="X929" t="str">
        <f ca="1">IFERROR(((AVERAGEIFS(Observacion_Directa!$D$2:$D$1000,Observacion_Directa!$A$2:$A$1000,$A929,Observacion_Directa!$B$2:$B$1000,"&gt;="&amp;DATEVALUE($B929&amp;"-01"),Observacion_Directa!$B$2:$B$1000,"&lt;="&amp;EOMONTH(DATEVALUE($B929&amp;"-01"),0)))-1)/4*100,"")</f>
        <v/>
      </c>
      <c r="Y929" t="e">
        <f t="shared" ca="1" si="29"/>
        <v>#DIV/0!</v>
      </c>
    </row>
    <row r="930" spans="12:25" x14ac:dyDescent="0.2">
      <c r="L930" t="str">
        <f t="shared" si="28"/>
        <v/>
      </c>
      <c r="M930" t="str">
        <f>IFERROR(AVERAGEIFS(Prod_5dias!$H$2:$H$1000,Prod_5dias!$A$2:$A$1000,$A930,Prod_5dias!$B$2:$B$1000,$B930),"")</f>
        <v/>
      </c>
      <c r="N930" t="str">
        <f>IF(M930="","",MIN(100,100*M930/Parametros!$B$7))</f>
        <v/>
      </c>
      <c r="O930" t="str">
        <f>IF(F930="","",IF(F930=0,100,MIN(100,100*Parametros!$B$3/F930)))</f>
        <v/>
      </c>
      <c r="P930" t="str">
        <f ca="1">IFERROR(((AVERAGEIFS(Observacion_Directa!$E$2:$E$1000,Observacion_Directa!$A$2:$A$1000,$A930,Observacion_Directa!$B$2:$B$1000,"&gt;="&amp;DATEVALUE($B930&amp;"-01"),Observacion_Directa!$B$2:$B$1000,"&lt;="&amp;EOMONTH(DATEVALUE($B930&amp;"-01"),0)))-1)/4*100,"")</f>
        <v/>
      </c>
      <c r="Q930" t="str">
        <f>IF(H930="","",MIN(100,100*H930/Parametros!$B$4))</f>
        <v/>
      </c>
      <c r="R930" t="str">
        <f>IF(I930="","",IF(I930=0,100,MIN(100,100*Parametros!$B$5/I930)))</f>
        <v/>
      </c>
      <c r="S930" t="str">
        <f>IF(J930="","",IF(J930=0,100,MIN(100,100*Parametros!$B$6/J930)))</f>
        <v/>
      </c>
      <c r="T930" t="str">
        <f>IF(L930="","",MIN(100,100*L930/Parametros!$B$7))</f>
        <v/>
      </c>
      <c r="U930" t="str">
        <f>IF(K930="","",MIN(100,100*K930/Parametros!$B$8))</f>
        <v/>
      </c>
      <c r="V930" t="str">
        <f ca="1">IFERROR(((AVERAGEIFS(Documentacion!$C$2:$C$1000,Documentacion!$A$2:$A$1000,$A930,Documentacion!$B$2:$B$1000,"&gt;="&amp;DATEVALUE($B930&amp;"-01"),Documentacion!$B$2:$B$1000,"&lt;="&amp;EOMONTH(DATEVALUE($B930&amp;"-01"),0)))-1)/4*100,"")</f>
        <v/>
      </c>
      <c r="W930" t="str">
        <f ca="1">IFERROR(((AVERAGEIFS(Feedback_360!$D$2:$D$1000,Feedback_360!$A$2:$A$1000,$A930,Feedback_360!$B$2:$B$1000,"&gt;="&amp;DATEVALUE($B930&amp;"-01"),Feedback_360!$B$2:$B$1000,"&lt;="&amp;EOMONTH(DATEVALUE($B930&amp;"-01"),0)))-1)/4*100,"")</f>
        <v/>
      </c>
      <c r="X930" t="str">
        <f ca="1">IFERROR(((AVERAGEIFS(Observacion_Directa!$D$2:$D$1000,Observacion_Directa!$A$2:$A$1000,$A930,Observacion_Directa!$B$2:$B$1000,"&gt;="&amp;DATEVALUE($B930&amp;"-01"),Observacion_Directa!$B$2:$B$1000,"&lt;="&amp;EOMONTH(DATEVALUE($B930&amp;"-01"),0)))-1)/4*100,"")</f>
        <v/>
      </c>
      <c r="Y930" t="e">
        <f t="shared" ca="1" si="29"/>
        <v>#DIV/0!</v>
      </c>
    </row>
    <row r="931" spans="12:25" x14ac:dyDescent="0.2">
      <c r="L931" t="str">
        <f t="shared" si="28"/>
        <v/>
      </c>
      <c r="M931" t="str">
        <f>IFERROR(AVERAGEIFS(Prod_5dias!$H$2:$H$1000,Prod_5dias!$A$2:$A$1000,$A931,Prod_5dias!$B$2:$B$1000,$B931),"")</f>
        <v/>
      </c>
      <c r="N931" t="str">
        <f>IF(M931="","",MIN(100,100*M931/Parametros!$B$7))</f>
        <v/>
      </c>
      <c r="O931" t="str">
        <f>IF(F931="","",IF(F931=0,100,MIN(100,100*Parametros!$B$3/F931)))</f>
        <v/>
      </c>
      <c r="P931" t="str">
        <f ca="1">IFERROR(((AVERAGEIFS(Observacion_Directa!$E$2:$E$1000,Observacion_Directa!$A$2:$A$1000,$A931,Observacion_Directa!$B$2:$B$1000,"&gt;="&amp;DATEVALUE($B931&amp;"-01"),Observacion_Directa!$B$2:$B$1000,"&lt;="&amp;EOMONTH(DATEVALUE($B931&amp;"-01"),0)))-1)/4*100,"")</f>
        <v/>
      </c>
      <c r="Q931" t="str">
        <f>IF(H931="","",MIN(100,100*H931/Parametros!$B$4))</f>
        <v/>
      </c>
      <c r="R931" t="str">
        <f>IF(I931="","",IF(I931=0,100,MIN(100,100*Parametros!$B$5/I931)))</f>
        <v/>
      </c>
      <c r="S931" t="str">
        <f>IF(J931="","",IF(J931=0,100,MIN(100,100*Parametros!$B$6/J931)))</f>
        <v/>
      </c>
      <c r="T931" t="str">
        <f>IF(L931="","",MIN(100,100*L931/Parametros!$B$7))</f>
        <v/>
      </c>
      <c r="U931" t="str">
        <f>IF(K931="","",MIN(100,100*K931/Parametros!$B$8))</f>
        <v/>
      </c>
      <c r="V931" t="str">
        <f ca="1">IFERROR(((AVERAGEIFS(Documentacion!$C$2:$C$1000,Documentacion!$A$2:$A$1000,$A931,Documentacion!$B$2:$B$1000,"&gt;="&amp;DATEVALUE($B931&amp;"-01"),Documentacion!$B$2:$B$1000,"&lt;="&amp;EOMONTH(DATEVALUE($B931&amp;"-01"),0)))-1)/4*100,"")</f>
        <v/>
      </c>
      <c r="W931" t="str">
        <f ca="1">IFERROR(((AVERAGEIFS(Feedback_360!$D$2:$D$1000,Feedback_360!$A$2:$A$1000,$A931,Feedback_360!$B$2:$B$1000,"&gt;="&amp;DATEVALUE($B931&amp;"-01"),Feedback_360!$B$2:$B$1000,"&lt;="&amp;EOMONTH(DATEVALUE($B931&amp;"-01"),0)))-1)/4*100,"")</f>
        <v/>
      </c>
      <c r="X931" t="str">
        <f ca="1">IFERROR(((AVERAGEIFS(Observacion_Directa!$D$2:$D$1000,Observacion_Directa!$A$2:$A$1000,$A931,Observacion_Directa!$B$2:$B$1000,"&gt;="&amp;DATEVALUE($B931&amp;"-01"),Observacion_Directa!$B$2:$B$1000,"&lt;="&amp;EOMONTH(DATEVALUE($B931&amp;"-01"),0)))-1)/4*100,"")</f>
        <v/>
      </c>
      <c r="Y931" t="e">
        <f t="shared" ca="1" si="29"/>
        <v>#DIV/0!</v>
      </c>
    </row>
    <row r="932" spans="12:25" x14ac:dyDescent="0.2">
      <c r="L932" t="str">
        <f t="shared" si="28"/>
        <v/>
      </c>
      <c r="M932" t="str">
        <f>IFERROR(AVERAGEIFS(Prod_5dias!$H$2:$H$1000,Prod_5dias!$A$2:$A$1000,$A932,Prod_5dias!$B$2:$B$1000,$B932),"")</f>
        <v/>
      </c>
      <c r="N932" t="str">
        <f>IF(M932="","",MIN(100,100*M932/Parametros!$B$7))</f>
        <v/>
      </c>
      <c r="O932" t="str">
        <f>IF(F932="","",IF(F932=0,100,MIN(100,100*Parametros!$B$3/F932)))</f>
        <v/>
      </c>
      <c r="P932" t="str">
        <f ca="1">IFERROR(((AVERAGEIFS(Observacion_Directa!$E$2:$E$1000,Observacion_Directa!$A$2:$A$1000,$A932,Observacion_Directa!$B$2:$B$1000,"&gt;="&amp;DATEVALUE($B932&amp;"-01"),Observacion_Directa!$B$2:$B$1000,"&lt;="&amp;EOMONTH(DATEVALUE($B932&amp;"-01"),0)))-1)/4*100,"")</f>
        <v/>
      </c>
      <c r="Q932" t="str">
        <f>IF(H932="","",MIN(100,100*H932/Parametros!$B$4))</f>
        <v/>
      </c>
      <c r="R932" t="str">
        <f>IF(I932="","",IF(I932=0,100,MIN(100,100*Parametros!$B$5/I932)))</f>
        <v/>
      </c>
      <c r="S932" t="str">
        <f>IF(J932="","",IF(J932=0,100,MIN(100,100*Parametros!$B$6/J932)))</f>
        <v/>
      </c>
      <c r="T932" t="str">
        <f>IF(L932="","",MIN(100,100*L932/Parametros!$B$7))</f>
        <v/>
      </c>
      <c r="U932" t="str">
        <f>IF(K932="","",MIN(100,100*K932/Parametros!$B$8))</f>
        <v/>
      </c>
      <c r="V932" t="str">
        <f ca="1">IFERROR(((AVERAGEIFS(Documentacion!$C$2:$C$1000,Documentacion!$A$2:$A$1000,$A932,Documentacion!$B$2:$B$1000,"&gt;="&amp;DATEVALUE($B932&amp;"-01"),Documentacion!$B$2:$B$1000,"&lt;="&amp;EOMONTH(DATEVALUE($B932&amp;"-01"),0)))-1)/4*100,"")</f>
        <v/>
      </c>
      <c r="W932" t="str">
        <f ca="1">IFERROR(((AVERAGEIFS(Feedback_360!$D$2:$D$1000,Feedback_360!$A$2:$A$1000,$A932,Feedback_360!$B$2:$B$1000,"&gt;="&amp;DATEVALUE($B932&amp;"-01"),Feedback_360!$B$2:$B$1000,"&lt;="&amp;EOMONTH(DATEVALUE($B932&amp;"-01"),0)))-1)/4*100,"")</f>
        <v/>
      </c>
      <c r="X932" t="str">
        <f ca="1">IFERROR(((AVERAGEIFS(Observacion_Directa!$D$2:$D$1000,Observacion_Directa!$A$2:$A$1000,$A932,Observacion_Directa!$B$2:$B$1000,"&gt;="&amp;DATEVALUE($B932&amp;"-01"),Observacion_Directa!$B$2:$B$1000,"&lt;="&amp;EOMONTH(DATEVALUE($B932&amp;"-01"),0)))-1)/4*100,"")</f>
        <v/>
      </c>
      <c r="Y932" t="e">
        <f t="shared" ca="1" si="29"/>
        <v>#DIV/0!</v>
      </c>
    </row>
    <row r="933" spans="12:25" x14ac:dyDescent="0.2">
      <c r="L933" t="str">
        <f t="shared" si="28"/>
        <v/>
      </c>
      <c r="M933" t="str">
        <f>IFERROR(AVERAGEIFS(Prod_5dias!$H$2:$H$1000,Prod_5dias!$A$2:$A$1000,$A933,Prod_5dias!$B$2:$B$1000,$B933),"")</f>
        <v/>
      </c>
      <c r="N933" t="str">
        <f>IF(M933="","",MIN(100,100*M933/Parametros!$B$7))</f>
        <v/>
      </c>
      <c r="O933" t="str">
        <f>IF(F933="","",IF(F933=0,100,MIN(100,100*Parametros!$B$3/F933)))</f>
        <v/>
      </c>
      <c r="P933" t="str">
        <f ca="1">IFERROR(((AVERAGEIFS(Observacion_Directa!$E$2:$E$1000,Observacion_Directa!$A$2:$A$1000,$A933,Observacion_Directa!$B$2:$B$1000,"&gt;="&amp;DATEVALUE($B933&amp;"-01"),Observacion_Directa!$B$2:$B$1000,"&lt;="&amp;EOMONTH(DATEVALUE($B933&amp;"-01"),0)))-1)/4*100,"")</f>
        <v/>
      </c>
      <c r="Q933" t="str">
        <f>IF(H933="","",MIN(100,100*H933/Parametros!$B$4))</f>
        <v/>
      </c>
      <c r="R933" t="str">
        <f>IF(I933="","",IF(I933=0,100,MIN(100,100*Parametros!$B$5/I933)))</f>
        <v/>
      </c>
      <c r="S933" t="str">
        <f>IF(J933="","",IF(J933=0,100,MIN(100,100*Parametros!$B$6/J933)))</f>
        <v/>
      </c>
      <c r="T933" t="str">
        <f>IF(L933="","",MIN(100,100*L933/Parametros!$B$7))</f>
        <v/>
      </c>
      <c r="U933" t="str">
        <f>IF(K933="","",MIN(100,100*K933/Parametros!$B$8))</f>
        <v/>
      </c>
      <c r="V933" t="str">
        <f ca="1">IFERROR(((AVERAGEIFS(Documentacion!$C$2:$C$1000,Documentacion!$A$2:$A$1000,$A933,Documentacion!$B$2:$B$1000,"&gt;="&amp;DATEVALUE($B933&amp;"-01"),Documentacion!$B$2:$B$1000,"&lt;="&amp;EOMONTH(DATEVALUE($B933&amp;"-01"),0)))-1)/4*100,"")</f>
        <v/>
      </c>
      <c r="W933" t="str">
        <f ca="1">IFERROR(((AVERAGEIFS(Feedback_360!$D$2:$D$1000,Feedback_360!$A$2:$A$1000,$A933,Feedback_360!$B$2:$B$1000,"&gt;="&amp;DATEVALUE($B933&amp;"-01"),Feedback_360!$B$2:$B$1000,"&lt;="&amp;EOMONTH(DATEVALUE($B933&amp;"-01"),0)))-1)/4*100,"")</f>
        <v/>
      </c>
      <c r="X933" t="str">
        <f ca="1">IFERROR(((AVERAGEIFS(Observacion_Directa!$D$2:$D$1000,Observacion_Directa!$A$2:$A$1000,$A933,Observacion_Directa!$B$2:$B$1000,"&gt;="&amp;DATEVALUE($B933&amp;"-01"),Observacion_Directa!$B$2:$B$1000,"&lt;="&amp;EOMONTH(DATEVALUE($B933&amp;"-01"),0)))-1)/4*100,"")</f>
        <v/>
      </c>
      <c r="Y933" t="e">
        <f t="shared" ca="1" si="29"/>
        <v>#DIV/0!</v>
      </c>
    </row>
    <row r="934" spans="12:25" x14ac:dyDescent="0.2">
      <c r="L934" t="str">
        <f t="shared" si="28"/>
        <v/>
      </c>
      <c r="M934" t="str">
        <f>IFERROR(AVERAGEIFS(Prod_5dias!$H$2:$H$1000,Prod_5dias!$A$2:$A$1000,$A934,Prod_5dias!$B$2:$B$1000,$B934),"")</f>
        <v/>
      </c>
      <c r="N934" t="str">
        <f>IF(M934="","",MIN(100,100*M934/Parametros!$B$7))</f>
        <v/>
      </c>
      <c r="O934" t="str">
        <f>IF(F934="","",IF(F934=0,100,MIN(100,100*Parametros!$B$3/F934)))</f>
        <v/>
      </c>
      <c r="P934" t="str">
        <f ca="1">IFERROR(((AVERAGEIFS(Observacion_Directa!$E$2:$E$1000,Observacion_Directa!$A$2:$A$1000,$A934,Observacion_Directa!$B$2:$B$1000,"&gt;="&amp;DATEVALUE($B934&amp;"-01"),Observacion_Directa!$B$2:$B$1000,"&lt;="&amp;EOMONTH(DATEVALUE($B934&amp;"-01"),0)))-1)/4*100,"")</f>
        <v/>
      </c>
      <c r="Q934" t="str">
        <f>IF(H934="","",MIN(100,100*H934/Parametros!$B$4))</f>
        <v/>
      </c>
      <c r="R934" t="str">
        <f>IF(I934="","",IF(I934=0,100,MIN(100,100*Parametros!$B$5/I934)))</f>
        <v/>
      </c>
      <c r="S934" t="str">
        <f>IF(J934="","",IF(J934=0,100,MIN(100,100*Parametros!$B$6/J934)))</f>
        <v/>
      </c>
      <c r="T934" t="str">
        <f>IF(L934="","",MIN(100,100*L934/Parametros!$B$7))</f>
        <v/>
      </c>
      <c r="U934" t="str">
        <f>IF(K934="","",MIN(100,100*K934/Parametros!$B$8))</f>
        <v/>
      </c>
      <c r="V934" t="str">
        <f ca="1">IFERROR(((AVERAGEIFS(Documentacion!$C$2:$C$1000,Documentacion!$A$2:$A$1000,$A934,Documentacion!$B$2:$B$1000,"&gt;="&amp;DATEVALUE($B934&amp;"-01"),Documentacion!$B$2:$B$1000,"&lt;="&amp;EOMONTH(DATEVALUE($B934&amp;"-01"),0)))-1)/4*100,"")</f>
        <v/>
      </c>
      <c r="W934" t="str">
        <f ca="1">IFERROR(((AVERAGEIFS(Feedback_360!$D$2:$D$1000,Feedback_360!$A$2:$A$1000,$A934,Feedback_360!$B$2:$B$1000,"&gt;="&amp;DATEVALUE($B934&amp;"-01"),Feedback_360!$B$2:$B$1000,"&lt;="&amp;EOMONTH(DATEVALUE($B934&amp;"-01"),0)))-1)/4*100,"")</f>
        <v/>
      </c>
      <c r="X934" t="str">
        <f ca="1">IFERROR(((AVERAGEIFS(Observacion_Directa!$D$2:$D$1000,Observacion_Directa!$A$2:$A$1000,$A934,Observacion_Directa!$B$2:$B$1000,"&gt;="&amp;DATEVALUE($B934&amp;"-01"),Observacion_Directa!$B$2:$B$1000,"&lt;="&amp;EOMONTH(DATEVALUE($B934&amp;"-01"),0)))-1)/4*100,"")</f>
        <v/>
      </c>
      <c r="Y934" t="e">
        <f t="shared" ca="1" si="29"/>
        <v>#DIV/0!</v>
      </c>
    </row>
    <row r="935" spans="12:25" x14ac:dyDescent="0.2">
      <c r="L935" t="str">
        <f t="shared" si="28"/>
        <v/>
      </c>
      <c r="M935" t="str">
        <f>IFERROR(AVERAGEIFS(Prod_5dias!$H$2:$H$1000,Prod_5dias!$A$2:$A$1000,$A935,Prod_5dias!$B$2:$B$1000,$B935),"")</f>
        <v/>
      </c>
      <c r="N935" t="str">
        <f>IF(M935="","",MIN(100,100*M935/Parametros!$B$7))</f>
        <v/>
      </c>
      <c r="O935" t="str">
        <f>IF(F935="","",IF(F935=0,100,MIN(100,100*Parametros!$B$3/F935)))</f>
        <v/>
      </c>
      <c r="P935" t="str">
        <f ca="1">IFERROR(((AVERAGEIFS(Observacion_Directa!$E$2:$E$1000,Observacion_Directa!$A$2:$A$1000,$A935,Observacion_Directa!$B$2:$B$1000,"&gt;="&amp;DATEVALUE($B935&amp;"-01"),Observacion_Directa!$B$2:$B$1000,"&lt;="&amp;EOMONTH(DATEVALUE($B935&amp;"-01"),0)))-1)/4*100,"")</f>
        <v/>
      </c>
      <c r="Q935" t="str">
        <f>IF(H935="","",MIN(100,100*H935/Parametros!$B$4))</f>
        <v/>
      </c>
      <c r="R935" t="str">
        <f>IF(I935="","",IF(I935=0,100,MIN(100,100*Parametros!$B$5/I935)))</f>
        <v/>
      </c>
      <c r="S935" t="str">
        <f>IF(J935="","",IF(J935=0,100,MIN(100,100*Parametros!$B$6/J935)))</f>
        <v/>
      </c>
      <c r="T935" t="str">
        <f>IF(L935="","",MIN(100,100*L935/Parametros!$B$7))</f>
        <v/>
      </c>
      <c r="U935" t="str">
        <f>IF(K935="","",MIN(100,100*K935/Parametros!$B$8))</f>
        <v/>
      </c>
      <c r="V935" t="str">
        <f ca="1">IFERROR(((AVERAGEIFS(Documentacion!$C$2:$C$1000,Documentacion!$A$2:$A$1000,$A935,Documentacion!$B$2:$B$1000,"&gt;="&amp;DATEVALUE($B935&amp;"-01"),Documentacion!$B$2:$B$1000,"&lt;="&amp;EOMONTH(DATEVALUE($B935&amp;"-01"),0)))-1)/4*100,"")</f>
        <v/>
      </c>
      <c r="W935" t="str">
        <f ca="1">IFERROR(((AVERAGEIFS(Feedback_360!$D$2:$D$1000,Feedback_360!$A$2:$A$1000,$A935,Feedback_360!$B$2:$B$1000,"&gt;="&amp;DATEVALUE($B935&amp;"-01"),Feedback_360!$B$2:$B$1000,"&lt;="&amp;EOMONTH(DATEVALUE($B935&amp;"-01"),0)))-1)/4*100,"")</f>
        <v/>
      </c>
      <c r="X935" t="str">
        <f ca="1">IFERROR(((AVERAGEIFS(Observacion_Directa!$D$2:$D$1000,Observacion_Directa!$A$2:$A$1000,$A935,Observacion_Directa!$B$2:$B$1000,"&gt;="&amp;DATEVALUE($B935&amp;"-01"),Observacion_Directa!$B$2:$B$1000,"&lt;="&amp;EOMONTH(DATEVALUE($B935&amp;"-01"),0)))-1)/4*100,"")</f>
        <v/>
      </c>
      <c r="Y935" t="e">
        <f t="shared" ca="1" si="29"/>
        <v>#DIV/0!</v>
      </c>
    </row>
    <row r="936" spans="12:25" x14ac:dyDescent="0.2">
      <c r="L936" t="str">
        <f t="shared" si="28"/>
        <v/>
      </c>
      <c r="M936" t="str">
        <f>IFERROR(AVERAGEIFS(Prod_5dias!$H$2:$H$1000,Prod_5dias!$A$2:$A$1000,$A936,Prod_5dias!$B$2:$B$1000,$B936),"")</f>
        <v/>
      </c>
      <c r="N936" t="str">
        <f>IF(M936="","",MIN(100,100*M936/Parametros!$B$7))</f>
        <v/>
      </c>
      <c r="O936" t="str">
        <f>IF(F936="","",IF(F936=0,100,MIN(100,100*Parametros!$B$3/F936)))</f>
        <v/>
      </c>
      <c r="P936" t="str">
        <f ca="1">IFERROR(((AVERAGEIFS(Observacion_Directa!$E$2:$E$1000,Observacion_Directa!$A$2:$A$1000,$A936,Observacion_Directa!$B$2:$B$1000,"&gt;="&amp;DATEVALUE($B936&amp;"-01"),Observacion_Directa!$B$2:$B$1000,"&lt;="&amp;EOMONTH(DATEVALUE($B936&amp;"-01"),0)))-1)/4*100,"")</f>
        <v/>
      </c>
      <c r="Q936" t="str">
        <f>IF(H936="","",MIN(100,100*H936/Parametros!$B$4))</f>
        <v/>
      </c>
      <c r="R936" t="str">
        <f>IF(I936="","",IF(I936=0,100,MIN(100,100*Parametros!$B$5/I936)))</f>
        <v/>
      </c>
      <c r="S936" t="str">
        <f>IF(J936="","",IF(J936=0,100,MIN(100,100*Parametros!$B$6/J936)))</f>
        <v/>
      </c>
      <c r="T936" t="str">
        <f>IF(L936="","",MIN(100,100*L936/Parametros!$B$7))</f>
        <v/>
      </c>
      <c r="U936" t="str">
        <f>IF(K936="","",MIN(100,100*K936/Parametros!$B$8))</f>
        <v/>
      </c>
      <c r="V936" t="str">
        <f ca="1">IFERROR(((AVERAGEIFS(Documentacion!$C$2:$C$1000,Documentacion!$A$2:$A$1000,$A936,Documentacion!$B$2:$B$1000,"&gt;="&amp;DATEVALUE($B936&amp;"-01"),Documentacion!$B$2:$B$1000,"&lt;="&amp;EOMONTH(DATEVALUE($B936&amp;"-01"),0)))-1)/4*100,"")</f>
        <v/>
      </c>
      <c r="W936" t="str">
        <f ca="1">IFERROR(((AVERAGEIFS(Feedback_360!$D$2:$D$1000,Feedback_360!$A$2:$A$1000,$A936,Feedback_360!$B$2:$B$1000,"&gt;="&amp;DATEVALUE($B936&amp;"-01"),Feedback_360!$B$2:$B$1000,"&lt;="&amp;EOMONTH(DATEVALUE($B936&amp;"-01"),0)))-1)/4*100,"")</f>
        <v/>
      </c>
      <c r="X936" t="str">
        <f ca="1">IFERROR(((AVERAGEIFS(Observacion_Directa!$D$2:$D$1000,Observacion_Directa!$A$2:$A$1000,$A936,Observacion_Directa!$B$2:$B$1000,"&gt;="&amp;DATEVALUE($B936&amp;"-01"),Observacion_Directa!$B$2:$B$1000,"&lt;="&amp;EOMONTH(DATEVALUE($B936&amp;"-01"),0)))-1)/4*100,"")</f>
        <v/>
      </c>
      <c r="Y936" t="e">
        <f t="shared" ca="1" si="29"/>
        <v>#DIV/0!</v>
      </c>
    </row>
    <row r="937" spans="12:25" x14ac:dyDescent="0.2">
      <c r="L937" t="str">
        <f t="shared" si="28"/>
        <v/>
      </c>
      <c r="M937" t="str">
        <f>IFERROR(AVERAGEIFS(Prod_5dias!$H$2:$H$1000,Prod_5dias!$A$2:$A$1000,$A937,Prod_5dias!$B$2:$B$1000,$B937),"")</f>
        <v/>
      </c>
      <c r="N937" t="str">
        <f>IF(M937="","",MIN(100,100*M937/Parametros!$B$7))</f>
        <v/>
      </c>
      <c r="O937" t="str">
        <f>IF(F937="","",IF(F937=0,100,MIN(100,100*Parametros!$B$3/F937)))</f>
        <v/>
      </c>
      <c r="P937" t="str">
        <f ca="1">IFERROR(((AVERAGEIFS(Observacion_Directa!$E$2:$E$1000,Observacion_Directa!$A$2:$A$1000,$A937,Observacion_Directa!$B$2:$B$1000,"&gt;="&amp;DATEVALUE($B937&amp;"-01"),Observacion_Directa!$B$2:$B$1000,"&lt;="&amp;EOMONTH(DATEVALUE($B937&amp;"-01"),0)))-1)/4*100,"")</f>
        <v/>
      </c>
      <c r="Q937" t="str">
        <f>IF(H937="","",MIN(100,100*H937/Parametros!$B$4))</f>
        <v/>
      </c>
      <c r="R937" t="str">
        <f>IF(I937="","",IF(I937=0,100,MIN(100,100*Parametros!$B$5/I937)))</f>
        <v/>
      </c>
      <c r="S937" t="str">
        <f>IF(J937="","",IF(J937=0,100,MIN(100,100*Parametros!$B$6/J937)))</f>
        <v/>
      </c>
      <c r="T937" t="str">
        <f>IF(L937="","",MIN(100,100*L937/Parametros!$B$7))</f>
        <v/>
      </c>
      <c r="U937" t="str">
        <f>IF(K937="","",MIN(100,100*K937/Parametros!$B$8))</f>
        <v/>
      </c>
      <c r="V937" t="str">
        <f ca="1">IFERROR(((AVERAGEIFS(Documentacion!$C$2:$C$1000,Documentacion!$A$2:$A$1000,$A937,Documentacion!$B$2:$B$1000,"&gt;="&amp;DATEVALUE($B937&amp;"-01"),Documentacion!$B$2:$B$1000,"&lt;="&amp;EOMONTH(DATEVALUE($B937&amp;"-01"),0)))-1)/4*100,"")</f>
        <v/>
      </c>
      <c r="W937" t="str">
        <f ca="1">IFERROR(((AVERAGEIFS(Feedback_360!$D$2:$D$1000,Feedback_360!$A$2:$A$1000,$A937,Feedback_360!$B$2:$B$1000,"&gt;="&amp;DATEVALUE($B937&amp;"-01"),Feedback_360!$B$2:$B$1000,"&lt;="&amp;EOMONTH(DATEVALUE($B937&amp;"-01"),0)))-1)/4*100,"")</f>
        <v/>
      </c>
      <c r="X937" t="str">
        <f ca="1">IFERROR(((AVERAGEIFS(Observacion_Directa!$D$2:$D$1000,Observacion_Directa!$A$2:$A$1000,$A937,Observacion_Directa!$B$2:$B$1000,"&gt;="&amp;DATEVALUE($B937&amp;"-01"),Observacion_Directa!$B$2:$B$1000,"&lt;="&amp;EOMONTH(DATEVALUE($B937&amp;"-01"),0)))-1)/4*100,"")</f>
        <v/>
      </c>
      <c r="Y937" t="e">
        <f t="shared" ca="1" si="29"/>
        <v>#DIV/0!</v>
      </c>
    </row>
    <row r="938" spans="12:25" x14ac:dyDescent="0.2">
      <c r="L938" t="str">
        <f t="shared" si="28"/>
        <v/>
      </c>
      <c r="M938" t="str">
        <f>IFERROR(AVERAGEIFS(Prod_5dias!$H$2:$H$1000,Prod_5dias!$A$2:$A$1000,$A938,Prod_5dias!$B$2:$B$1000,$B938),"")</f>
        <v/>
      </c>
      <c r="N938" t="str">
        <f>IF(M938="","",MIN(100,100*M938/Parametros!$B$7))</f>
        <v/>
      </c>
      <c r="O938" t="str">
        <f>IF(F938="","",IF(F938=0,100,MIN(100,100*Parametros!$B$3/F938)))</f>
        <v/>
      </c>
      <c r="P938" t="str">
        <f ca="1">IFERROR(((AVERAGEIFS(Observacion_Directa!$E$2:$E$1000,Observacion_Directa!$A$2:$A$1000,$A938,Observacion_Directa!$B$2:$B$1000,"&gt;="&amp;DATEVALUE($B938&amp;"-01"),Observacion_Directa!$B$2:$B$1000,"&lt;="&amp;EOMONTH(DATEVALUE($B938&amp;"-01"),0)))-1)/4*100,"")</f>
        <v/>
      </c>
      <c r="Q938" t="str">
        <f>IF(H938="","",MIN(100,100*H938/Parametros!$B$4))</f>
        <v/>
      </c>
      <c r="R938" t="str">
        <f>IF(I938="","",IF(I938=0,100,MIN(100,100*Parametros!$B$5/I938)))</f>
        <v/>
      </c>
      <c r="S938" t="str">
        <f>IF(J938="","",IF(J938=0,100,MIN(100,100*Parametros!$B$6/J938)))</f>
        <v/>
      </c>
      <c r="T938" t="str">
        <f>IF(L938="","",MIN(100,100*L938/Parametros!$B$7))</f>
        <v/>
      </c>
      <c r="U938" t="str">
        <f>IF(K938="","",MIN(100,100*K938/Parametros!$B$8))</f>
        <v/>
      </c>
      <c r="V938" t="str">
        <f ca="1">IFERROR(((AVERAGEIFS(Documentacion!$C$2:$C$1000,Documentacion!$A$2:$A$1000,$A938,Documentacion!$B$2:$B$1000,"&gt;="&amp;DATEVALUE($B938&amp;"-01"),Documentacion!$B$2:$B$1000,"&lt;="&amp;EOMONTH(DATEVALUE($B938&amp;"-01"),0)))-1)/4*100,"")</f>
        <v/>
      </c>
      <c r="W938" t="str">
        <f ca="1">IFERROR(((AVERAGEIFS(Feedback_360!$D$2:$D$1000,Feedback_360!$A$2:$A$1000,$A938,Feedback_360!$B$2:$B$1000,"&gt;="&amp;DATEVALUE($B938&amp;"-01"),Feedback_360!$B$2:$B$1000,"&lt;="&amp;EOMONTH(DATEVALUE($B938&amp;"-01"),0)))-1)/4*100,"")</f>
        <v/>
      </c>
      <c r="X938" t="str">
        <f ca="1">IFERROR(((AVERAGEIFS(Observacion_Directa!$D$2:$D$1000,Observacion_Directa!$A$2:$A$1000,$A938,Observacion_Directa!$B$2:$B$1000,"&gt;="&amp;DATEVALUE($B938&amp;"-01"),Observacion_Directa!$B$2:$B$1000,"&lt;="&amp;EOMONTH(DATEVALUE($B938&amp;"-01"),0)))-1)/4*100,"")</f>
        <v/>
      </c>
      <c r="Y938" t="e">
        <f t="shared" ca="1" si="29"/>
        <v>#DIV/0!</v>
      </c>
    </row>
    <row r="939" spans="12:25" x14ac:dyDescent="0.2">
      <c r="L939" t="str">
        <f t="shared" si="28"/>
        <v/>
      </c>
      <c r="M939" t="str">
        <f>IFERROR(AVERAGEIFS(Prod_5dias!$H$2:$H$1000,Prod_5dias!$A$2:$A$1000,$A939,Prod_5dias!$B$2:$B$1000,$B939),"")</f>
        <v/>
      </c>
      <c r="N939" t="str">
        <f>IF(M939="","",MIN(100,100*M939/Parametros!$B$7))</f>
        <v/>
      </c>
      <c r="O939" t="str">
        <f>IF(F939="","",IF(F939=0,100,MIN(100,100*Parametros!$B$3/F939)))</f>
        <v/>
      </c>
      <c r="P939" t="str">
        <f ca="1">IFERROR(((AVERAGEIFS(Observacion_Directa!$E$2:$E$1000,Observacion_Directa!$A$2:$A$1000,$A939,Observacion_Directa!$B$2:$B$1000,"&gt;="&amp;DATEVALUE($B939&amp;"-01"),Observacion_Directa!$B$2:$B$1000,"&lt;="&amp;EOMONTH(DATEVALUE($B939&amp;"-01"),0)))-1)/4*100,"")</f>
        <v/>
      </c>
      <c r="Q939" t="str">
        <f>IF(H939="","",MIN(100,100*H939/Parametros!$B$4))</f>
        <v/>
      </c>
      <c r="R939" t="str">
        <f>IF(I939="","",IF(I939=0,100,MIN(100,100*Parametros!$B$5/I939)))</f>
        <v/>
      </c>
      <c r="S939" t="str">
        <f>IF(J939="","",IF(J939=0,100,MIN(100,100*Parametros!$B$6/J939)))</f>
        <v/>
      </c>
      <c r="T939" t="str">
        <f>IF(L939="","",MIN(100,100*L939/Parametros!$B$7))</f>
        <v/>
      </c>
      <c r="U939" t="str">
        <f>IF(K939="","",MIN(100,100*K939/Parametros!$B$8))</f>
        <v/>
      </c>
      <c r="V939" t="str">
        <f ca="1">IFERROR(((AVERAGEIFS(Documentacion!$C$2:$C$1000,Documentacion!$A$2:$A$1000,$A939,Documentacion!$B$2:$B$1000,"&gt;="&amp;DATEVALUE($B939&amp;"-01"),Documentacion!$B$2:$B$1000,"&lt;="&amp;EOMONTH(DATEVALUE($B939&amp;"-01"),0)))-1)/4*100,"")</f>
        <v/>
      </c>
      <c r="W939" t="str">
        <f ca="1">IFERROR(((AVERAGEIFS(Feedback_360!$D$2:$D$1000,Feedback_360!$A$2:$A$1000,$A939,Feedback_360!$B$2:$B$1000,"&gt;="&amp;DATEVALUE($B939&amp;"-01"),Feedback_360!$B$2:$B$1000,"&lt;="&amp;EOMONTH(DATEVALUE($B939&amp;"-01"),0)))-1)/4*100,"")</f>
        <v/>
      </c>
      <c r="X939" t="str">
        <f ca="1">IFERROR(((AVERAGEIFS(Observacion_Directa!$D$2:$D$1000,Observacion_Directa!$A$2:$A$1000,$A939,Observacion_Directa!$B$2:$B$1000,"&gt;="&amp;DATEVALUE($B939&amp;"-01"),Observacion_Directa!$B$2:$B$1000,"&lt;="&amp;EOMONTH(DATEVALUE($B939&amp;"-01"),0)))-1)/4*100,"")</f>
        <v/>
      </c>
      <c r="Y939" t="e">
        <f t="shared" ca="1" si="29"/>
        <v>#DIV/0!</v>
      </c>
    </row>
    <row r="940" spans="12:25" x14ac:dyDescent="0.2">
      <c r="L940" t="str">
        <f t="shared" si="28"/>
        <v/>
      </c>
      <c r="M940" t="str">
        <f>IFERROR(AVERAGEIFS(Prod_5dias!$H$2:$H$1000,Prod_5dias!$A$2:$A$1000,$A940,Prod_5dias!$B$2:$B$1000,$B940),"")</f>
        <v/>
      </c>
      <c r="N940" t="str">
        <f>IF(M940="","",MIN(100,100*M940/Parametros!$B$7))</f>
        <v/>
      </c>
      <c r="O940" t="str">
        <f>IF(F940="","",IF(F940=0,100,MIN(100,100*Parametros!$B$3/F940)))</f>
        <v/>
      </c>
      <c r="P940" t="str">
        <f ca="1">IFERROR(((AVERAGEIFS(Observacion_Directa!$E$2:$E$1000,Observacion_Directa!$A$2:$A$1000,$A940,Observacion_Directa!$B$2:$B$1000,"&gt;="&amp;DATEVALUE($B940&amp;"-01"),Observacion_Directa!$B$2:$B$1000,"&lt;="&amp;EOMONTH(DATEVALUE($B940&amp;"-01"),0)))-1)/4*100,"")</f>
        <v/>
      </c>
      <c r="Q940" t="str">
        <f>IF(H940="","",MIN(100,100*H940/Parametros!$B$4))</f>
        <v/>
      </c>
      <c r="R940" t="str">
        <f>IF(I940="","",IF(I940=0,100,MIN(100,100*Parametros!$B$5/I940)))</f>
        <v/>
      </c>
      <c r="S940" t="str">
        <f>IF(J940="","",IF(J940=0,100,MIN(100,100*Parametros!$B$6/J940)))</f>
        <v/>
      </c>
      <c r="T940" t="str">
        <f>IF(L940="","",MIN(100,100*L940/Parametros!$B$7))</f>
        <v/>
      </c>
      <c r="U940" t="str">
        <f>IF(K940="","",MIN(100,100*K940/Parametros!$B$8))</f>
        <v/>
      </c>
      <c r="V940" t="str">
        <f ca="1">IFERROR(((AVERAGEIFS(Documentacion!$C$2:$C$1000,Documentacion!$A$2:$A$1000,$A940,Documentacion!$B$2:$B$1000,"&gt;="&amp;DATEVALUE($B940&amp;"-01"),Documentacion!$B$2:$B$1000,"&lt;="&amp;EOMONTH(DATEVALUE($B940&amp;"-01"),0)))-1)/4*100,"")</f>
        <v/>
      </c>
      <c r="W940" t="str">
        <f ca="1">IFERROR(((AVERAGEIFS(Feedback_360!$D$2:$D$1000,Feedback_360!$A$2:$A$1000,$A940,Feedback_360!$B$2:$B$1000,"&gt;="&amp;DATEVALUE($B940&amp;"-01"),Feedback_360!$B$2:$B$1000,"&lt;="&amp;EOMONTH(DATEVALUE($B940&amp;"-01"),0)))-1)/4*100,"")</f>
        <v/>
      </c>
      <c r="X940" t="str">
        <f ca="1">IFERROR(((AVERAGEIFS(Observacion_Directa!$D$2:$D$1000,Observacion_Directa!$A$2:$A$1000,$A940,Observacion_Directa!$B$2:$B$1000,"&gt;="&amp;DATEVALUE($B940&amp;"-01"),Observacion_Directa!$B$2:$B$1000,"&lt;="&amp;EOMONTH(DATEVALUE($B940&amp;"-01"),0)))-1)/4*100,"")</f>
        <v/>
      </c>
      <c r="Y940" t="e">
        <f t="shared" ca="1" si="29"/>
        <v>#DIV/0!</v>
      </c>
    </row>
    <row r="941" spans="12:25" x14ac:dyDescent="0.2">
      <c r="L941" t="str">
        <f t="shared" si="28"/>
        <v/>
      </c>
      <c r="M941" t="str">
        <f>IFERROR(AVERAGEIFS(Prod_5dias!$H$2:$H$1000,Prod_5dias!$A$2:$A$1000,$A941,Prod_5dias!$B$2:$B$1000,$B941),"")</f>
        <v/>
      </c>
      <c r="N941" t="str">
        <f>IF(M941="","",MIN(100,100*M941/Parametros!$B$7))</f>
        <v/>
      </c>
      <c r="O941" t="str">
        <f>IF(F941="","",IF(F941=0,100,MIN(100,100*Parametros!$B$3/F941)))</f>
        <v/>
      </c>
      <c r="P941" t="str">
        <f ca="1">IFERROR(((AVERAGEIFS(Observacion_Directa!$E$2:$E$1000,Observacion_Directa!$A$2:$A$1000,$A941,Observacion_Directa!$B$2:$B$1000,"&gt;="&amp;DATEVALUE($B941&amp;"-01"),Observacion_Directa!$B$2:$B$1000,"&lt;="&amp;EOMONTH(DATEVALUE($B941&amp;"-01"),0)))-1)/4*100,"")</f>
        <v/>
      </c>
      <c r="Q941" t="str">
        <f>IF(H941="","",MIN(100,100*H941/Parametros!$B$4))</f>
        <v/>
      </c>
      <c r="R941" t="str">
        <f>IF(I941="","",IF(I941=0,100,MIN(100,100*Parametros!$B$5/I941)))</f>
        <v/>
      </c>
      <c r="S941" t="str">
        <f>IF(J941="","",IF(J941=0,100,MIN(100,100*Parametros!$B$6/J941)))</f>
        <v/>
      </c>
      <c r="T941" t="str">
        <f>IF(L941="","",MIN(100,100*L941/Parametros!$B$7))</f>
        <v/>
      </c>
      <c r="U941" t="str">
        <f>IF(K941="","",MIN(100,100*K941/Parametros!$B$8))</f>
        <v/>
      </c>
      <c r="V941" t="str">
        <f ca="1">IFERROR(((AVERAGEIFS(Documentacion!$C$2:$C$1000,Documentacion!$A$2:$A$1000,$A941,Documentacion!$B$2:$B$1000,"&gt;="&amp;DATEVALUE($B941&amp;"-01"),Documentacion!$B$2:$B$1000,"&lt;="&amp;EOMONTH(DATEVALUE($B941&amp;"-01"),0)))-1)/4*100,"")</f>
        <v/>
      </c>
      <c r="W941" t="str">
        <f ca="1">IFERROR(((AVERAGEIFS(Feedback_360!$D$2:$D$1000,Feedback_360!$A$2:$A$1000,$A941,Feedback_360!$B$2:$B$1000,"&gt;="&amp;DATEVALUE($B941&amp;"-01"),Feedback_360!$B$2:$B$1000,"&lt;="&amp;EOMONTH(DATEVALUE($B941&amp;"-01"),0)))-1)/4*100,"")</f>
        <v/>
      </c>
      <c r="X941" t="str">
        <f ca="1">IFERROR(((AVERAGEIFS(Observacion_Directa!$D$2:$D$1000,Observacion_Directa!$A$2:$A$1000,$A941,Observacion_Directa!$B$2:$B$1000,"&gt;="&amp;DATEVALUE($B941&amp;"-01"),Observacion_Directa!$B$2:$B$1000,"&lt;="&amp;EOMONTH(DATEVALUE($B941&amp;"-01"),0)))-1)/4*100,"")</f>
        <v/>
      </c>
      <c r="Y941" t="e">
        <f t="shared" ca="1" si="29"/>
        <v>#DIV/0!</v>
      </c>
    </row>
    <row r="942" spans="12:25" x14ac:dyDescent="0.2">
      <c r="L942" t="str">
        <f t="shared" si="28"/>
        <v/>
      </c>
      <c r="M942" t="str">
        <f>IFERROR(AVERAGEIFS(Prod_5dias!$H$2:$H$1000,Prod_5dias!$A$2:$A$1000,$A942,Prod_5dias!$B$2:$B$1000,$B942),"")</f>
        <v/>
      </c>
      <c r="N942" t="str">
        <f>IF(M942="","",MIN(100,100*M942/Parametros!$B$7))</f>
        <v/>
      </c>
      <c r="O942" t="str">
        <f>IF(F942="","",IF(F942=0,100,MIN(100,100*Parametros!$B$3/F942)))</f>
        <v/>
      </c>
      <c r="P942" t="str">
        <f ca="1">IFERROR(((AVERAGEIFS(Observacion_Directa!$E$2:$E$1000,Observacion_Directa!$A$2:$A$1000,$A942,Observacion_Directa!$B$2:$B$1000,"&gt;="&amp;DATEVALUE($B942&amp;"-01"),Observacion_Directa!$B$2:$B$1000,"&lt;="&amp;EOMONTH(DATEVALUE($B942&amp;"-01"),0)))-1)/4*100,"")</f>
        <v/>
      </c>
      <c r="Q942" t="str">
        <f>IF(H942="","",MIN(100,100*H942/Parametros!$B$4))</f>
        <v/>
      </c>
      <c r="R942" t="str">
        <f>IF(I942="","",IF(I942=0,100,MIN(100,100*Parametros!$B$5/I942)))</f>
        <v/>
      </c>
      <c r="S942" t="str">
        <f>IF(J942="","",IF(J942=0,100,MIN(100,100*Parametros!$B$6/J942)))</f>
        <v/>
      </c>
      <c r="T942" t="str">
        <f>IF(L942="","",MIN(100,100*L942/Parametros!$B$7))</f>
        <v/>
      </c>
      <c r="U942" t="str">
        <f>IF(K942="","",MIN(100,100*K942/Parametros!$B$8))</f>
        <v/>
      </c>
      <c r="V942" t="str">
        <f ca="1">IFERROR(((AVERAGEIFS(Documentacion!$C$2:$C$1000,Documentacion!$A$2:$A$1000,$A942,Documentacion!$B$2:$B$1000,"&gt;="&amp;DATEVALUE($B942&amp;"-01"),Documentacion!$B$2:$B$1000,"&lt;="&amp;EOMONTH(DATEVALUE($B942&amp;"-01"),0)))-1)/4*100,"")</f>
        <v/>
      </c>
      <c r="W942" t="str">
        <f ca="1">IFERROR(((AVERAGEIFS(Feedback_360!$D$2:$D$1000,Feedback_360!$A$2:$A$1000,$A942,Feedback_360!$B$2:$B$1000,"&gt;="&amp;DATEVALUE($B942&amp;"-01"),Feedback_360!$B$2:$B$1000,"&lt;="&amp;EOMONTH(DATEVALUE($B942&amp;"-01"),0)))-1)/4*100,"")</f>
        <v/>
      </c>
      <c r="X942" t="str">
        <f ca="1">IFERROR(((AVERAGEIFS(Observacion_Directa!$D$2:$D$1000,Observacion_Directa!$A$2:$A$1000,$A942,Observacion_Directa!$B$2:$B$1000,"&gt;="&amp;DATEVALUE($B942&amp;"-01"),Observacion_Directa!$B$2:$B$1000,"&lt;="&amp;EOMONTH(DATEVALUE($B942&amp;"-01"),0)))-1)/4*100,"")</f>
        <v/>
      </c>
      <c r="Y942" t="e">
        <f t="shared" ca="1" si="29"/>
        <v>#DIV/0!</v>
      </c>
    </row>
    <row r="943" spans="12:25" x14ac:dyDescent="0.2">
      <c r="L943" t="str">
        <f t="shared" si="28"/>
        <v/>
      </c>
      <c r="M943" t="str">
        <f>IFERROR(AVERAGEIFS(Prod_5dias!$H$2:$H$1000,Prod_5dias!$A$2:$A$1000,$A943,Prod_5dias!$B$2:$B$1000,$B943),"")</f>
        <v/>
      </c>
      <c r="N943" t="str">
        <f>IF(M943="","",MIN(100,100*M943/Parametros!$B$7))</f>
        <v/>
      </c>
      <c r="O943" t="str">
        <f>IF(F943="","",IF(F943=0,100,MIN(100,100*Parametros!$B$3/F943)))</f>
        <v/>
      </c>
      <c r="P943" t="str">
        <f ca="1">IFERROR(((AVERAGEIFS(Observacion_Directa!$E$2:$E$1000,Observacion_Directa!$A$2:$A$1000,$A943,Observacion_Directa!$B$2:$B$1000,"&gt;="&amp;DATEVALUE($B943&amp;"-01"),Observacion_Directa!$B$2:$B$1000,"&lt;="&amp;EOMONTH(DATEVALUE($B943&amp;"-01"),0)))-1)/4*100,"")</f>
        <v/>
      </c>
      <c r="Q943" t="str">
        <f>IF(H943="","",MIN(100,100*H943/Parametros!$B$4))</f>
        <v/>
      </c>
      <c r="R943" t="str">
        <f>IF(I943="","",IF(I943=0,100,MIN(100,100*Parametros!$B$5/I943)))</f>
        <v/>
      </c>
      <c r="S943" t="str">
        <f>IF(J943="","",IF(J943=0,100,MIN(100,100*Parametros!$B$6/J943)))</f>
        <v/>
      </c>
      <c r="T943" t="str">
        <f>IF(L943="","",MIN(100,100*L943/Parametros!$B$7))</f>
        <v/>
      </c>
      <c r="U943" t="str">
        <f>IF(K943="","",MIN(100,100*K943/Parametros!$B$8))</f>
        <v/>
      </c>
      <c r="V943" t="str">
        <f ca="1">IFERROR(((AVERAGEIFS(Documentacion!$C$2:$C$1000,Documentacion!$A$2:$A$1000,$A943,Documentacion!$B$2:$B$1000,"&gt;="&amp;DATEVALUE($B943&amp;"-01"),Documentacion!$B$2:$B$1000,"&lt;="&amp;EOMONTH(DATEVALUE($B943&amp;"-01"),0)))-1)/4*100,"")</f>
        <v/>
      </c>
      <c r="W943" t="str">
        <f ca="1">IFERROR(((AVERAGEIFS(Feedback_360!$D$2:$D$1000,Feedback_360!$A$2:$A$1000,$A943,Feedback_360!$B$2:$B$1000,"&gt;="&amp;DATEVALUE($B943&amp;"-01"),Feedback_360!$B$2:$B$1000,"&lt;="&amp;EOMONTH(DATEVALUE($B943&amp;"-01"),0)))-1)/4*100,"")</f>
        <v/>
      </c>
      <c r="X943" t="str">
        <f ca="1">IFERROR(((AVERAGEIFS(Observacion_Directa!$D$2:$D$1000,Observacion_Directa!$A$2:$A$1000,$A943,Observacion_Directa!$B$2:$B$1000,"&gt;="&amp;DATEVALUE($B943&amp;"-01"),Observacion_Directa!$B$2:$B$1000,"&lt;="&amp;EOMONTH(DATEVALUE($B943&amp;"-01"),0)))-1)/4*100,"")</f>
        <v/>
      </c>
      <c r="Y943" t="e">
        <f t="shared" ca="1" si="29"/>
        <v>#DIV/0!</v>
      </c>
    </row>
    <row r="944" spans="12:25" x14ac:dyDescent="0.2">
      <c r="L944" t="str">
        <f t="shared" si="28"/>
        <v/>
      </c>
      <c r="M944" t="str">
        <f>IFERROR(AVERAGEIFS(Prod_5dias!$H$2:$H$1000,Prod_5dias!$A$2:$A$1000,$A944,Prod_5dias!$B$2:$B$1000,$B944),"")</f>
        <v/>
      </c>
      <c r="N944" t="str">
        <f>IF(M944="","",MIN(100,100*M944/Parametros!$B$7))</f>
        <v/>
      </c>
      <c r="O944" t="str">
        <f>IF(F944="","",IF(F944=0,100,MIN(100,100*Parametros!$B$3/F944)))</f>
        <v/>
      </c>
      <c r="P944" t="str">
        <f ca="1">IFERROR(((AVERAGEIFS(Observacion_Directa!$E$2:$E$1000,Observacion_Directa!$A$2:$A$1000,$A944,Observacion_Directa!$B$2:$B$1000,"&gt;="&amp;DATEVALUE($B944&amp;"-01"),Observacion_Directa!$B$2:$B$1000,"&lt;="&amp;EOMONTH(DATEVALUE($B944&amp;"-01"),0)))-1)/4*100,"")</f>
        <v/>
      </c>
      <c r="Q944" t="str">
        <f>IF(H944="","",MIN(100,100*H944/Parametros!$B$4))</f>
        <v/>
      </c>
      <c r="R944" t="str">
        <f>IF(I944="","",IF(I944=0,100,MIN(100,100*Parametros!$B$5/I944)))</f>
        <v/>
      </c>
      <c r="S944" t="str">
        <f>IF(J944="","",IF(J944=0,100,MIN(100,100*Parametros!$B$6/J944)))</f>
        <v/>
      </c>
      <c r="T944" t="str">
        <f>IF(L944="","",MIN(100,100*L944/Parametros!$B$7))</f>
        <v/>
      </c>
      <c r="U944" t="str">
        <f>IF(K944="","",MIN(100,100*K944/Parametros!$B$8))</f>
        <v/>
      </c>
      <c r="V944" t="str">
        <f ca="1">IFERROR(((AVERAGEIFS(Documentacion!$C$2:$C$1000,Documentacion!$A$2:$A$1000,$A944,Documentacion!$B$2:$B$1000,"&gt;="&amp;DATEVALUE($B944&amp;"-01"),Documentacion!$B$2:$B$1000,"&lt;="&amp;EOMONTH(DATEVALUE($B944&amp;"-01"),0)))-1)/4*100,"")</f>
        <v/>
      </c>
      <c r="W944" t="str">
        <f ca="1">IFERROR(((AVERAGEIFS(Feedback_360!$D$2:$D$1000,Feedback_360!$A$2:$A$1000,$A944,Feedback_360!$B$2:$B$1000,"&gt;="&amp;DATEVALUE($B944&amp;"-01"),Feedback_360!$B$2:$B$1000,"&lt;="&amp;EOMONTH(DATEVALUE($B944&amp;"-01"),0)))-1)/4*100,"")</f>
        <v/>
      </c>
      <c r="X944" t="str">
        <f ca="1">IFERROR(((AVERAGEIFS(Observacion_Directa!$D$2:$D$1000,Observacion_Directa!$A$2:$A$1000,$A944,Observacion_Directa!$B$2:$B$1000,"&gt;="&amp;DATEVALUE($B944&amp;"-01"),Observacion_Directa!$B$2:$B$1000,"&lt;="&amp;EOMONTH(DATEVALUE($B944&amp;"-01"),0)))-1)/4*100,"")</f>
        <v/>
      </c>
      <c r="Y944" t="e">
        <f t="shared" ca="1" si="29"/>
        <v>#DIV/0!</v>
      </c>
    </row>
    <row r="945" spans="12:25" x14ac:dyDescent="0.2">
      <c r="L945" t="str">
        <f t="shared" si="28"/>
        <v/>
      </c>
      <c r="M945" t="str">
        <f>IFERROR(AVERAGEIFS(Prod_5dias!$H$2:$H$1000,Prod_5dias!$A$2:$A$1000,$A945,Prod_5dias!$B$2:$B$1000,$B945),"")</f>
        <v/>
      </c>
      <c r="N945" t="str">
        <f>IF(M945="","",MIN(100,100*M945/Parametros!$B$7))</f>
        <v/>
      </c>
      <c r="O945" t="str">
        <f>IF(F945="","",IF(F945=0,100,MIN(100,100*Parametros!$B$3/F945)))</f>
        <v/>
      </c>
      <c r="P945" t="str">
        <f ca="1">IFERROR(((AVERAGEIFS(Observacion_Directa!$E$2:$E$1000,Observacion_Directa!$A$2:$A$1000,$A945,Observacion_Directa!$B$2:$B$1000,"&gt;="&amp;DATEVALUE($B945&amp;"-01"),Observacion_Directa!$B$2:$B$1000,"&lt;="&amp;EOMONTH(DATEVALUE($B945&amp;"-01"),0)))-1)/4*100,"")</f>
        <v/>
      </c>
      <c r="Q945" t="str">
        <f>IF(H945="","",MIN(100,100*H945/Parametros!$B$4))</f>
        <v/>
      </c>
      <c r="R945" t="str">
        <f>IF(I945="","",IF(I945=0,100,MIN(100,100*Parametros!$B$5/I945)))</f>
        <v/>
      </c>
      <c r="S945" t="str">
        <f>IF(J945="","",IF(J945=0,100,MIN(100,100*Parametros!$B$6/J945)))</f>
        <v/>
      </c>
      <c r="T945" t="str">
        <f>IF(L945="","",MIN(100,100*L945/Parametros!$B$7))</f>
        <v/>
      </c>
      <c r="U945" t="str">
        <f>IF(K945="","",MIN(100,100*K945/Parametros!$B$8))</f>
        <v/>
      </c>
      <c r="V945" t="str">
        <f ca="1">IFERROR(((AVERAGEIFS(Documentacion!$C$2:$C$1000,Documentacion!$A$2:$A$1000,$A945,Documentacion!$B$2:$B$1000,"&gt;="&amp;DATEVALUE($B945&amp;"-01"),Documentacion!$B$2:$B$1000,"&lt;="&amp;EOMONTH(DATEVALUE($B945&amp;"-01"),0)))-1)/4*100,"")</f>
        <v/>
      </c>
      <c r="W945" t="str">
        <f ca="1">IFERROR(((AVERAGEIFS(Feedback_360!$D$2:$D$1000,Feedback_360!$A$2:$A$1000,$A945,Feedback_360!$B$2:$B$1000,"&gt;="&amp;DATEVALUE($B945&amp;"-01"),Feedback_360!$B$2:$B$1000,"&lt;="&amp;EOMONTH(DATEVALUE($B945&amp;"-01"),0)))-1)/4*100,"")</f>
        <v/>
      </c>
      <c r="X945" t="str">
        <f ca="1">IFERROR(((AVERAGEIFS(Observacion_Directa!$D$2:$D$1000,Observacion_Directa!$A$2:$A$1000,$A945,Observacion_Directa!$B$2:$B$1000,"&gt;="&amp;DATEVALUE($B945&amp;"-01"),Observacion_Directa!$B$2:$B$1000,"&lt;="&amp;EOMONTH(DATEVALUE($B945&amp;"-01"),0)))-1)/4*100,"")</f>
        <v/>
      </c>
      <c r="Y945" t="e">
        <f t="shared" ca="1" si="29"/>
        <v>#DIV/0!</v>
      </c>
    </row>
    <row r="946" spans="12:25" x14ac:dyDescent="0.2">
      <c r="L946" t="str">
        <f t="shared" si="28"/>
        <v/>
      </c>
      <c r="M946" t="str">
        <f>IFERROR(AVERAGEIFS(Prod_5dias!$H$2:$H$1000,Prod_5dias!$A$2:$A$1000,$A946,Prod_5dias!$B$2:$B$1000,$B946),"")</f>
        <v/>
      </c>
      <c r="N946" t="str">
        <f>IF(M946="","",MIN(100,100*M946/Parametros!$B$7))</f>
        <v/>
      </c>
      <c r="O946" t="str">
        <f>IF(F946="","",IF(F946=0,100,MIN(100,100*Parametros!$B$3/F946)))</f>
        <v/>
      </c>
      <c r="P946" t="str">
        <f ca="1">IFERROR(((AVERAGEIFS(Observacion_Directa!$E$2:$E$1000,Observacion_Directa!$A$2:$A$1000,$A946,Observacion_Directa!$B$2:$B$1000,"&gt;="&amp;DATEVALUE($B946&amp;"-01"),Observacion_Directa!$B$2:$B$1000,"&lt;="&amp;EOMONTH(DATEVALUE($B946&amp;"-01"),0)))-1)/4*100,"")</f>
        <v/>
      </c>
      <c r="Q946" t="str">
        <f>IF(H946="","",MIN(100,100*H946/Parametros!$B$4))</f>
        <v/>
      </c>
      <c r="R946" t="str">
        <f>IF(I946="","",IF(I946=0,100,MIN(100,100*Parametros!$B$5/I946)))</f>
        <v/>
      </c>
      <c r="S946" t="str">
        <f>IF(J946="","",IF(J946=0,100,MIN(100,100*Parametros!$B$6/J946)))</f>
        <v/>
      </c>
      <c r="T946" t="str">
        <f>IF(L946="","",MIN(100,100*L946/Parametros!$B$7))</f>
        <v/>
      </c>
      <c r="U946" t="str">
        <f>IF(K946="","",MIN(100,100*K946/Parametros!$B$8))</f>
        <v/>
      </c>
      <c r="V946" t="str">
        <f ca="1">IFERROR(((AVERAGEIFS(Documentacion!$C$2:$C$1000,Documentacion!$A$2:$A$1000,$A946,Documentacion!$B$2:$B$1000,"&gt;="&amp;DATEVALUE($B946&amp;"-01"),Documentacion!$B$2:$B$1000,"&lt;="&amp;EOMONTH(DATEVALUE($B946&amp;"-01"),0)))-1)/4*100,"")</f>
        <v/>
      </c>
      <c r="W946" t="str">
        <f ca="1">IFERROR(((AVERAGEIFS(Feedback_360!$D$2:$D$1000,Feedback_360!$A$2:$A$1000,$A946,Feedback_360!$B$2:$B$1000,"&gt;="&amp;DATEVALUE($B946&amp;"-01"),Feedback_360!$B$2:$B$1000,"&lt;="&amp;EOMONTH(DATEVALUE($B946&amp;"-01"),0)))-1)/4*100,"")</f>
        <v/>
      </c>
      <c r="X946" t="str">
        <f ca="1">IFERROR(((AVERAGEIFS(Observacion_Directa!$D$2:$D$1000,Observacion_Directa!$A$2:$A$1000,$A946,Observacion_Directa!$B$2:$B$1000,"&gt;="&amp;DATEVALUE($B946&amp;"-01"),Observacion_Directa!$B$2:$B$1000,"&lt;="&amp;EOMONTH(DATEVALUE($B946&amp;"-01"),0)))-1)/4*100,"")</f>
        <v/>
      </c>
      <c r="Y946" t="e">
        <f t="shared" ca="1" si="29"/>
        <v>#DIV/0!</v>
      </c>
    </row>
    <row r="947" spans="12:25" x14ac:dyDescent="0.2">
      <c r="L947" t="str">
        <f t="shared" si="28"/>
        <v/>
      </c>
      <c r="M947" t="str">
        <f>IFERROR(AVERAGEIFS(Prod_5dias!$H$2:$H$1000,Prod_5dias!$A$2:$A$1000,$A947,Prod_5dias!$B$2:$B$1000,$B947),"")</f>
        <v/>
      </c>
      <c r="N947" t="str">
        <f>IF(M947="","",MIN(100,100*M947/Parametros!$B$7))</f>
        <v/>
      </c>
      <c r="O947" t="str">
        <f>IF(F947="","",IF(F947=0,100,MIN(100,100*Parametros!$B$3/F947)))</f>
        <v/>
      </c>
      <c r="P947" t="str">
        <f ca="1">IFERROR(((AVERAGEIFS(Observacion_Directa!$E$2:$E$1000,Observacion_Directa!$A$2:$A$1000,$A947,Observacion_Directa!$B$2:$B$1000,"&gt;="&amp;DATEVALUE($B947&amp;"-01"),Observacion_Directa!$B$2:$B$1000,"&lt;="&amp;EOMONTH(DATEVALUE($B947&amp;"-01"),0)))-1)/4*100,"")</f>
        <v/>
      </c>
      <c r="Q947" t="str">
        <f>IF(H947="","",MIN(100,100*H947/Parametros!$B$4))</f>
        <v/>
      </c>
      <c r="R947" t="str">
        <f>IF(I947="","",IF(I947=0,100,MIN(100,100*Parametros!$B$5/I947)))</f>
        <v/>
      </c>
      <c r="S947" t="str">
        <f>IF(J947="","",IF(J947=0,100,MIN(100,100*Parametros!$B$6/J947)))</f>
        <v/>
      </c>
      <c r="T947" t="str">
        <f>IF(L947="","",MIN(100,100*L947/Parametros!$B$7))</f>
        <v/>
      </c>
      <c r="U947" t="str">
        <f>IF(K947="","",MIN(100,100*K947/Parametros!$B$8))</f>
        <v/>
      </c>
      <c r="V947" t="str">
        <f ca="1">IFERROR(((AVERAGEIFS(Documentacion!$C$2:$C$1000,Documentacion!$A$2:$A$1000,$A947,Documentacion!$B$2:$B$1000,"&gt;="&amp;DATEVALUE($B947&amp;"-01"),Documentacion!$B$2:$B$1000,"&lt;="&amp;EOMONTH(DATEVALUE($B947&amp;"-01"),0)))-1)/4*100,"")</f>
        <v/>
      </c>
      <c r="W947" t="str">
        <f ca="1">IFERROR(((AVERAGEIFS(Feedback_360!$D$2:$D$1000,Feedback_360!$A$2:$A$1000,$A947,Feedback_360!$B$2:$B$1000,"&gt;="&amp;DATEVALUE($B947&amp;"-01"),Feedback_360!$B$2:$B$1000,"&lt;="&amp;EOMONTH(DATEVALUE($B947&amp;"-01"),0)))-1)/4*100,"")</f>
        <v/>
      </c>
      <c r="X947" t="str">
        <f ca="1">IFERROR(((AVERAGEIFS(Observacion_Directa!$D$2:$D$1000,Observacion_Directa!$A$2:$A$1000,$A947,Observacion_Directa!$B$2:$B$1000,"&gt;="&amp;DATEVALUE($B947&amp;"-01"),Observacion_Directa!$B$2:$B$1000,"&lt;="&amp;EOMONTH(DATEVALUE($B947&amp;"-01"),0)))-1)/4*100,"")</f>
        <v/>
      </c>
      <c r="Y947" t="e">
        <f t="shared" ca="1" si="29"/>
        <v>#DIV/0!</v>
      </c>
    </row>
    <row r="948" spans="12:25" x14ac:dyDescent="0.2">
      <c r="L948" t="str">
        <f t="shared" si="28"/>
        <v/>
      </c>
      <c r="M948" t="str">
        <f>IFERROR(AVERAGEIFS(Prod_5dias!$H$2:$H$1000,Prod_5dias!$A$2:$A$1000,$A948,Prod_5dias!$B$2:$B$1000,$B948),"")</f>
        <v/>
      </c>
      <c r="N948" t="str">
        <f>IF(M948="","",MIN(100,100*M948/Parametros!$B$7))</f>
        <v/>
      </c>
      <c r="O948" t="str">
        <f>IF(F948="","",IF(F948=0,100,MIN(100,100*Parametros!$B$3/F948)))</f>
        <v/>
      </c>
      <c r="P948" t="str">
        <f ca="1">IFERROR(((AVERAGEIFS(Observacion_Directa!$E$2:$E$1000,Observacion_Directa!$A$2:$A$1000,$A948,Observacion_Directa!$B$2:$B$1000,"&gt;="&amp;DATEVALUE($B948&amp;"-01"),Observacion_Directa!$B$2:$B$1000,"&lt;="&amp;EOMONTH(DATEVALUE($B948&amp;"-01"),0)))-1)/4*100,"")</f>
        <v/>
      </c>
      <c r="Q948" t="str">
        <f>IF(H948="","",MIN(100,100*H948/Parametros!$B$4))</f>
        <v/>
      </c>
      <c r="R948" t="str">
        <f>IF(I948="","",IF(I948=0,100,MIN(100,100*Parametros!$B$5/I948)))</f>
        <v/>
      </c>
      <c r="S948" t="str">
        <f>IF(J948="","",IF(J948=0,100,MIN(100,100*Parametros!$B$6/J948)))</f>
        <v/>
      </c>
      <c r="T948" t="str">
        <f>IF(L948="","",MIN(100,100*L948/Parametros!$B$7))</f>
        <v/>
      </c>
      <c r="U948" t="str">
        <f>IF(K948="","",MIN(100,100*K948/Parametros!$B$8))</f>
        <v/>
      </c>
      <c r="V948" t="str">
        <f ca="1">IFERROR(((AVERAGEIFS(Documentacion!$C$2:$C$1000,Documentacion!$A$2:$A$1000,$A948,Documentacion!$B$2:$B$1000,"&gt;="&amp;DATEVALUE($B948&amp;"-01"),Documentacion!$B$2:$B$1000,"&lt;="&amp;EOMONTH(DATEVALUE($B948&amp;"-01"),0)))-1)/4*100,"")</f>
        <v/>
      </c>
      <c r="W948" t="str">
        <f ca="1">IFERROR(((AVERAGEIFS(Feedback_360!$D$2:$D$1000,Feedback_360!$A$2:$A$1000,$A948,Feedback_360!$B$2:$B$1000,"&gt;="&amp;DATEVALUE($B948&amp;"-01"),Feedback_360!$B$2:$B$1000,"&lt;="&amp;EOMONTH(DATEVALUE($B948&amp;"-01"),0)))-1)/4*100,"")</f>
        <v/>
      </c>
      <c r="X948" t="str">
        <f ca="1">IFERROR(((AVERAGEIFS(Observacion_Directa!$D$2:$D$1000,Observacion_Directa!$A$2:$A$1000,$A948,Observacion_Directa!$B$2:$B$1000,"&gt;="&amp;DATEVALUE($B948&amp;"-01"),Observacion_Directa!$B$2:$B$1000,"&lt;="&amp;EOMONTH(DATEVALUE($B948&amp;"-01"),0)))-1)/4*100,"")</f>
        <v/>
      </c>
      <c r="Y948" t="e">
        <f t="shared" ca="1" si="29"/>
        <v>#DIV/0!</v>
      </c>
    </row>
    <row r="949" spans="12:25" x14ac:dyDescent="0.2">
      <c r="L949" t="str">
        <f t="shared" si="28"/>
        <v/>
      </c>
      <c r="M949" t="str">
        <f>IFERROR(AVERAGEIFS(Prod_5dias!$H$2:$H$1000,Prod_5dias!$A$2:$A$1000,$A949,Prod_5dias!$B$2:$B$1000,$B949),"")</f>
        <v/>
      </c>
      <c r="N949" t="str">
        <f>IF(M949="","",MIN(100,100*M949/Parametros!$B$7))</f>
        <v/>
      </c>
      <c r="O949" t="str">
        <f>IF(F949="","",IF(F949=0,100,MIN(100,100*Parametros!$B$3/F949)))</f>
        <v/>
      </c>
      <c r="P949" t="str">
        <f ca="1">IFERROR(((AVERAGEIFS(Observacion_Directa!$E$2:$E$1000,Observacion_Directa!$A$2:$A$1000,$A949,Observacion_Directa!$B$2:$B$1000,"&gt;="&amp;DATEVALUE($B949&amp;"-01"),Observacion_Directa!$B$2:$B$1000,"&lt;="&amp;EOMONTH(DATEVALUE($B949&amp;"-01"),0)))-1)/4*100,"")</f>
        <v/>
      </c>
      <c r="Q949" t="str">
        <f>IF(H949="","",MIN(100,100*H949/Parametros!$B$4))</f>
        <v/>
      </c>
      <c r="R949" t="str">
        <f>IF(I949="","",IF(I949=0,100,MIN(100,100*Parametros!$B$5/I949)))</f>
        <v/>
      </c>
      <c r="S949" t="str">
        <f>IF(J949="","",IF(J949=0,100,MIN(100,100*Parametros!$B$6/J949)))</f>
        <v/>
      </c>
      <c r="T949" t="str">
        <f>IF(L949="","",MIN(100,100*L949/Parametros!$B$7))</f>
        <v/>
      </c>
      <c r="U949" t="str">
        <f>IF(K949="","",MIN(100,100*K949/Parametros!$B$8))</f>
        <v/>
      </c>
      <c r="V949" t="str">
        <f ca="1">IFERROR(((AVERAGEIFS(Documentacion!$C$2:$C$1000,Documentacion!$A$2:$A$1000,$A949,Documentacion!$B$2:$B$1000,"&gt;="&amp;DATEVALUE($B949&amp;"-01"),Documentacion!$B$2:$B$1000,"&lt;="&amp;EOMONTH(DATEVALUE($B949&amp;"-01"),0)))-1)/4*100,"")</f>
        <v/>
      </c>
      <c r="W949" t="str">
        <f ca="1">IFERROR(((AVERAGEIFS(Feedback_360!$D$2:$D$1000,Feedback_360!$A$2:$A$1000,$A949,Feedback_360!$B$2:$B$1000,"&gt;="&amp;DATEVALUE($B949&amp;"-01"),Feedback_360!$B$2:$B$1000,"&lt;="&amp;EOMONTH(DATEVALUE($B949&amp;"-01"),0)))-1)/4*100,"")</f>
        <v/>
      </c>
      <c r="X949" t="str">
        <f ca="1">IFERROR(((AVERAGEIFS(Observacion_Directa!$D$2:$D$1000,Observacion_Directa!$A$2:$A$1000,$A949,Observacion_Directa!$B$2:$B$1000,"&gt;="&amp;DATEVALUE($B949&amp;"-01"),Observacion_Directa!$B$2:$B$1000,"&lt;="&amp;EOMONTH(DATEVALUE($B949&amp;"-01"),0)))-1)/4*100,"")</f>
        <v/>
      </c>
      <c r="Y949" t="e">
        <f t="shared" ca="1" si="29"/>
        <v>#DIV/0!</v>
      </c>
    </row>
    <row r="950" spans="12:25" x14ac:dyDescent="0.2">
      <c r="L950" t="str">
        <f t="shared" si="28"/>
        <v/>
      </c>
      <c r="M950" t="str">
        <f>IFERROR(AVERAGEIFS(Prod_5dias!$H$2:$H$1000,Prod_5dias!$A$2:$A$1000,$A950,Prod_5dias!$B$2:$B$1000,$B950),"")</f>
        <v/>
      </c>
      <c r="N950" t="str">
        <f>IF(M950="","",MIN(100,100*M950/Parametros!$B$7))</f>
        <v/>
      </c>
      <c r="O950" t="str">
        <f>IF(F950="","",IF(F950=0,100,MIN(100,100*Parametros!$B$3/F950)))</f>
        <v/>
      </c>
      <c r="P950" t="str">
        <f ca="1">IFERROR(((AVERAGEIFS(Observacion_Directa!$E$2:$E$1000,Observacion_Directa!$A$2:$A$1000,$A950,Observacion_Directa!$B$2:$B$1000,"&gt;="&amp;DATEVALUE($B950&amp;"-01"),Observacion_Directa!$B$2:$B$1000,"&lt;="&amp;EOMONTH(DATEVALUE($B950&amp;"-01"),0)))-1)/4*100,"")</f>
        <v/>
      </c>
      <c r="Q950" t="str">
        <f>IF(H950="","",MIN(100,100*H950/Parametros!$B$4))</f>
        <v/>
      </c>
      <c r="R950" t="str">
        <f>IF(I950="","",IF(I950=0,100,MIN(100,100*Parametros!$B$5/I950)))</f>
        <v/>
      </c>
      <c r="S950" t="str">
        <f>IF(J950="","",IF(J950=0,100,MIN(100,100*Parametros!$B$6/J950)))</f>
        <v/>
      </c>
      <c r="T950" t="str">
        <f>IF(L950="","",MIN(100,100*L950/Parametros!$B$7))</f>
        <v/>
      </c>
      <c r="U950" t="str">
        <f>IF(K950="","",MIN(100,100*K950/Parametros!$B$8))</f>
        <v/>
      </c>
      <c r="V950" t="str">
        <f ca="1">IFERROR(((AVERAGEIFS(Documentacion!$C$2:$C$1000,Documentacion!$A$2:$A$1000,$A950,Documentacion!$B$2:$B$1000,"&gt;="&amp;DATEVALUE($B950&amp;"-01"),Documentacion!$B$2:$B$1000,"&lt;="&amp;EOMONTH(DATEVALUE($B950&amp;"-01"),0)))-1)/4*100,"")</f>
        <v/>
      </c>
      <c r="W950" t="str">
        <f ca="1">IFERROR(((AVERAGEIFS(Feedback_360!$D$2:$D$1000,Feedback_360!$A$2:$A$1000,$A950,Feedback_360!$B$2:$B$1000,"&gt;="&amp;DATEVALUE($B950&amp;"-01"),Feedback_360!$B$2:$B$1000,"&lt;="&amp;EOMONTH(DATEVALUE($B950&amp;"-01"),0)))-1)/4*100,"")</f>
        <v/>
      </c>
      <c r="X950" t="str">
        <f ca="1">IFERROR(((AVERAGEIFS(Observacion_Directa!$D$2:$D$1000,Observacion_Directa!$A$2:$A$1000,$A950,Observacion_Directa!$B$2:$B$1000,"&gt;="&amp;DATEVALUE($B950&amp;"-01"),Observacion_Directa!$B$2:$B$1000,"&lt;="&amp;EOMONTH(DATEVALUE($B950&amp;"-01"),0)))-1)/4*100,"")</f>
        <v/>
      </c>
      <c r="Y950" t="e">
        <f t="shared" ca="1" si="29"/>
        <v>#DIV/0!</v>
      </c>
    </row>
    <row r="951" spans="12:25" x14ac:dyDescent="0.2">
      <c r="L951" t="str">
        <f t="shared" si="28"/>
        <v/>
      </c>
      <c r="M951" t="str">
        <f>IFERROR(AVERAGEIFS(Prod_5dias!$H$2:$H$1000,Prod_5dias!$A$2:$A$1000,$A951,Prod_5dias!$B$2:$B$1000,$B951),"")</f>
        <v/>
      </c>
      <c r="N951" t="str">
        <f>IF(M951="","",MIN(100,100*M951/Parametros!$B$7))</f>
        <v/>
      </c>
      <c r="O951" t="str">
        <f>IF(F951="","",IF(F951=0,100,MIN(100,100*Parametros!$B$3/F951)))</f>
        <v/>
      </c>
      <c r="P951" t="str">
        <f ca="1">IFERROR(((AVERAGEIFS(Observacion_Directa!$E$2:$E$1000,Observacion_Directa!$A$2:$A$1000,$A951,Observacion_Directa!$B$2:$B$1000,"&gt;="&amp;DATEVALUE($B951&amp;"-01"),Observacion_Directa!$B$2:$B$1000,"&lt;="&amp;EOMONTH(DATEVALUE($B951&amp;"-01"),0)))-1)/4*100,"")</f>
        <v/>
      </c>
      <c r="Q951" t="str">
        <f>IF(H951="","",MIN(100,100*H951/Parametros!$B$4))</f>
        <v/>
      </c>
      <c r="R951" t="str">
        <f>IF(I951="","",IF(I951=0,100,MIN(100,100*Parametros!$B$5/I951)))</f>
        <v/>
      </c>
      <c r="S951" t="str">
        <f>IF(J951="","",IF(J951=0,100,MIN(100,100*Parametros!$B$6/J951)))</f>
        <v/>
      </c>
      <c r="T951" t="str">
        <f>IF(L951="","",MIN(100,100*L951/Parametros!$B$7))</f>
        <v/>
      </c>
      <c r="U951" t="str">
        <f>IF(K951="","",MIN(100,100*K951/Parametros!$B$8))</f>
        <v/>
      </c>
      <c r="V951" t="str">
        <f ca="1">IFERROR(((AVERAGEIFS(Documentacion!$C$2:$C$1000,Documentacion!$A$2:$A$1000,$A951,Documentacion!$B$2:$B$1000,"&gt;="&amp;DATEVALUE($B951&amp;"-01"),Documentacion!$B$2:$B$1000,"&lt;="&amp;EOMONTH(DATEVALUE($B951&amp;"-01"),0)))-1)/4*100,"")</f>
        <v/>
      </c>
      <c r="W951" t="str">
        <f ca="1">IFERROR(((AVERAGEIFS(Feedback_360!$D$2:$D$1000,Feedback_360!$A$2:$A$1000,$A951,Feedback_360!$B$2:$B$1000,"&gt;="&amp;DATEVALUE($B951&amp;"-01"),Feedback_360!$B$2:$B$1000,"&lt;="&amp;EOMONTH(DATEVALUE($B951&amp;"-01"),0)))-1)/4*100,"")</f>
        <v/>
      </c>
      <c r="X951" t="str">
        <f ca="1">IFERROR(((AVERAGEIFS(Observacion_Directa!$D$2:$D$1000,Observacion_Directa!$A$2:$A$1000,$A951,Observacion_Directa!$B$2:$B$1000,"&gt;="&amp;DATEVALUE($B951&amp;"-01"),Observacion_Directa!$B$2:$B$1000,"&lt;="&amp;EOMONTH(DATEVALUE($B951&amp;"-01"),0)))-1)/4*100,"")</f>
        <v/>
      </c>
      <c r="Y951" t="e">
        <f t="shared" ca="1" si="29"/>
        <v>#DIV/0!</v>
      </c>
    </row>
    <row r="952" spans="12:25" x14ac:dyDescent="0.2">
      <c r="L952" t="str">
        <f t="shared" si="28"/>
        <v/>
      </c>
      <c r="M952" t="str">
        <f>IFERROR(AVERAGEIFS(Prod_5dias!$H$2:$H$1000,Prod_5dias!$A$2:$A$1000,$A952,Prod_5dias!$B$2:$B$1000,$B952),"")</f>
        <v/>
      </c>
      <c r="N952" t="str">
        <f>IF(M952="","",MIN(100,100*M952/Parametros!$B$7))</f>
        <v/>
      </c>
      <c r="O952" t="str">
        <f>IF(F952="","",IF(F952=0,100,MIN(100,100*Parametros!$B$3/F952)))</f>
        <v/>
      </c>
      <c r="P952" t="str">
        <f ca="1">IFERROR(((AVERAGEIFS(Observacion_Directa!$E$2:$E$1000,Observacion_Directa!$A$2:$A$1000,$A952,Observacion_Directa!$B$2:$B$1000,"&gt;="&amp;DATEVALUE($B952&amp;"-01"),Observacion_Directa!$B$2:$B$1000,"&lt;="&amp;EOMONTH(DATEVALUE($B952&amp;"-01"),0)))-1)/4*100,"")</f>
        <v/>
      </c>
      <c r="Q952" t="str">
        <f>IF(H952="","",MIN(100,100*H952/Parametros!$B$4))</f>
        <v/>
      </c>
      <c r="R952" t="str">
        <f>IF(I952="","",IF(I952=0,100,MIN(100,100*Parametros!$B$5/I952)))</f>
        <v/>
      </c>
      <c r="S952" t="str">
        <f>IF(J952="","",IF(J952=0,100,MIN(100,100*Parametros!$B$6/J952)))</f>
        <v/>
      </c>
      <c r="T952" t="str">
        <f>IF(L952="","",MIN(100,100*L952/Parametros!$B$7))</f>
        <v/>
      </c>
      <c r="U952" t="str">
        <f>IF(K952="","",MIN(100,100*K952/Parametros!$B$8))</f>
        <v/>
      </c>
      <c r="V952" t="str">
        <f ca="1">IFERROR(((AVERAGEIFS(Documentacion!$C$2:$C$1000,Documentacion!$A$2:$A$1000,$A952,Documentacion!$B$2:$B$1000,"&gt;="&amp;DATEVALUE($B952&amp;"-01"),Documentacion!$B$2:$B$1000,"&lt;="&amp;EOMONTH(DATEVALUE($B952&amp;"-01"),0)))-1)/4*100,"")</f>
        <v/>
      </c>
      <c r="W952" t="str">
        <f ca="1">IFERROR(((AVERAGEIFS(Feedback_360!$D$2:$D$1000,Feedback_360!$A$2:$A$1000,$A952,Feedback_360!$B$2:$B$1000,"&gt;="&amp;DATEVALUE($B952&amp;"-01"),Feedback_360!$B$2:$B$1000,"&lt;="&amp;EOMONTH(DATEVALUE($B952&amp;"-01"),0)))-1)/4*100,"")</f>
        <v/>
      </c>
      <c r="X952" t="str">
        <f ca="1">IFERROR(((AVERAGEIFS(Observacion_Directa!$D$2:$D$1000,Observacion_Directa!$A$2:$A$1000,$A952,Observacion_Directa!$B$2:$B$1000,"&gt;="&amp;DATEVALUE($B952&amp;"-01"),Observacion_Directa!$B$2:$B$1000,"&lt;="&amp;EOMONTH(DATEVALUE($B952&amp;"-01"),0)))-1)/4*100,"")</f>
        <v/>
      </c>
      <c r="Y952" t="e">
        <f t="shared" ca="1" si="29"/>
        <v>#DIV/0!</v>
      </c>
    </row>
    <row r="953" spans="12:25" x14ac:dyDescent="0.2">
      <c r="L953" t="str">
        <f t="shared" si="28"/>
        <v/>
      </c>
      <c r="M953" t="str">
        <f>IFERROR(AVERAGEIFS(Prod_5dias!$H$2:$H$1000,Prod_5dias!$A$2:$A$1000,$A953,Prod_5dias!$B$2:$B$1000,$B953),"")</f>
        <v/>
      </c>
      <c r="N953" t="str">
        <f>IF(M953="","",MIN(100,100*M953/Parametros!$B$7))</f>
        <v/>
      </c>
      <c r="O953" t="str">
        <f>IF(F953="","",IF(F953=0,100,MIN(100,100*Parametros!$B$3/F953)))</f>
        <v/>
      </c>
      <c r="P953" t="str">
        <f ca="1">IFERROR(((AVERAGEIFS(Observacion_Directa!$E$2:$E$1000,Observacion_Directa!$A$2:$A$1000,$A953,Observacion_Directa!$B$2:$B$1000,"&gt;="&amp;DATEVALUE($B953&amp;"-01"),Observacion_Directa!$B$2:$B$1000,"&lt;="&amp;EOMONTH(DATEVALUE($B953&amp;"-01"),0)))-1)/4*100,"")</f>
        <v/>
      </c>
      <c r="Q953" t="str">
        <f>IF(H953="","",MIN(100,100*H953/Parametros!$B$4))</f>
        <v/>
      </c>
      <c r="R953" t="str">
        <f>IF(I953="","",IF(I953=0,100,MIN(100,100*Parametros!$B$5/I953)))</f>
        <v/>
      </c>
      <c r="S953" t="str">
        <f>IF(J953="","",IF(J953=0,100,MIN(100,100*Parametros!$B$6/J953)))</f>
        <v/>
      </c>
      <c r="T953" t="str">
        <f>IF(L953="","",MIN(100,100*L953/Parametros!$B$7))</f>
        <v/>
      </c>
      <c r="U953" t="str">
        <f>IF(K953="","",MIN(100,100*K953/Parametros!$B$8))</f>
        <v/>
      </c>
      <c r="V953" t="str">
        <f ca="1">IFERROR(((AVERAGEIFS(Documentacion!$C$2:$C$1000,Documentacion!$A$2:$A$1000,$A953,Documentacion!$B$2:$B$1000,"&gt;="&amp;DATEVALUE($B953&amp;"-01"),Documentacion!$B$2:$B$1000,"&lt;="&amp;EOMONTH(DATEVALUE($B953&amp;"-01"),0)))-1)/4*100,"")</f>
        <v/>
      </c>
      <c r="W953" t="str">
        <f ca="1">IFERROR(((AVERAGEIFS(Feedback_360!$D$2:$D$1000,Feedback_360!$A$2:$A$1000,$A953,Feedback_360!$B$2:$B$1000,"&gt;="&amp;DATEVALUE($B953&amp;"-01"),Feedback_360!$B$2:$B$1000,"&lt;="&amp;EOMONTH(DATEVALUE($B953&amp;"-01"),0)))-1)/4*100,"")</f>
        <v/>
      </c>
      <c r="X953" t="str">
        <f ca="1">IFERROR(((AVERAGEIFS(Observacion_Directa!$D$2:$D$1000,Observacion_Directa!$A$2:$A$1000,$A953,Observacion_Directa!$B$2:$B$1000,"&gt;="&amp;DATEVALUE($B953&amp;"-01"),Observacion_Directa!$B$2:$B$1000,"&lt;="&amp;EOMONTH(DATEVALUE($B953&amp;"-01"),0)))-1)/4*100,"")</f>
        <v/>
      </c>
      <c r="Y953" t="e">
        <f t="shared" ca="1" si="29"/>
        <v>#DIV/0!</v>
      </c>
    </row>
    <row r="954" spans="12:25" x14ac:dyDescent="0.2">
      <c r="L954" t="str">
        <f t="shared" si="28"/>
        <v/>
      </c>
      <c r="M954" t="str">
        <f>IFERROR(AVERAGEIFS(Prod_5dias!$H$2:$H$1000,Prod_5dias!$A$2:$A$1000,$A954,Prod_5dias!$B$2:$B$1000,$B954),"")</f>
        <v/>
      </c>
      <c r="N954" t="str">
        <f>IF(M954="","",MIN(100,100*M954/Parametros!$B$7))</f>
        <v/>
      </c>
      <c r="O954" t="str">
        <f>IF(F954="","",IF(F954=0,100,MIN(100,100*Parametros!$B$3/F954)))</f>
        <v/>
      </c>
      <c r="P954" t="str">
        <f ca="1">IFERROR(((AVERAGEIFS(Observacion_Directa!$E$2:$E$1000,Observacion_Directa!$A$2:$A$1000,$A954,Observacion_Directa!$B$2:$B$1000,"&gt;="&amp;DATEVALUE($B954&amp;"-01"),Observacion_Directa!$B$2:$B$1000,"&lt;="&amp;EOMONTH(DATEVALUE($B954&amp;"-01"),0)))-1)/4*100,"")</f>
        <v/>
      </c>
      <c r="Q954" t="str">
        <f>IF(H954="","",MIN(100,100*H954/Parametros!$B$4))</f>
        <v/>
      </c>
      <c r="R954" t="str">
        <f>IF(I954="","",IF(I954=0,100,MIN(100,100*Parametros!$B$5/I954)))</f>
        <v/>
      </c>
      <c r="S954" t="str">
        <f>IF(J954="","",IF(J954=0,100,MIN(100,100*Parametros!$B$6/J954)))</f>
        <v/>
      </c>
      <c r="T954" t="str">
        <f>IF(L954="","",MIN(100,100*L954/Parametros!$B$7))</f>
        <v/>
      </c>
      <c r="U954" t="str">
        <f>IF(K954="","",MIN(100,100*K954/Parametros!$B$8))</f>
        <v/>
      </c>
      <c r="V954" t="str">
        <f ca="1">IFERROR(((AVERAGEIFS(Documentacion!$C$2:$C$1000,Documentacion!$A$2:$A$1000,$A954,Documentacion!$B$2:$B$1000,"&gt;="&amp;DATEVALUE($B954&amp;"-01"),Documentacion!$B$2:$B$1000,"&lt;="&amp;EOMONTH(DATEVALUE($B954&amp;"-01"),0)))-1)/4*100,"")</f>
        <v/>
      </c>
      <c r="W954" t="str">
        <f ca="1">IFERROR(((AVERAGEIFS(Feedback_360!$D$2:$D$1000,Feedback_360!$A$2:$A$1000,$A954,Feedback_360!$B$2:$B$1000,"&gt;="&amp;DATEVALUE($B954&amp;"-01"),Feedback_360!$B$2:$B$1000,"&lt;="&amp;EOMONTH(DATEVALUE($B954&amp;"-01"),0)))-1)/4*100,"")</f>
        <v/>
      </c>
      <c r="X954" t="str">
        <f ca="1">IFERROR(((AVERAGEIFS(Observacion_Directa!$D$2:$D$1000,Observacion_Directa!$A$2:$A$1000,$A954,Observacion_Directa!$B$2:$B$1000,"&gt;="&amp;DATEVALUE($B954&amp;"-01"),Observacion_Directa!$B$2:$B$1000,"&lt;="&amp;EOMONTH(DATEVALUE($B954&amp;"-01"),0)))-1)/4*100,"")</f>
        <v/>
      </c>
      <c r="Y954" t="e">
        <f t="shared" ca="1" si="29"/>
        <v>#DIV/0!</v>
      </c>
    </row>
    <row r="955" spans="12:25" x14ac:dyDescent="0.2">
      <c r="L955" t="str">
        <f t="shared" si="28"/>
        <v/>
      </c>
      <c r="M955" t="str">
        <f>IFERROR(AVERAGEIFS(Prod_5dias!$H$2:$H$1000,Prod_5dias!$A$2:$A$1000,$A955,Prod_5dias!$B$2:$B$1000,$B955),"")</f>
        <v/>
      </c>
      <c r="N955" t="str">
        <f>IF(M955="","",MIN(100,100*M955/Parametros!$B$7))</f>
        <v/>
      </c>
      <c r="O955" t="str">
        <f>IF(F955="","",IF(F955=0,100,MIN(100,100*Parametros!$B$3/F955)))</f>
        <v/>
      </c>
      <c r="P955" t="str">
        <f ca="1">IFERROR(((AVERAGEIFS(Observacion_Directa!$E$2:$E$1000,Observacion_Directa!$A$2:$A$1000,$A955,Observacion_Directa!$B$2:$B$1000,"&gt;="&amp;DATEVALUE($B955&amp;"-01"),Observacion_Directa!$B$2:$B$1000,"&lt;="&amp;EOMONTH(DATEVALUE($B955&amp;"-01"),0)))-1)/4*100,"")</f>
        <v/>
      </c>
      <c r="Q955" t="str">
        <f>IF(H955="","",MIN(100,100*H955/Parametros!$B$4))</f>
        <v/>
      </c>
      <c r="R955" t="str">
        <f>IF(I955="","",IF(I955=0,100,MIN(100,100*Parametros!$B$5/I955)))</f>
        <v/>
      </c>
      <c r="S955" t="str">
        <f>IF(J955="","",IF(J955=0,100,MIN(100,100*Parametros!$B$6/J955)))</f>
        <v/>
      </c>
      <c r="T955" t="str">
        <f>IF(L955="","",MIN(100,100*L955/Parametros!$B$7))</f>
        <v/>
      </c>
      <c r="U955" t="str">
        <f>IF(K955="","",MIN(100,100*K955/Parametros!$B$8))</f>
        <v/>
      </c>
      <c r="V955" t="str">
        <f ca="1">IFERROR(((AVERAGEIFS(Documentacion!$C$2:$C$1000,Documentacion!$A$2:$A$1000,$A955,Documentacion!$B$2:$B$1000,"&gt;="&amp;DATEVALUE($B955&amp;"-01"),Documentacion!$B$2:$B$1000,"&lt;="&amp;EOMONTH(DATEVALUE($B955&amp;"-01"),0)))-1)/4*100,"")</f>
        <v/>
      </c>
      <c r="W955" t="str">
        <f ca="1">IFERROR(((AVERAGEIFS(Feedback_360!$D$2:$D$1000,Feedback_360!$A$2:$A$1000,$A955,Feedback_360!$B$2:$B$1000,"&gt;="&amp;DATEVALUE($B955&amp;"-01"),Feedback_360!$B$2:$B$1000,"&lt;="&amp;EOMONTH(DATEVALUE($B955&amp;"-01"),0)))-1)/4*100,"")</f>
        <v/>
      </c>
      <c r="X955" t="str">
        <f ca="1">IFERROR(((AVERAGEIFS(Observacion_Directa!$D$2:$D$1000,Observacion_Directa!$A$2:$A$1000,$A955,Observacion_Directa!$B$2:$B$1000,"&gt;="&amp;DATEVALUE($B955&amp;"-01"),Observacion_Directa!$B$2:$B$1000,"&lt;="&amp;EOMONTH(DATEVALUE($B955&amp;"-01"),0)))-1)/4*100,"")</f>
        <v/>
      </c>
      <c r="Y955" t="e">
        <f t="shared" ca="1" si="29"/>
        <v>#DIV/0!</v>
      </c>
    </row>
    <row r="956" spans="12:25" x14ac:dyDescent="0.2">
      <c r="L956" t="str">
        <f t="shared" si="28"/>
        <v/>
      </c>
      <c r="M956" t="str">
        <f>IFERROR(AVERAGEIFS(Prod_5dias!$H$2:$H$1000,Prod_5dias!$A$2:$A$1000,$A956,Prod_5dias!$B$2:$B$1000,$B956),"")</f>
        <v/>
      </c>
      <c r="N956" t="str">
        <f>IF(M956="","",MIN(100,100*M956/Parametros!$B$7))</f>
        <v/>
      </c>
      <c r="O956" t="str">
        <f>IF(F956="","",IF(F956=0,100,MIN(100,100*Parametros!$B$3/F956)))</f>
        <v/>
      </c>
      <c r="P956" t="str">
        <f ca="1">IFERROR(((AVERAGEIFS(Observacion_Directa!$E$2:$E$1000,Observacion_Directa!$A$2:$A$1000,$A956,Observacion_Directa!$B$2:$B$1000,"&gt;="&amp;DATEVALUE($B956&amp;"-01"),Observacion_Directa!$B$2:$B$1000,"&lt;="&amp;EOMONTH(DATEVALUE($B956&amp;"-01"),0)))-1)/4*100,"")</f>
        <v/>
      </c>
      <c r="Q956" t="str">
        <f>IF(H956="","",MIN(100,100*H956/Parametros!$B$4))</f>
        <v/>
      </c>
      <c r="R956" t="str">
        <f>IF(I956="","",IF(I956=0,100,MIN(100,100*Parametros!$B$5/I956)))</f>
        <v/>
      </c>
      <c r="S956" t="str">
        <f>IF(J956="","",IF(J956=0,100,MIN(100,100*Parametros!$B$6/J956)))</f>
        <v/>
      </c>
      <c r="T956" t="str">
        <f>IF(L956="","",MIN(100,100*L956/Parametros!$B$7))</f>
        <v/>
      </c>
      <c r="U956" t="str">
        <f>IF(K956="","",MIN(100,100*K956/Parametros!$B$8))</f>
        <v/>
      </c>
      <c r="V956" t="str">
        <f ca="1">IFERROR(((AVERAGEIFS(Documentacion!$C$2:$C$1000,Documentacion!$A$2:$A$1000,$A956,Documentacion!$B$2:$B$1000,"&gt;="&amp;DATEVALUE($B956&amp;"-01"),Documentacion!$B$2:$B$1000,"&lt;="&amp;EOMONTH(DATEVALUE($B956&amp;"-01"),0)))-1)/4*100,"")</f>
        <v/>
      </c>
      <c r="W956" t="str">
        <f ca="1">IFERROR(((AVERAGEIFS(Feedback_360!$D$2:$D$1000,Feedback_360!$A$2:$A$1000,$A956,Feedback_360!$B$2:$B$1000,"&gt;="&amp;DATEVALUE($B956&amp;"-01"),Feedback_360!$B$2:$B$1000,"&lt;="&amp;EOMONTH(DATEVALUE($B956&amp;"-01"),0)))-1)/4*100,"")</f>
        <v/>
      </c>
      <c r="X956" t="str">
        <f ca="1">IFERROR(((AVERAGEIFS(Observacion_Directa!$D$2:$D$1000,Observacion_Directa!$A$2:$A$1000,$A956,Observacion_Directa!$B$2:$B$1000,"&gt;="&amp;DATEVALUE($B956&amp;"-01"),Observacion_Directa!$B$2:$B$1000,"&lt;="&amp;EOMONTH(DATEVALUE($B956&amp;"-01"),0)))-1)/4*100,"")</f>
        <v/>
      </c>
      <c r="Y956" t="e">
        <f t="shared" ca="1" si="29"/>
        <v>#DIV/0!</v>
      </c>
    </row>
    <row r="957" spans="12:25" x14ac:dyDescent="0.2">
      <c r="L957" t="str">
        <f t="shared" si="28"/>
        <v/>
      </c>
      <c r="M957" t="str">
        <f>IFERROR(AVERAGEIFS(Prod_5dias!$H$2:$H$1000,Prod_5dias!$A$2:$A$1000,$A957,Prod_5dias!$B$2:$B$1000,$B957),"")</f>
        <v/>
      </c>
      <c r="N957" t="str">
        <f>IF(M957="","",MIN(100,100*M957/Parametros!$B$7))</f>
        <v/>
      </c>
      <c r="O957" t="str">
        <f>IF(F957="","",IF(F957=0,100,MIN(100,100*Parametros!$B$3/F957)))</f>
        <v/>
      </c>
      <c r="P957" t="str">
        <f ca="1">IFERROR(((AVERAGEIFS(Observacion_Directa!$E$2:$E$1000,Observacion_Directa!$A$2:$A$1000,$A957,Observacion_Directa!$B$2:$B$1000,"&gt;="&amp;DATEVALUE($B957&amp;"-01"),Observacion_Directa!$B$2:$B$1000,"&lt;="&amp;EOMONTH(DATEVALUE($B957&amp;"-01"),0)))-1)/4*100,"")</f>
        <v/>
      </c>
      <c r="Q957" t="str">
        <f>IF(H957="","",MIN(100,100*H957/Parametros!$B$4))</f>
        <v/>
      </c>
      <c r="R957" t="str">
        <f>IF(I957="","",IF(I957=0,100,MIN(100,100*Parametros!$B$5/I957)))</f>
        <v/>
      </c>
      <c r="S957" t="str">
        <f>IF(J957="","",IF(J957=0,100,MIN(100,100*Parametros!$B$6/J957)))</f>
        <v/>
      </c>
      <c r="T957" t="str">
        <f>IF(L957="","",MIN(100,100*L957/Parametros!$B$7))</f>
        <v/>
      </c>
      <c r="U957" t="str">
        <f>IF(K957="","",MIN(100,100*K957/Parametros!$B$8))</f>
        <v/>
      </c>
      <c r="V957" t="str">
        <f ca="1">IFERROR(((AVERAGEIFS(Documentacion!$C$2:$C$1000,Documentacion!$A$2:$A$1000,$A957,Documentacion!$B$2:$B$1000,"&gt;="&amp;DATEVALUE($B957&amp;"-01"),Documentacion!$B$2:$B$1000,"&lt;="&amp;EOMONTH(DATEVALUE($B957&amp;"-01"),0)))-1)/4*100,"")</f>
        <v/>
      </c>
      <c r="W957" t="str">
        <f ca="1">IFERROR(((AVERAGEIFS(Feedback_360!$D$2:$D$1000,Feedback_360!$A$2:$A$1000,$A957,Feedback_360!$B$2:$B$1000,"&gt;="&amp;DATEVALUE($B957&amp;"-01"),Feedback_360!$B$2:$B$1000,"&lt;="&amp;EOMONTH(DATEVALUE($B957&amp;"-01"),0)))-1)/4*100,"")</f>
        <v/>
      </c>
      <c r="X957" t="str">
        <f ca="1">IFERROR(((AVERAGEIFS(Observacion_Directa!$D$2:$D$1000,Observacion_Directa!$A$2:$A$1000,$A957,Observacion_Directa!$B$2:$B$1000,"&gt;="&amp;DATEVALUE($B957&amp;"-01"),Observacion_Directa!$B$2:$B$1000,"&lt;="&amp;EOMONTH(DATEVALUE($B957&amp;"-01"),0)))-1)/4*100,"")</f>
        <v/>
      </c>
      <c r="Y957" t="e">
        <f t="shared" ca="1" si="29"/>
        <v>#DIV/0!</v>
      </c>
    </row>
    <row r="958" spans="12:25" x14ac:dyDescent="0.2">
      <c r="L958" t="str">
        <f t="shared" si="28"/>
        <v/>
      </c>
      <c r="M958" t="str">
        <f>IFERROR(AVERAGEIFS(Prod_5dias!$H$2:$H$1000,Prod_5dias!$A$2:$A$1000,$A958,Prod_5dias!$B$2:$B$1000,$B958),"")</f>
        <v/>
      </c>
      <c r="N958" t="str">
        <f>IF(M958="","",MIN(100,100*M958/Parametros!$B$7))</f>
        <v/>
      </c>
      <c r="O958" t="str">
        <f>IF(F958="","",IF(F958=0,100,MIN(100,100*Parametros!$B$3/F958)))</f>
        <v/>
      </c>
      <c r="P958" t="str">
        <f ca="1">IFERROR(((AVERAGEIFS(Observacion_Directa!$E$2:$E$1000,Observacion_Directa!$A$2:$A$1000,$A958,Observacion_Directa!$B$2:$B$1000,"&gt;="&amp;DATEVALUE($B958&amp;"-01"),Observacion_Directa!$B$2:$B$1000,"&lt;="&amp;EOMONTH(DATEVALUE($B958&amp;"-01"),0)))-1)/4*100,"")</f>
        <v/>
      </c>
      <c r="Q958" t="str">
        <f>IF(H958="","",MIN(100,100*H958/Parametros!$B$4))</f>
        <v/>
      </c>
      <c r="R958" t="str">
        <f>IF(I958="","",IF(I958=0,100,MIN(100,100*Parametros!$B$5/I958)))</f>
        <v/>
      </c>
      <c r="S958" t="str">
        <f>IF(J958="","",IF(J958=0,100,MIN(100,100*Parametros!$B$6/J958)))</f>
        <v/>
      </c>
      <c r="T958" t="str">
        <f>IF(L958="","",MIN(100,100*L958/Parametros!$B$7))</f>
        <v/>
      </c>
      <c r="U958" t="str">
        <f>IF(K958="","",MIN(100,100*K958/Parametros!$B$8))</f>
        <v/>
      </c>
      <c r="V958" t="str">
        <f ca="1">IFERROR(((AVERAGEIFS(Documentacion!$C$2:$C$1000,Documentacion!$A$2:$A$1000,$A958,Documentacion!$B$2:$B$1000,"&gt;="&amp;DATEVALUE($B958&amp;"-01"),Documentacion!$B$2:$B$1000,"&lt;="&amp;EOMONTH(DATEVALUE($B958&amp;"-01"),0)))-1)/4*100,"")</f>
        <v/>
      </c>
      <c r="W958" t="str">
        <f ca="1">IFERROR(((AVERAGEIFS(Feedback_360!$D$2:$D$1000,Feedback_360!$A$2:$A$1000,$A958,Feedback_360!$B$2:$B$1000,"&gt;="&amp;DATEVALUE($B958&amp;"-01"),Feedback_360!$B$2:$B$1000,"&lt;="&amp;EOMONTH(DATEVALUE($B958&amp;"-01"),0)))-1)/4*100,"")</f>
        <v/>
      </c>
      <c r="X958" t="str">
        <f ca="1">IFERROR(((AVERAGEIFS(Observacion_Directa!$D$2:$D$1000,Observacion_Directa!$A$2:$A$1000,$A958,Observacion_Directa!$B$2:$B$1000,"&gt;="&amp;DATEVALUE($B958&amp;"-01"),Observacion_Directa!$B$2:$B$1000,"&lt;="&amp;EOMONTH(DATEVALUE($B958&amp;"-01"),0)))-1)/4*100,"")</f>
        <v/>
      </c>
      <c r="Y958" t="e">
        <f t="shared" ca="1" si="29"/>
        <v>#DIV/0!</v>
      </c>
    </row>
    <row r="959" spans="12:25" x14ac:dyDescent="0.2">
      <c r="L959" t="str">
        <f t="shared" si="28"/>
        <v/>
      </c>
      <c r="M959" t="str">
        <f>IFERROR(AVERAGEIFS(Prod_5dias!$H$2:$H$1000,Prod_5dias!$A$2:$A$1000,$A959,Prod_5dias!$B$2:$B$1000,$B959),"")</f>
        <v/>
      </c>
      <c r="N959" t="str">
        <f>IF(M959="","",MIN(100,100*M959/Parametros!$B$7))</f>
        <v/>
      </c>
      <c r="O959" t="str">
        <f>IF(F959="","",IF(F959=0,100,MIN(100,100*Parametros!$B$3/F959)))</f>
        <v/>
      </c>
      <c r="P959" t="str">
        <f ca="1">IFERROR(((AVERAGEIFS(Observacion_Directa!$E$2:$E$1000,Observacion_Directa!$A$2:$A$1000,$A959,Observacion_Directa!$B$2:$B$1000,"&gt;="&amp;DATEVALUE($B959&amp;"-01"),Observacion_Directa!$B$2:$B$1000,"&lt;="&amp;EOMONTH(DATEVALUE($B959&amp;"-01"),0)))-1)/4*100,"")</f>
        <v/>
      </c>
      <c r="Q959" t="str">
        <f>IF(H959="","",MIN(100,100*H959/Parametros!$B$4))</f>
        <v/>
      </c>
      <c r="R959" t="str">
        <f>IF(I959="","",IF(I959=0,100,MIN(100,100*Parametros!$B$5/I959)))</f>
        <v/>
      </c>
      <c r="S959" t="str">
        <f>IF(J959="","",IF(J959=0,100,MIN(100,100*Parametros!$B$6/J959)))</f>
        <v/>
      </c>
      <c r="T959" t="str">
        <f>IF(L959="","",MIN(100,100*L959/Parametros!$B$7))</f>
        <v/>
      </c>
      <c r="U959" t="str">
        <f>IF(K959="","",MIN(100,100*K959/Parametros!$B$8))</f>
        <v/>
      </c>
      <c r="V959" t="str">
        <f ca="1">IFERROR(((AVERAGEIFS(Documentacion!$C$2:$C$1000,Documentacion!$A$2:$A$1000,$A959,Documentacion!$B$2:$B$1000,"&gt;="&amp;DATEVALUE($B959&amp;"-01"),Documentacion!$B$2:$B$1000,"&lt;="&amp;EOMONTH(DATEVALUE($B959&amp;"-01"),0)))-1)/4*100,"")</f>
        <v/>
      </c>
      <c r="W959" t="str">
        <f ca="1">IFERROR(((AVERAGEIFS(Feedback_360!$D$2:$D$1000,Feedback_360!$A$2:$A$1000,$A959,Feedback_360!$B$2:$B$1000,"&gt;="&amp;DATEVALUE($B959&amp;"-01"),Feedback_360!$B$2:$B$1000,"&lt;="&amp;EOMONTH(DATEVALUE($B959&amp;"-01"),0)))-1)/4*100,"")</f>
        <v/>
      </c>
      <c r="X959" t="str">
        <f ca="1">IFERROR(((AVERAGEIFS(Observacion_Directa!$D$2:$D$1000,Observacion_Directa!$A$2:$A$1000,$A959,Observacion_Directa!$B$2:$B$1000,"&gt;="&amp;DATEVALUE($B959&amp;"-01"),Observacion_Directa!$B$2:$B$1000,"&lt;="&amp;EOMONTH(DATEVALUE($B959&amp;"-01"),0)))-1)/4*100,"")</f>
        <v/>
      </c>
      <c r="Y959" t="e">
        <f t="shared" ca="1" si="29"/>
        <v>#DIV/0!</v>
      </c>
    </row>
    <row r="960" spans="12:25" x14ac:dyDescent="0.2">
      <c r="L960" t="str">
        <f t="shared" si="28"/>
        <v/>
      </c>
      <c r="M960" t="str">
        <f>IFERROR(AVERAGEIFS(Prod_5dias!$H$2:$H$1000,Prod_5dias!$A$2:$A$1000,$A960,Prod_5dias!$B$2:$B$1000,$B960),"")</f>
        <v/>
      </c>
      <c r="N960" t="str">
        <f>IF(M960="","",MIN(100,100*M960/Parametros!$B$7))</f>
        <v/>
      </c>
      <c r="O960" t="str">
        <f>IF(F960="","",IF(F960=0,100,MIN(100,100*Parametros!$B$3/F960)))</f>
        <v/>
      </c>
      <c r="P960" t="str">
        <f ca="1">IFERROR(((AVERAGEIFS(Observacion_Directa!$E$2:$E$1000,Observacion_Directa!$A$2:$A$1000,$A960,Observacion_Directa!$B$2:$B$1000,"&gt;="&amp;DATEVALUE($B960&amp;"-01"),Observacion_Directa!$B$2:$B$1000,"&lt;="&amp;EOMONTH(DATEVALUE($B960&amp;"-01"),0)))-1)/4*100,"")</f>
        <v/>
      </c>
      <c r="Q960" t="str">
        <f>IF(H960="","",MIN(100,100*H960/Parametros!$B$4))</f>
        <v/>
      </c>
      <c r="R960" t="str">
        <f>IF(I960="","",IF(I960=0,100,MIN(100,100*Parametros!$B$5/I960)))</f>
        <v/>
      </c>
      <c r="S960" t="str">
        <f>IF(J960="","",IF(J960=0,100,MIN(100,100*Parametros!$B$6/J960)))</f>
        <v/>
      </c>
      <c r="T960" t="str">
        <f>IF(L960="","",MIN(100,100*L960/Parametros!$B$7))</f>
        <v/>
      </c>
      <c r="U960" t="str">
        <f>IF(K960="","",MIN(100,100*K960/Parametros!$B$8))</f>
        <v/>
      </c>
      <c r="V960" t="str">
        <f ca="1">IFERROR(((AVERAGEIFS(Documentacion!$C$2:$C$1000,Documentacion!$A$2:$A$1000,$A960,Documentacion!$B$2:$B$1000,"&gt;="&amp;DATEVALUE($B960&amp;"-01"),Documentacion!$B$2:$B$1000,"&lt;="&amp;EOMONTH(DATEVALUE($B960&amp;"-01"),0)))-1)/4*100,"")</f>
        <v/>
      </c>
      <c r="W960" t="str">
        <f ca="1">IFERROR(((AVERAGEIFS(Feedback_360!$D$2:$D$1000,Feedback_360!$A$2:$A$1000,$A960,Feedback_360!$B$2:$B$1000,"&gt;="&amp;DATEVALUE($B960&amp;"-01"),Feedback_360!$B$2:$B$1000,"&lt;="&amp;EOMONTH(DATEVALUE($B960&amp;"-01"),0)))-1)/4*100,"")</f>
        <v/>
      </c>
      <c r="X960" t="str">
        <f ca="1">IFERROR(((AVERAGEIFS(Observacion_Directa!$D$2:$D$1000,Observacion_Directa!$A$2:$A$1000,$A960,Observacion_Directa!$B$2:$B$1000,"&gt;="&amp;DATEVALUE($B960&amp;"-01"),Observacion_Directa!$B$2:$B$1000,"&lt;="&amp;EOMONTH(DATEVALUE($B960&amp;"-01"),0)))-1)/4*100,"")</f>
        <v/>
      </c>
      <c r="Y960" t="e">
        <f t="shared" ca="1" si="29"/>
        <v>#DIV/0!</v>
      </c>
    </row>
    <row r="961" spans="12:25" x14ac:dyDescent="0.2">
      <c r="L961" t="str">
        <f t="shared" si="28"/>
        <v/>
      </c>
      <c r="M961" t="str">
        <f>IFERROR(AVERAGEIFS(Prod_5dias!$H$2:$H$1000,Prod_5dias!$A$2:$A$1000,$A961,Prod_5dias!$B$2:$B$1000,$B961),"")</f>
        <v/>
      </c>
      <c r="N961" t="str">
        <f>IF(M961="","",MIN(100,100*M961/Parametros!$B$7))</f>
        <v/>
      </c>
      <c r="O961" t="str">
        <f>IF(F961="","",IF(F961=0,100,MIN(100,100*Parametros!$B$3/F961)))</f>
        <v/>
      </c>
      <c r="P961" t="str">
        <f ca="1">IFERROR(((AVERAGEIFS(Observacion_Directa!$E$2:$E$1000,Observacion_Directa!$A$2:$A$1000,$A961,Observacion_Directa!$B$2:$B$1000,"&gt;="&amp;DATEVALUE($B961&amp;"-01"),Observacion_Directa!$B$2:$B$1000,"&lt;="&amp;EOMONTH(DATEVALUE($B961&amp;"-01"),0)))-1)/4*100,"")</f>
        <v/>
      </c>
      <c r="Q961" t="str">
        <f>IF(H961="","",MIN(100,100*H961/Parametros!$B$4))</f>
        <v/>
      </c>
      <c r="R961" t="str">
        <f>IF(I961="","",IF(I961=0,100,MIN(100,100*Parametros!$B$5/I961)))</f>
        <v/>
      </c>
      <c r="S961" t="str">
        <f>IF(J961="","",IF(J961=0,100,MIN(100,100*Parametros!$B$6/J961)))</f>
        <v/>
      </c>
      <c r="T961" t="str">
        <f>IF(L961="","",MIN(100,100*L961/Parametros!$B$7))</f>
        <v/>
      </c>
      <c r="U961" t="str">
        <f>IF(K961="","",MIN(100,100*K961/Parametros!$B$8))</f>
        <v/>
      </c>
      <c r="V961" t="str">
        <f ca="1">IFERROR(((AVERAGEIFS(Documentacion!$C$2:$C$1000,Documentacion!$A$2:$A$1000,$A961,Documentacion!$B$2:$B$1000,"&gt;="&amp;DATEVALUE($B961&amp;"-01"),Documentacion!$B$2:$B$1000,"&lt;="&amp;EOMONTH(DATEVALUE($B961&amp;"-01"),0)))-1)/4*100,"")</f>
        <v/>
      </c>
      <c r="W961" t="str">
        <f ca="1">IFERROR(((AVERAGEIFS(Feedback_360!$D$2:$D$1000,Feedback_360!$A$2:$A$1000,$A961,Feedback_360!$B$2:$B$1000,"&gt;="&amp;DATEVALUE($B961&amp;"-01"),Feedback_360!$B$2:$B$1000,"&lt;="&amp;EOMONTH(DATEVALUE($B961&amp;"-01"),0)))-1)/4*100,"")</f>
        <v/>
      </c>
      <c r="X961" t="str">
        <f ca="1">IFERROR(((AVERAGEIFS(Observacion_Directa!$D$2:$D$1000,Observacion_Directa!$A$2:$A$1000,$A961,Observacion_Directa!$B$2:$B$1000,"&gt;="&amp;DATEVALUE($B961&amp;"-01"),Observacion_Directa!$B$2:$B$1000,"&lt;="&amp;EOMONTH(DATEVALUE($B961&amp;"-01"),0)))-1)/4*100,"")</f>
        <v/>
      </c>
      <c r="Y961" t="e">
        <f t="shared" ca="1" si="29"/>
        <v>#DIV/0!</v>
      </c>
    </row>
    <row r="962" spans="12:25" x14ac:dyDescent="0.2">
      <c r="L962" t="str">
        <f t="shared" ref="L962:L1001" si="30">IF(OR(C962="",D962=""),"",C962/D962)</f>
        <v/>
      </c>
      <c r="M962" t="str">
        <f>IFERROR(AVERAGEIFS(Prod_5dias!$H$2:$H$1000,Prod_5dias!$A$2:$A$1000,$A962,Prod_5dias!$B$2:$B$1000,$B962),"")</f>
        <v/>
      </c>
      <c r="N962" t="str">
        <f>IF(M962="","",MIN(100,100*M962/Parametros!$B$7))</f>
        <v/>
      </c>
      <c r="O962" t="str">
        <f>IF(F962="","",IF(F962=0,100,MIN(100,100*Parametros!$B$3/F962)))</f>
        <v/>
      </c>
      <c r="P962" t="str">
        <f ca="1">IFERROR(((AVERAGEIFS(Observacion_Directa!$E$2:$E$1000,Observacion_Directa!$A$2:$A$1000,$A962,Observacion_Directa!$B$2:$B$1000,"&gt;="&amp;DATEVALUE($B962&amp;"-01"),Observacion_Directa!$B$2:$B$1000,"&lt;="&amp;EOMONTH(DATEVALUE($B962&amp;"-01"),0)))-1)/4*100,"")</f>
        <v/>
      </c>
      <c r="Q962" t="str">
        <f>IF(H962="","",MIN(100,100*H962/Parametros!$B$4))</f>
        <v/>
      </c>
      <c r="R962" t="str">
        <f>IF(I962="","",IF(I962=0,100,MIN(100,100*Parametros!$B$5/I962)))</f>
        <v/>
      </c>
      <c r="S962" t="str">
        <f>IF(J962="","",IF(J962=0,100,MIN(100,100*Parametros!$B$6/J962)))</f>
        <v/>
      </c>
      <c r="T962" t="str">
        <f>IF(L962="","",MIN(100,100*L962/Parametros!$B$7))</f>
        <v/>
      </c>
      <c r="U962" t="str">
        <f>IF(K962="","",MIN(100,100*K962/Parametros!$B$8))</f>
        <v/>
      </c>
      <c r="V962" t="str">
        <f ca="1">IFERROR(((AVERAGEIFS(Documentacion!$C$2:$C$1000,Documentacion!$A$2:$A$1000,$A962,Documentacion!$B$2:$B$1000,"&gt;="&amp;DATEVALUE($B962&amp;"-01"),Documentacion!$B$2:$B$1000,"&lt;="&amp;EOMONTH(DATEVALUE($B962&amp;"-01"),0)))-1)/4*100,"")</f>
        <v/>
      </c>
      <c r="W962" t="str">
        <f ca="1">IFERROR(((AVERAGEIFS(Feedback_360!$D$2:$D$1000,Feedback_360!$A$2:$A$1000,$A962,Feedback_360!$B$2:$B$1000,"&gt;="&amp;DATEVALUE($B962&amp;"-01"),Feedback_360!$B$2:$B$1000,"&lt;="&amp;EOMONTH(DATEVALUE($B962&amp;"-01"),0)))-1)/4*100,"")</f>
        <v/>
      </c>
      <c r="X962" t="str">
        <f ca="1">IFERROR(((AVERAGEIFS(Observacion_Directa!$D$2:$D$1000,Observacion_Directa!$A$2:$A$1000,$A962,Observacion_Directa!$B$2:$B$1000,"&gt;="&amp;DATEVALUE($B962&amp;"-01"),Observacion_Directa!$B$2:$B$1000,"&lt;="&amp;EOMONTH(DATEVALUE($B962&amp;"-01"),0)))-1)/4*100,"")</f>
        <v/>
      </c>
      <c r="Y962" t="e">
        <f t="shared" ref="Y962:Y1025" ca="1" si="31">IF(COUNTA(N962:X962)=0,"",AVERAGE(N962:X962))</f>
        <v>#DIV/0!</v>
      </c>
    </row>
    <row r="963" spans="12:25" x14ac:dyDescent="0.2">
      <c r="L963" t="str">
        <f t="shared" si="30"/>
        <v/>
      </c>
      <c r="M963" t="str">
        <f>IFERROR(AVERAGEIFS(Prod_5dias!$H$2:$H$1000,Prod_5dias!$A$2:$A$1000,$A963,Prod_5dias!$B$2:$B$1000,$B963),"")</f>
        <v/>
      </c>
      <c r="N963" t="str">
        <f>IF(M963="","",MIN(100,100*M963/Parametros!$B$7))</f>
        <v/>
      </c>
      <c r="O963" t="str">
        <f>IF(F963="","",IF(F963=0,100,MIN(100,100*Parametros!$B$3/F963)))</f>
        <v/>
      </c>
      <c r="P963" t="str">
        <f ca="1">IFERROR(((AVERAGEIFS(Observacion_Directa!$E$2:$E$1000,Observacion_Directa!$A$2:$A$1000,$A963,Observacion_Directa!$B$2:$B$1000,"&gt;="&amp;DATEVALUE($B963&amp;"-01"),Observacion_Directa!$B$2:$B$1000,"&lt;="&amp;EOMONTH(DATEVALUE($B963&amp;"-01"),0)))-1)/4*100,"")</f>
        <v/>
      </c>
      <c r="Q963" t="str">
        <f>IF(H963="","",MIN(100,100*H963/Parametros!$B$4))</f>
        <v/>
      </c>
      <c r="R963" t="str">
        <f>IF(I963="","",IF(I963=0,100,MIN(100,100*Parametros!$B$5/I963)))</f>
        <v/>
      </c>
      <c r="S963" t="str">
        <f>IF(J963="","",IF(J963=0,100,MIN(100,100*Parametros!$B$6/J963)))</f>
        <v/>
      </c>
      <c r="T963" t="str">
        <f>IF(L963="","",MIN(100,100*L963/Parametros!$B$7))</f>
        <v/>
      </c>
      <c r="U963" t="str">
        <f>IF(K963="","",MIN(100,100*K963/Parametros!$B$8))</f>
        <v/>
      </c>
      <c r="V963" t="str">
        <f ca="1">IFERROR(((AVERAGEIFS(Documentacion!$C$2:$C$1000,Documentacion!$A$2:$A$1000,$A963,Documentacion!$B$2:$B$1000,"&gt;="&amp;DATEVALUE($B963&amp;"-01"),Documentacion!$B$2:$B$1000,"&lt;="&amp;EOMONTH(DATEVALUE($B963&amp;"-01"),0)))-1)/4*100,"")</f>
        <v/>
      </c>
      <c r="W963" t="str">
        <f ca="1">IFERROR(((AVERAGEIFS(Feedback_360!$D$2:$D$1000,Feedback_360!$A$2:$A$1000,$A963,Feedback_360!$B$2:$B$1000,"&gt;="&amp;DATEVALUE($B963&amp;"-01"),Feedback_360!$B$2:$B$1000,"&lt;="&amp;EOMONTH(DATEVALUE($B963&amp;"-01"),0)))-1)/4*100,"")</f>
        <v/>
      </c>
      <c r="X963" t="str">
        <f ca="1">IFERROR(((AVERAGEIFS(Observacion_Directa!$D$2:$D$1000,Observacion_Directa!$A$2:$A$1000,$A963,Observacion_Directa!$B$2:$B$1000,"&gt;="&amp;DATEVALUE($B963&amp;"-01"),Observacion_Directa!$B$2:$B$1000,"&lt;="&amp;EOMONTH(DATEVALUE($B963&amp;"-01"),0)))-1)/4*100,"")</f>
        <v/>
      </c>
      <c r="Y963" t="e">
        <f t="shared" ca="1" si="31"/>
        <v>#DIV/0!</v>
      </c>
    </row>
    <row r="964" spans="12:25" x14ac:dyDescent="0.2">
      <c r="L964" t="str">
        <f t="shared" si="30"/>
        <v/>
      </c>
      <c r="M964" t="str">
        <f>IFERROR(AVERAGEIFS(Prod_5dias!$H$2:$H$1000,Prod_5dias!$A$2:$A$1000,$A964,Prod_5dias!$B$2:$B$1000,$B964),"")</f>
        <v/>
      </c>
      <c r="N964" t="str">
        <f>IF(M964="","",MIN(100,100*M964/Parametros!$B$7))</f>
        <v/>
      </c>
      <c r="O964" t="str">
        <f>IF(F964="","",IF(F964=0,100,MIN(100,100*Parametros!$B$3/F964)))</f>
        <v/>
      </c>
      <c r="P964" t="str">
        <f ca="1">IFERROR(((AVERAGEIFS(Observacion_Directa!$E$2:$E$1000,Observacion_Directa!$A$2:$A$1000,$A964,Observacion_Directa!$B$2:$B$1000,"&gt;="&amp;DATEVALUE($B964&amp;"-01"),Observacion_Directa!$B$2:$B$1000,"&lt;="&amp;EOMONTH(DATEVALUE($B964&amp;"-01"),0)))-1)/4*100,"")</f>
        <v/>
      </c>
      <c r="Q964" t="str">
        <f>IF(H964="","",MIN(100,100*H964/Parametros!$B$4))</f>
        <v/>
      </c>
      <c r="R964" t="str">
        <f>IF(I964="","",IF(I964=0,100,MIN(100,100*Parametros!$B$5/I964)))</f>
        <v/>
      </c>
      <c r="S964" t="str">
        <f>IF(J964="","",IF(J964=0,100,MIN(100,100*Parametros!$B$6/J964)))</f>
        <v/>
      </c>
      <c r="T964" t="str">
        <f>IF(L964="","",MIN(100,100*L964/Parametros!$B$7))</f>
        <v/>
      </c>
      <c r="U964" t="str">
        <f>IF(K964="","",MIN(100,100*K964/Parametros!$B$8))</f>
        <v/>
      </c>
      <c r="V964" t="str">
        <f ca="1">IFERROR(((AVERAGEIFS(Documentacion!$C$2:$C$1000,Documentacion!$A$2:$A$1000,$A964,Documentacion!$B$2:$B$1000,"&gt;="&amp;DATEVALUE($B964&amp;"-01"),Documentacion!$B$2:$B$1000,"&lt;="&amp;EOMONTH(DATEVALUE($B964&amp;"-01"),0)))-1)/4*100,"")</f>
        <v/>
      </c>
      <c r="W964" t="str">
        <f ca="1">IFERROR(((AVERAGEIFS(Feedback_360!$D$2:$D$1000,Feedback_360!$A$2:$A$1000,$A964,Feedback_360!$B$2:$B$1000,"&gt;="&amp;DATEVALUE($B964&amp;"-01"),Feedback_360!$B$2:$B$1000,"&lt;="&amp;EOMONTH(DATEVALUE($B964&amp;"-01"),0)))-1)/4*100,"")</f>
        <v/>
      </c>
      <c r="X964" t="str">
        <f ca="1">IFERROR(((AVERAGEIFS(Observacion_Directa!$D$2:$D$1000,Observacion_Directa!$A$2:$A$1000,$A964,Observacion_Directa!$B$2:$B$1000,"&gt;="&amp;DATEVALUE($B964&amp;"-01"),Observacion_Directa!$B$2:$B$1000,"&lt;="&amp;EOMONTH(DATEVALUE($B964&amp;"-01"),0)))-1)/4*100,"")</f>
        <v/>
      </c>
      <c r="Y964" t="e">
        <f t="shared" ca="1" si="31"/>
        <v>#DIV/0!</v>
      </c>
    </row>
    <row r="965" spans="12:25" x14ac:dyDescent="0.2">
      <c r="L965" t="str">
        <f t="shared" si="30"/>
        <v/>
      </c>
      <c r="M965" t="str">
        <f>IFERROR(AVERAGEIFS(Prod_5dias!$H$2:$H$1000,Prod_5dias!$A$2:$A$1000,$A965,Prod_5dias!$B$2:$B$1000,$B965),"")</f>
        <v/>
      </c>
      <c r="N965" t="str">
        <f>IF(M965="","",MIN(100,100*M965/Parametros!$B$7))</f>
        <v/>
      </c>
      <c r="O965" t="str">
        <f>IF(F965="","",IF(F965=0,100,MIN(100,100*Parametros!$B$3/F965)))</f>
        <v/>
      </c>
      <c r="P965" t="str">
        <f ca="1">IFERROR(((AVERAGEIFS(Observacion_Directa!$E$2:$E$1000,Observacion_Directa!$A$2:$A$1000,$A965,Observacion_Directa!$B$2:$B$1000,"&gt;="&amp;DATEVALUE($B965&amp;"-01"),Observacion_Directa!$B$2:$B$1000,"&lt;="&amp;EOMONTH(DATEVALUE($B965&amp;"-01"),0)))-1)/4*100,"")</f>
        <v/>
      </c>
      <c r="Q965" t="str">
        <f>IF(H965="","",MIN(100,100*H965/Parametros!$B$4))</f>
        <v/>
      </c>
      <c r="R965" t="str">
        <f>IF(I965="","",IF(I965=0,100,MIN(100,100*Parametros!$B$5/I965)))</f>
        <v/>
      </c>
      <c r="S965" t="str">
        <f>IF(J965="","",IF(J965=0,100,MIN(100,100*Parametros!$B$6/J965)))</f>
        <v/>
      </c>
      <c r="T965" t="str">
        <f>IF(L965="","",MIN(100,100*L965/Parametros!$B$7))</f>
        <v/>
      </c>
      <c r="U965" t="str">
        <f>IF(K965="","",MIN(100,100*K965/Parametros!$B$8))</f>
        <v/>
      </c>
      <c r="V965" t="str">
        <f ca="1">IFERROR(((AVERAGEIFS(Documentacion!$C$2:$C$1000,Documentacion!$A$2:$A$1000,$A965,Documentacion!$B$2:$B$1000,"&gt;="&amp;DATEVALUE($B965&amp;"-01"),Documentacion!$B$2:$B$1000,"&lt;="&amp;EOMONTH(DATEVALUE($B965&amp;"-01"),0)))-1)/4*100,"")</f>
        <v/>
      </c>
      <c r="W965" t="str">
        <f ca="1">IFERROR(((AVERAGEIFS(Feedback_360!$D$2:$D$1000,Feedback_360!$A$2:$A$1000,$A965,Feedback_360!$B$2:$B$1000,"&gt;="&amp;DATEVALUE($B965&amp;"-01"),Feedback_360!$B$2:$B$1000,"&lt;="&amp;EOMONTH(DATEVALUE($B965&amp;"-01"),0)))-1)/4*100,"")</f>
        <v/>
      </c>
      <c r="X965" t="str">
        <f ca="1">IFERROR(((AVERAGEIFS(Observacion_Directa!$D$2:$D$1000,Observacion_Directa!$A$2:$A$1000,$A965,Observacion_Directa!$B$2:$B$1000,"&gt;="&amp;DATEVALUE($B965&amp;"-01"),Observacion_Directa!$B$2:$B$1000,"&lt;="&amp;EOMONTH(DATEVALUE($B965&amp;"-01"),0)))-1)/4*100,"")</f>
        <v/>
      </c>
      <c r="Y965" t="e">
        <f t="shared" ca="1" si="31"/>
        <v>#DIV/0!</v>
      </c>
    </row>
    <row r="966" spans="12:25" x14ac:dyDescent="0.2">
      <c r="L966" t="str">
        <f t="shared" si="30"/>
        <v/>
      </c>
      <c r="M966" t="str">
        <f>IFERROR(AVERAGEIFS(Prod_5dias!$H$2:$H$1000,Prod_5dias!$A$2:$A$1000,$A966,Prod_5dias!$B$2:$B$1000,$B966),"")</f>
        <v/>
      </c>
      <c r="N966" t="str">
        <f>IF(M966="","",MIN(100,100*M966/Parametros!$B$7))</f>
        <v/>
      </c>
      <c r="O966" t="str">
        <f>IF(F966="","",IF(F966=0,100,MIN(100,100*Parametros!$B$3/F966)))</f>
        <v/>
      </c>
      <c r="P966" t="str">
        <f ca="1">IFERROR(((AVERAGEIFS(Observacion_Directa!$E$2:$E$1000,Observacion_Directa!$A$2:$A$1000,$A966,Observacion_Directa!$B$2:$B$1000,"&gt;="&amp;DATEVALUE($B966&amp;"-01"),Observacion_Directa!$B$2:$B$1000,"&lt;="&amp;EOMONTH(DATEVALUE($B966&amp;"-01"),0)))-1)/4*100,"")</f>
        <v/>
      </c>
      <c r="Q966" t="str">
        <f>IF(H966="","",MIN(100,100*H966/Parametros!$B$4))</f>
        <v/>
      </c>
      <c r="R966" t="str">
        <f>IF(I966="","",IF(I966=0,100,MIN(100,100*Parametros!$B$5/I966)))</f>
        <v/>
      </c>
      <c r="S966" t="str">
        <f>IF(J966="","",IF(J966=0,100,MIN(100,100*Parametros!$B$6/J966)))</f>
        <v/>
      </c>
      <c r="T966" t="str">
        <f>IF(L966="","",MIN(100,100*L966/Parametros!$B$7))</f>
        <v/>
      </c>
      <c r="U966" t="str">
        <f>IF(K966="","",MIN(100,100*K966/Parametros!$B$8))</f>
        <v/>
      </c>
      <c r="V966" t="str">
        <f ca="1">IFERROR(((AVERAGEIFS(Documentacion!$C$2:$C$1000,Documentacion!$A$2:$A$1000,$A966,Documentacion!$B$2:$B$1000,"&gt;="&amp;DATEVALUE($B966&amp;"-01"),Documentacion!$B$2:$B$1000,"&lt;="&amp;EOMONTH(DATEVALUE($B966&amp;"-01"),0)))-1)/4*100,"")</f>
        <v/>
      </c>
      <c r="W966" t="str">
        <f ca="1">IFERROR(((AVERAGEIFS(Feedback_360!$D$2:$D$1000,Feedback_360!$A$2:$A$1000,$A966,Feedback_360!$B$2:$B$1000,"&gt;="&amp;DATEVALUE($B966&amp;"-01"),Feedback_360!$B$2:$B$1000,"&lt;="&amp;EOMONTH(DATEVALUE($B966&amp;"-01"),0)))-1)/4*100,"")</f>
        <v/>
      </c>
      <c r="X966" t="str">
        <f ca="1">IFERROR(((AVERAGEIFS(Observacion_Directa!$D$2:$D$1000,Observacion_Directa!$A$2:$A$1000,$A966,Observacion_Directa!$B$2:$B$1000,"&gt;="&amp;DATEVALUE($B966&amp;"-01"),Observacion_Directa!$B$2:$B$1000,"&lt;="&amp;EOMONTH(DATEVALUE($B966&amp;"-01"),0)))-1)/4*100,"")</f>
        <v/>
      </c>
      <c r="Y966" t="e">
        <f t="shared" ca="1" si="31"/>
        <v>#DIV/0!</v>
      </c>
    </row>
    <row r="967" spans="12:25" x14ac:dyDescent="0.2">
      <c r="L967" t="str">
        <f t="shared" si="30"/>
        <v/>
      </c>
      <c r="M967" t="str">
        <f>IFERROR(AVERAGEIFS(Prod_5dias!$H$2:$H$1000,Prod_5dias!$A$2:$A$1000,$A967,Prod_5dias!$B$2:$B$1000,$B967),"")</f>
        <v/>
      </c>
      <c r="N967" t="str">
        <f>IF(M967="","",MIN(100,100*M967/Parametros!$B$7))</f>
        <v/>
      </c>
      <c r="O967" t="str">
        <f>IF(F967="","",IF(F967=0,100,MIN(100,100*Parametros!$B$3/F967)))</f>
        <v/>
      </c>
      <c r="P967" t="str">
        <f ca="1">IFERROR(((AVERAGEIFS(Observacion_Directa!$E$2:$E$1000,Observacion_Directa!$A$2:$A$1000,$A967,Observacion_Directa!$B$2:$B$1000,"&gt;="&amp;DATEVALUE($B967&amp;"-01"),Observacion_Directa!$B$2:$B$1000,"&lt;="&amp;EOMONTH(DATEVALUE($B967&amp;"-01"),0)))-1)/4*100,"")</f>
        <v/>
      </c>
      <c r="Q967" t="str">
        <f>IF(H967="","",MIN(100,100*H967/Parametros!$B$4))</f>
        <v/>
      </c>
      <c r="R967" t="str">
        <f>IF(I967="","",IF(I967=0,100,MIN(100,100*Parametros!$B$5/I967)))</f>
        <v/>
      </c>
      <c r="S967" t="str">
        <f>IF(J967="","",IF(J967=0,100,MIN(100,100*Parametros!$B$6/J967)))</f>
        <v/>
      </c>
      <c r="T967" t="str">
        <f>IF(L967="","",MIN(100,100*L967/Parametros!$B$7))</f>
        <v/>
      </c>
      <c r="U967" t="str">
        <f>IF(K967="","",MIN(100,100*K967/Parametros!$B$8))</f>
        <v/>
      </c>
      <c r="V967" t="str">
        <f ca="1">IFERROR(((AVERAGEIFS(Documentacion!$C$2:$C$1000,Documentacion!$A$2:$A$1000,$A967,Documentacion!$B$2:$B$1000,"&gt;="&amp;DATEVALUE($B967&amp;"-01"),Documentacion!$B$2:$B$1000,"&lt;="&amp;EOMONTH(DATEVALUE($B967&amp;"-01"),0)))-1)/4*100,"")</f>
        <v/>
      </c>
      <c r="W967" t="str">
        <f ca="1">IFERROR(((AVERAGEIFS(Feedback_360!$D$2:$D$1000,Feedback_360!$A$2:$A$1000,$A967,Feedback_360!$B$2:$B$1000,"&gt;="&amp;DATEVALUE($B967&amp;"-01"),Feedback_360!$B$2:$B$1000,"&lt;="&amp;EOMONTH(DATEVALUE($B967&amp;"-01"),0)))-1)/4*100,"")</f>
        <v/>
      </c>
      <c r="X967" t="str">
        <f ca="1">IFERROR(((AVERAGEIFS(Observacion_Directa!$D$2:$D$1000,Observacion_Directa!$A$2:$A$1000,$A967,Observacion_Directa!$B$2:$B$1000,"&gt;="&amp;DATEVALUE($B967&amp;"-01"),Observacion_Directa!$B$2:$B$1000,"&lt;="&amp;EOMONTH(DATEVALUE($B967&amp;"-01"),0)))-1)/4*100,"")</f>
        <v/>
      </c>
      <c r="Y967" t="e">
        <f t="shared" ca="1" si="31"/>
        <v>#DIV/0!</v>
      </c>
    </row>
    <row r="968" spans="12:25" x14ac:dyDescent="0.2">
      <c r="L968" t="str">
        <f t="shared" si="30"/>
        <v/>
      </c>
      <c r="M968" t="str">
        <f>IFERROR(AVERAGEIFS(Prod_5dias!$H$2:$H$1000,Prod_5dias!$A$2:$A$1000,$A968,Prod_5dias!$B$2:$B$1000,$B968),"")</f>
        <v/>
      </c>
      <c r="N968" t="str">
        <f>IF(M968="","",MIN(100,100*M968/Parametros!$B$7))</f>
        <v/>
      </c>
      <c r="O968" t="str">
        <f>IF(F968="","",IF(F968=0,100,MIN(100,100*Parametros!$B$3/F968)))</f>
        <v/>
      </c>
      <c r="P968" t="str">
        <f ca="1">IFERROR(((AVERAGEIFS(Observacion_Directa!$E$2:$E$1000,Observacion_Directa!$A$2:$A$1000,$A968,Observacion_Directa!$B$2:$B$1000,"&gt;="&amp;DATEVALUE($B968&amp;"-01"),Observacion_Directa!$B$2:$B$1000,"&lt;="&amp;EOMONTH(DATEVALUE($B968&amp;"-01"),0)))-1)/4*100,"")</f>
        <v/>
      </c>
      <c r="Q968" t="str">
        <f>IF(H968="","",MIN(100,100*H968/Parametros!$B$4))</f>
        <v/>
      </c>
      <c r="R968" t="str">
        <f>IF(I968="","",IF(I968=0,100,MIN(100,100*Parametros!$B$5/I968)))</f>
        <v/>
      </c>
      <c r="S968" t="str">
        <f>IF(J968="","",IF(J968=0,100,MIN(100,100*Parametros!$B$6/J968)))</f>
        <v/>
      </c>
      <c r="T968" t="str">
        <f>IF(L968="","",MIN(100,100*L968/Parametros!$B$7))</f>
        <v/>
      </c>
      <c r="U968" t="str">
        <f>IF(K968="","",MIN(100,100*K968/Parametros!$B$8))</f>
        <v/>
      </c>
      <c r="V968" t="str">
        <f ca="1">IFERROR(((AVERAGEIFS(Documentacion!$C$2:$C$1000,Documentacion!$A$2:$A$1000,$A968,Documentacion!$B$2:$B$1000,"&gt;="&amp;DATEVALUE($B968&amp;"-01"),Documentacion!$B$2:$B$1000,"&lt;="&amp;EOMONTH(DATEVALUE($B968&amp;"-01"),0)))-1)/4*100,"")</f>
        <v/>
      </c>
      <c r="W968" t="str">
        <f ca="1">IFERROR(((AVERAGEIFS(Feedback_360!$D$2:$D$1000,Feedback_360!$A$2:$A$1000,$A968,Feedback_360!$B$2:$B$1000,"&gt;="&amp;DATEVALUE($B968&amp;"-01"),Feedback_360!$B$2:$B$1000,"&lt;="&amp;EOMONTH(DATEVALUE($B968&amp;"-01"),0)))-1)/4*100,"")</f>
        <v/>
      </c>
      <c r="X968" t="str">
        <f ca="1">IFERROR(((AVERAGEIFS(Observacion_Directa!$D$2:$D$1000,Observacion_Directa!$A$2:$A$1000,$A968,Observacion_Directa!$B$2:$B$1000,"&gt;="&amp;DATEVALUE($B968&amp;"-01"),Observacion_Directa!$B$2:$B$1000,"&lt;="&amp;EOMONTH(DATEVALUE($B968&amp;"-01"),0)))-1)/4*100,"")</f>
        <v/>
      </c>
      <c r="Y968" t="e">
        <f t="shared" ca="1" si="31"/>
        <v>#DIV/0!</v>
      </c>
    </row>
    <row r="969" spans="12:25" x14ac:dyDescent="0.2">
      <c r="L969" t="str">
        <f t="shared" si="30"/>
        <v/>
      </c>
      <c r="M969" t="str">
        <f>IFERROR(AVERAGEIFS(Prod_5dias!$H$2:$H$1000,Prod_5dias!$A$2:$A$1000,$A969,Prod_5dias!$B$2:$B$1000,$B969),"")</f>
        <v/>
      </c>
      <c r="N969" t="str">
        <f>IF(M969="","",MIN(100,100*M969/Parametros!$B$7))</f>
        <v/>
      </c>
      <c r="O969" t="str">
        <f>IF(F969="","",IF(F969=0,100,MIN(100,100*Parametros!$B$3/F969)))</f>
        <v/>
      </c>
      <c r="P969" t="str">
        <f ca="1">IFERROR(((AVERAGEIFS(Observacion_Directa!$E$2:$E$1000,Observacion_Directa!$A$2:$A$1000,$A969,Observacion_Directa!$B$2:$B$1000,"&gt;="&amp;DATEVALUE($B969&amp;"-01"),Observacion_Directa!$B$2:$B$1000,"&lt;="&amp;EOMONTH(DATEVALUE($B969&amp;"-01"),0)))-1)/4*100,"")</f>
        <v/>
      </c>
      <c r="Q969" t="str">
        <f>IF(H969="","",MIN(100,100*H969/Parametros!$B$4))</f>
        <v/>
      </c>
      <c r="R969" t="str">
        <f>IF(I969="","",IF(I969=0,100,MIN(100,100*Parametros!$B$5/I969)))</f>
        <v/>
      </c>
      <c r="S969" t="str">
        <f>IF(J969="","",IF(J969=0,100,MIN(100,100*Parametros!$B$6/J969)))</f>
        <v/>
      </c>
      <c r="T969" t="str">
        <f>IF(L969="","",MIN(100,100*L969/Parametros!$B$7))</f>
        <v/>
      </c>
      <c r="U969" t="str">
        <f>IF(K969="","",MIN(100,100*K969/Parametros!$B$8))</f>
        <v/>
      </c>
      <c r="V969" t="str">
        <f ca="1">IFERROR(((AVERAGEIFS(Documentacion!$C$2:$C$1000,Documentacion!$A$2:$A$1000,$A969,Documentacion!$B$2:$B$1000,"&gt;="&amp;DATEVALUE($B969&amp;"-01"),Documentacion!$B$2:$B$1000,"&lt;="&amp;EOMONTH(DATEVALUE($B969&amp;"-01"),0)))-1)/4*100,"")</f>
        <v/>
      </c>
      <c r="W969" t="str">
        <f ca="1">IFERROR(((AVERAGEIFS(Feedback_360!$D$2:$D$1000,Feedback_360!$A$2:$A$1000,$A969,Feedback_360!$B$2:$B$1000,"&gt;="&amp;DATEVALUE($B969&amp;"-01"),Feedback_360!$B$2:$B$1000,"&lt;="&amp;EOMONTH(DATEVALUE($B969&amp;"-01"),0)))-1)/4*100,"")</f>
        <v/>
      </c>
      <c r="X969" t="str">
        <f ca="1">IFERROR(((AVERAGEIFS(Observacion_Directa!$D$2:$D$1000,Observacion_Directa!$A$2:$A$1000,$A969,Observacion_Directa!$B$2:$B$1000,"&gt;="&amp;DATEVALUE($B969&amp;"-01"),Observacion_Directa!$B$2:$B$1000,"&lt;="&amp;EOMONTH(DATEVALUE($B969&amp;"-01"),0)))-1)/4*100,"")</f>
        <v/>
      </c>
      <c r="Y969" t="e">
        <f t="shared" ca="1" si="31"/>
        <v>#DIV/0!</v>
      </c>
    </row>
    <row r="970" spans="12:25" x14ac:dyDescent="0.2">
      <c r="L970" t="str">
        <f t="shared" si="30"/>
        <v/>
      </c>
      <c r="M970" t="str">
        <f>IFERROR(AVERAGEIFS(Prod_5dias!$H$2:$H$1000,Prod_5dias!$A$2:$A$1000,$A970,Prod_5dias!$B$2:$B$1000,$B970),"")</f>
        <v/>
      </c>
      <c r="N970" t="str">
        <f>IF(M970="","",MIN(100,100*M970/Parametros!$B$7))</f>
        <v/>
      </c>
      <c r="O970" t="str">
        <f>IF(F970="","",IF(F970=0,100,MIN(100,100*Parametros!$B$3/F970)))</f>
        <v/>
      </c>
      <c r="P970" t="str">
        <f ca="1">IFERROR(((AVERAGEIFS(Observacion_Directa!$E$2:$E$1000,Observacion_Directa!$A$2:$A$1000,$A970,Observacion_Directa!$B$2:$B$1000,"&gt;="&amp;DATEVALUE($B970&amp;"-01"),Observacion_Directa!$B$2:$B$1000,"&lt;="&amp;EOMONTH(DATEVALUE($B970&amp;"-01"),0)))-1)/4*100,"")</f>
        <v/>
      </c>
      <c r="Q970" t="str">
        <f>IF(H970="","",MIN(100,100*H970/Parametros!$B$4))</f>
        <v/>
      </c>
      <c r="R970" t="str">
        <f>IF(I970="","",IF(I970=0,100,MIN(100,100*Parametros!$B$5/I970)))</f>
        <v/>
      </c>
      <c r="S970" t="str">
        <f>IF(J970="","",IF(J970=0,100,MIN(100,100*Parametros!$B$6/J970)))</f>
        <v/>
      </c>
      <c r="T970" t="str">
        <f>IF(L970="","",MIN(100,100*L970/Parametros!$B$7))</f>
        <v/>
      </c>
      <c r="U970" t="str">
        <f>IF(K970="","",MIN(100,100*K970/Parametros!$B$8))</f>
        <v/>
      </c>
      <c r="V970" t="str">
        <f ca="1">IFERROR(((AVERAGEIFS(Documentacion!$C$2:$C$1000,Documentacion!$A$2:$A$1000,$A970,Documentacion!$B$2:$B$1000,"&gt;="&amp;DATEVALUE($B970&amp;"-01"),Documentacion!$B$2:$B$1000,"&lt;="&amp;EOMONTH(DATEVALUE($B970&amp;"-01"),0)))-1)/4*100,"")</f>
        <v/>
      </c>
      <c r="W970" t="str">
        <f ca="1">IFERROR(((AVERAGEIFS(Feedback_360!$D$2:$D$1000,Feedback_360!$A$2:$A$1000,$A970,Feedback_360!$B$2:$B$1000,"&gt;="&amp;DATEVALUE($B970&amp;"-01"),Feedback_360!$B$2:$B$1000,"&lt;="&amp;EOMONTH(DATEVALUE($B970&amp;"-01"),0)))-1)/4*100,"")</f>
        <v/>
      </c>
      <c r="X970" t="str">
        <f ca="1">IFERROR(((AVERAGEIFS(Observacion_Directa!$D$2:$D$1000,Observacion_Directa!$A$2:$A$1000,$A970,Observacion_Directa!$B$2:$B$1000,"&gt;="&amp;DATEVALUE($B970&amp;"-01"),Observacion_Directa!$B$2:$B$1000,"&lt;="&amp;EOMONTH(DATEVALUE($B970&amp;"-01"),0)))-1)/4*100,"")</f>
        <v/>
      </c>
      <c r="Y970" t="e">
        <f t="shared" ca="1" si="31"/>
        <v>#DIV/0!</v>
      </c>
    </row>
    <row r="971" spans="12:25" x14ac:dyDescent="0.2">
      <c r="L971" t="str">
        <f t="shared" si="30"/>
        <v/>
      </c>
      <c r="M971" t="str">
        <f>IFERROR(AVERAGEIFS(Prod_5dias!$H$2:$H$1000,Prod_5dias!$A$2:$A$1000,$A971,Prod_5dias!$B$2:$B$1000,$B971),"")</f>
        <v/>
      </c>
      <c r="N971" t="str">
        <f>IF(M971="","",MIN(100,100*M971/Parametros!$B$7))</f>
        <v/>
      </c>
      <c r="O971" t="str">
        <f>IF(F971="","",IF(F971=0,100,MIN(100,100*Parametros!$B$3/F971)))</f>
        <v/>
      </c>
      <c r="P971" t="str">
        <f ca="1">IFERROR(((AVERAGEIFS(Observacion_Directa!$E$2:$E$1000,Observacion_Directa!$A$2:$A$1000,$A971,Observacion_Directa!$B$2:$B$1000,"&gt;="&amp;DATEVALUE($B971&amp;"-01"),Observacion_Directa!$B$2:$B$1000,"&lt;="&amp;EOMONTH(DATEVALUE($B971&amp;"-01"),0)))-1)/4*100,"")</f>
        <v/>
      </c>
      <c r="Q971" t="str">
        <f>IF(H971="","",MIN(100,100*H971/Parametros!$B$4))</f>
        <v/>
      </c>
      <c r="R971" t="str">
        <f>IF(I971="","",IF(I971=0,100,MIN(100,100*Parametros!$B$5/I971)))</f>
        <v/>
      </c>
      <c r="S971" t="str">
        <f>IF(J971="","",IF(J971=0,100,MIN(100,100*Parametros!$B$6/J971)))</f>
        <v/>
      </c>
      <c r="T971" t="str">
        <f>IF(L971="","",MIN(100,100*L971/Parametros!$B$7))</f>
        <v/>
      </c>
      <c r="U971" t="str">
        <f>IF(K971="","",MIN(100,100*K971/Parametros!$B$8))</f>
        <v/>
      </c>
      <c r="V971" t="str">
        <f ca="1">IFERROR(((AVERAGEIFS(Documentacion!$C$2:$C$1000,Documentacion!$A$2:$A$1000,$A971,Documentacion!$B$2:$B$1000,"&gt;="&amp;DATEVALUE($B971&amp;"-01"),Documentacion!$B$2:$B$1000,"&lt;="&amp;EOMONTH(DATEVALUE($B971&amp;"-01"),0)))-1)/4*100,"")</f>
        <v/>
      </c>
      <c r="W971" t="str">
        <f ca="1">IFERROR(((AVERAGEIFS(Feedback_360!$D$2:$D$1000,Feedback_360!$A$2:$A$1000,$A971,Feedback_360!$B$2:$B$1000,"&gt;="&amp;DATEVALUE($B971&amp;"-01"),Feedback_360!$B$2:$B$1000,"&lt;="&amp;EOMONTH(DATEVALUE($B971&amp;"-01"),0)))-1)/4*100,"")</f>
        <v/>
      </c>
      <c r="X971" t="str">
        <f ca="1">IFERROR(((AVERAGEIFS(Observacion_Directa!$D$2:$D$1000,Observacion_Directa!$A$2:$A$1000,$A971,Observacion_Directa!$B$2:$B$1000,"&gt;="&amp;DATEVALUE($B971&amp;"-01"),Observacion_Directa!$B$2:$B$1000,"&lt;="&amp;EOMONTH(DATEVALUE($B971&amp;"-01"),0)))-1)/4*100,"")</f>
        <v/>
      </c>
      <c r="Y971" t="e">
        <f t="shared" ca="1" si="31"/>
        <v>#DIV/0!</v>
      </c>
    </row>
    <row r="972" spans="12:25" x14ac:dyDescent="0.2">
      <c r="L972" t="str">
        <f t="shared" si="30"/>
        <v/>
      </c>
      <c r="M972" t="str">
        <f>IFERROR(AVERAGEIFS(Prod_5dias!$H$2:$H$1000,Prod_5dias!$A$2:$A$1000,$A972,Prod_5dias!$B$2:$B$1000,$B972),"")</f>
        <v/>
      </c>
      <c r="N972" t="str">
        <f>IF(M972="","",MIN(100,100*M972/Parametros!$B$7))</f>
        <v/>
      </c>
      <c r="O972" t="str">
        <f>IF(F972="","",IF(F972=0,100,MIN(100,100*Parametros!$B$3/F972)))</f>
        <v/>
      </c>
      <c r="P972" t="str">
        <f ca="1">IFERROR(((AVERAGEIFS(Observacion_Directa!$E$2:$E$1000,Observacion_Directa!$A$2:$A$1000,$A972,Observacion_Directa!$B$2:$B$1000,"&gt;="&amp;DATEVALUE($B972&amp;"-01"),Observacion_Directa!$B$2:$B$1000,"&lt;="&amp;EOMONTH(DATEVALUE($B972&amp;"-01"),0)))-1)/4*100,"")</f>
        <v/>
      </c>
      <c r="Q972" t="str">
        <f>IF(H972="","",MIN(100,100*H972/Parametros!$B$4))</f>
        <v/>
      </c>
      <c r="R972" t="str">
        <f>IF(I972="","",IF(I972=0,100,MIN(100,100*Parametros!$B$5/I972)))</f>
        <v/>
      </c>
      <c r="S972" t="str">
        <f>IF(J972="","",IF(J972=0,100,MIN(100,100*Parametros!$B$6/J972)))</f>
        <v/>
      </c>
      <c r="T972" t="str">
        <f>IF(L972="","",MIN(100,100*L972/Parametros!$B$7))</f>
        <v/>
      </c>
      <c r="U972" t="str">
        <f>IF(K972="","",MIN(100,100*K972/Parametros!$B$8))</f>
        <v/>
      </c>
      <c r="V972" t="str">
        <f ca="1">IFERROR(((AVERAGEIFS(Documentacion!$C$2:$C$1000,Documentacion!$A$2:$A$1000,$A972,Documentacion!$B$2:$B$1000,"&gt;="&amp;DATEVALUE($B972&amp;"-01"),Documentacion!$B$2:$B$1000,"&lt;="&amp;EOMONTH(DATEVALUE($B972&amp;"-01"),0)))-1)/4*100,"")</f>
        <v/>
      </c>
      <c r="W972" t="str">
        <f ca="1">IFERROR(((AVERAGEIFS(Feedback_360!$D$2:$D$1000,Feedback_360!$A$2:$A$1000,$A972,Feedback_360!$B$2:$B$1000,"&gt;="&amp;DATEVALUE($B972&amp;"-01"),Feedback_360!$B$2:$B$1000,"&lt;="&amp;EOMONTH(DATEVALUE($B972&amp;"-01"),0)))-1)/4*100,"")</f>
        <v/>
      </c>
      <c r="X972" t="str">
        <f ca="1">IFERROR(((AVERAGEIFS(Observacion_Directa!$D$2:$D$1000,Observacion_Directa!$A$2:$A$1000,$A972,Observacion_Directa!$B$2:$B$1000,"&gt;="&amp;DATEVALUE($B972&amp;"-01"),Observacion_Directa!$B$2:$B$1000,"&lt;="&amp;EOMONTH(DATEVALUE($B972&amp;"-01"),0)))-1)/4*100,"")</f>
        <v/>
      </c>
      <c r="Y972" t="e">
        <f t="shared" ca="1" si="31"/>
        <v>#DIV/0!</v>
      </c>
    </row>
    <row r="973" spans="12:25" x14ac:dyDescent="0.2">
      <c r="L973" t="str">
        <f t="shared" si="30"/>
        <v/>
      </c>
      <c r="M973" t="str">
        <f>IFERROR(AVERAGEIFS(Prod_5dias!$H$2:$H$1000,Prod_5dias!$A$2:$A$1000,$A973,Prod_5dias!$B$2:$B$1000,$B973),"")</f>
        <v/>
      </c>
      <c r="N973" t="str">
        <f>IF(M973="","",MIN(100,100*M973/Parametros!$B$7))</f>
        <v/>
      </c>
      <c r="O973" t="str">
        <f>IF(F973="","",IF(F973=0,100,MIN(100,100*Parametros!$B$3/F973)))</f>
        <v/>
      </c>
      <c r="P973" t="str">
        <f ca="1">IFERROR(((AVERAGEIFS(Observacion_Directa!$E$2:$E$1000,Observacion_Directa!$A$2:$A$1000,$A973,Observacion_Directa!$B$2:$B$1000,"&gt;="&amp;DATEVALUE($B973&amp;"-01"),Observacion_Directa!$B$2:$B$1000,"&lt;="&amp;EOMONTH(DATEVALUE($B973&amp;"-01"),0)))-1)/4*100,"")</f>
        <v/>
      </c>
      <c r="Q973" t="str">
        <f>IF(H973="","",MIN(100,100*H973/Parametros!$B$4))</f>
        <v/>
      </c>
      <c r="R973" t="str">
        <f>IF(I973="","",IF(I973=0,100,MIN(100,100*Parametros!$B$5/I973)))</f>
        <v/>
      </c>
      <c r="S973" t="str">
        <f>IF(J973="","",IF(J973=0,100,MIN(100,100*Parametros!$B$6/J973)))</f>
        <v/>
      </c>
      <c r="T973" t="str">
        <f>IF(L973="","",MIN(100,100*L973/Parametros!$B$7))</f>
        <v/>
      </c>
      <c r="U973" t="str">
        <f>IF(K973="","",MIN(100,100*K973/Parametros!$B$8))</f>
        <v/>
      </c>
      <c r="V973" t="str">
        <f ca="1">IFERROR(((AVERAGEIFS(Documentacion!$C$2:$C$1000,Documentacion!$A$2:$A$1000,$A973,Documentacion!$B$2:$B$1000,"&gt;="&amp;DATEVALUE($B973&amp;"-01"),Documentacion!$B$2:$B$1000,"&lt;="&amp;EOMONTH(DATEVALUE($B973&amp;"-01"),0)))-1)/4*100,"")</f>
        <v/>
      </c>
      <c r="W973" t="str">
        <f ca="1">IFERROR(((AVERAGEIFS(Feedback_360!$D$2:$D$1000,Feedback_360!$A$2:$A$1000,$A973,Feedback_360!$B$2:$B$1000,"&gt;="&amp;DATEVALUE($B973&amp;"-01"),Feedback_360!$B$2:$B$1000,"&lt;="&amp;EOMONTH(DATEVALUE($B973&amp;"-01"),0)))-1)/4*100,"")</f>
        <v/>
      </c>
      <c r="X973" t="str">
        <f ca="1">IFERROR(((AVERAGEIFS(Observacion_Directa!$D$2:$D$1000,Observacion_Directa!$A$2:$A$1000,$A973,Observacion_Directa!$B$2:$B$1000,"&gt;="&amp;DATEVALUE($B973&amp;"-01"),Observacion_Directa!$B$2:$B$1000,"&lt;="&amp;EOMONTH(DATEVALUE($B973&amp;"-01"),0)))-1)/4*100,"")</f>
        <v/>
      </c>
      <c r="Y973" t="e">
        <f t="shared" ca="1" si="31"/>
        <v>#DIV/0!</v>
      </c>
    </row>
    <row r="974" spans="12:25" x14ac:dyDescent="0.2">
      <c r="L974" t="str">
        <f t="shared" si="30"/>
        <v/>
      </c>
      <c r="M974" t="str">
        <f>IFERROR(AVERAGEIFS(Prod_5dias!$H$2:$H$1000,Prod_5dias!$A$2:$A$1000,$A974,Prod_5dias!$B$2:$B$1000,$B974),"")</f>
        <v/>
      </c>
      <c r="N974" t="str">
        <f>IF(M974="","",MIN(100,100*M974/Parametros!$B$7))</f>
        <v/>
      </c>
      <c r="O974" t="str">
        <f>IF(F974="","",IF(F974=0,100,MIN(100,100*Parametros!$B$3/F974)))</f>
        <v/>
      </c>
      <c r="P974" t="str">
        <f ca="1">IFERROR(((AVERAGEIFS(Observacion_Directa!$E$2:$E$1000,Observacion_Directa!$A$2:$A$1000,$A974,Observacion_Directa!$B$2:$B$1000,"&gt;="&amp;DATEVALUE($B974&amp;"-01"),Observacion_Directa!$B$2:$B$1000,"&lt;="&amp;EOMONTH(DATEVALUE($B974&amp;"-01"),0)))-1)/4*100,"")</f>
        <v/>
      </c>
      <c r="Q974" t="str">
        <f>IF(H974="","",MIN(100,100*H974/Parametros!$B$4))</f>
        <v/>
      </c>
      <c r="R974" t="str">
        <f>IF(I974="","",IF(I974=0,100,MIN(100,100*Parametros!$B$5/I974)))</f>
        <v/>
      </c>
      <c r="S974" t="str">
        <f>IF(J974="","",IF(J974=0,100,MIN(100,100*Parametros!$B$6/J974)))</f>
        <v/>
      </c>
      <c r="T974" t="str">
        <f>IF(L974="","",MIN(100,100*L974/Parametros!$B$7))</f>
        <v/>
      </c>
      <c r="U974" t="str">
        <f>IF(K974="","",MIN(100,100*K974/Parametros!$B$8))</f>
        <v/>
      </c>
      <c r="V974" t="str">
        <f ca="1">IFERROR(((AVERAGEIFS(Documentacion!$C$2:$C$1000,Documentacion!$A$2:$A$1000,$A974,Documentacion!$B$2:$B$1000,"&gt;="&amp;DATEVALUE($B974&amp;"-01"),Documentacion!$B$2:$B$1000,"&lt;="&amp;EOMONTH(DATEVALUE($B974&amp;"-01"),0)))-1)/4*100,"")</f>
        <v/>
      </c>
      <c r="W974" t="str">
        <f ca="1">IFERROR(((AVERAGEIFS(Feedback_360!$D$2:$D$1000,Feedback_360!$A$2:$A$1000,$A974,Feedback_360!$B$2:$B$1000,"&gt;="&amp;DATEVALUE($B974&amp;"-01"),Feedback_360!$B$2:$B$1000,"&lt;="&amp;EOMONTH(DATEVALUE($B974&amp;"-01"),0)))-1)/4*100,"")</f>
        <v/>
      </c>
      <c r="X974" t="str">
        <f ca="1">IFERROR(((AVERAGEIFS(Observacion_Directa!$D$2:$D$1000,Observacion_Directa!$A$2:$A$1000,$A974,Observacion_Directa!$B$2:$B$1000,"&gt;="&amp;DATEVALUE($B974&amp;"-01"),Observacion_Directa!$B$2:$B$1000,"&lt;="&amp;EOMONTH(DATEVALUE($B974&amp;"-01"),0)))-1)/4*100,"")</f>
        <v/>
      </c>
      <c r="Y974" t="e">
        <f t="shared" ca="1" si="31"/>
        <v>#DIV/0!</v>
      </c>
    </row>
    <row r="975" spans="12:25" x14ac:dyDescent="0.2">
      <c r="L975" t="str">
        <f t="shared" si="30"/>
        <v/>
      </c>
      <c r="M975" t="str">
        <f>IFERROR(AVERAGEIFS(Prod_5dias!$H$2:$H$1000,Prod_5dias!$A$2:$A$1000,$A975,Prod_5dias!$B$2:$B$1000,$B975),"")</f>
        <v/>
      </c>
      <c r="N975" t="str">
        <f>IF(M975="","",MIN(100,100*M975/Parametros!$B$7))</f>
        <v/>
      </c>
      <c r="O975" t="str">
        <f>IF(F975="","",IF(F975=0,100,MIN(100,100*Parametros!$B$3/F975)))</f>
        <v/>
      </c>
      <c r="P975" t="str">
        <f ca="1">IFERROR(((AVERAGEIFS(Observacion_Directa!$E$2:$E$1000,Observacion_Directa!$A$2:$A$1000,$A975,Observacion_Directa!$B$2:$B$1000,"&gt;="&amp;DATEVALUE($B975&amp;"-01"),Observacion_Directa!$B$2:$B$1000,"&lt;="&amp;EOMONTH(DATEVALUE($B975&amp;"-01"),0)))-1)/4*100,"")</f>
        <v/>
      </c>
      <c r="Q975" t="str">
        <f>IF(H975="","",MIN(100,100*H975/Parametros!$B$4))</f>
        <v/>
      </c>
      <c r="R975" t="str">
        <f>IF(I975="","",IF(I975=0,100,MIN(100,100*Parametros!$B$5/I975)))</f>
        <v/>
      </c>
      <c r="S975" t="str">
        <f>IF(J975="","",IF(J975=0,100,MIN(100,100*Parametros!$B$6/J975)))</f>
        <v/>
      </c>
      <c r="T975" t="str">
        <f>IF(L975="","",MIN(100,100*L975/Parametros!$B$7))</f>
        <v/>
      </c>
      <c r="U975" t="str">
        <f>IF(K975="","",MIN(100,100*K975/Parametros!$B$8))</f>
        <v/>
      </c>
      <c r="V975" t="str">
        <f ca="1">IFERROR(((AVERAGEIFS(Documentacion!$C$2:$C$1000,Documentacion!$A$2:$A$1000,$A975,Documentacion!$B$2:$B$1000,"&gt;="&amp;DATEVALUE($B975&amp;"-01"),Documentacion!$B$2:$B$1000,"&lt;="&amp;EOMONTH(DATEVALUE($B975&amp;"-01"),0)))-1)/4*100,"")</f>
        <v/>
      </c>
      <c r="W975" t="str">
        <f ca="1">IFERROR(((AVERAGEIFS(Feedback_360!$D$2:$D$1000,Feedback_360!$A$2:$A$1000,$A975,Feedback_360!$B$2:$B$1000,"&gt;="&amp;DATEVALUE($B975&amp;"-01"),Feedback_360!$B$2:$B$1000,"&lt;="&amp;EOMONTH(DATEVALUE($B975&amp;"-01"),0)))-1)/4*100,"")</f>
        <v/>
      </c>
      <c r="X975" t="str">
        <f ca="1">IFERROR(((AVERAGEIFS(Observacion_Directa!$D$2:$D$1000,Observacion_Directa!$A$2:$A$1000,$A975,Observacion_Directa!$B$2:$B$1000,"&gt;="&amp;DATEVALUE($B975&amp;"-01"),Observacion_Directa!$B$2:$B$1000,"&lt;="&amp;EOMONTH(DATEVALUE($B975&amp;"-01"),0)))-1)/4*100,"")</f>
        <v/>
      </c>
      <c r="Y975" t="e">
        <f t="shared" ca="1" si="31"/>
        <v>#DIV/0!</v>
      </c>
    </row>
    <row r="976" spans="12:25" x14ac:dyDescent="0.2">
      <c r="L976" t="str">
        <f t="shared" si="30"/>
        <v/>
      </c>
      <c r="M976" t="str">
        <f>IFERROR(AVERAGEIFS(Prod_5dias!$H$2:$H$1000,Prod_5dias!$A$2:$A$1000,$A976,Prod_5dias!$B$2:$B$1000,$B976),"")</f>
        <v/>
      </c>
      <c r="N976" t="str">
        <f>IF(M976="","",MIN(100,100*M976/Parametros!$B$7))</f>
        <v/>
      </c>
      <c r="O976" t="str">
        <f>IF(F976="","",IF(F976=0,100,MIN(100,100*Parametros!$B$3/F976)))</f>
        <v/>
      </c>
      <c r="P976" t="str">
        <f ca="1">IFERROR(((AVERAGEIFS(Observacion_Directa!$E$2:$E$1000,Observacion_Directa!$A$2:$A$1000,$A976,Observacion_Directa!$B$2:$B$1000,"&gt;="&amp;DATEVALUE($B976&amp;"-01"),Observacion_Directa!$B$2:$B$1000,"&lt;="&amp;EOMONTH(DATEVALUE($B976&amp;"-01"),0)))-1)/4*100,"")</f>
        <v/>
      </c>
      <c r="Q976" t="str">
        <f>IF(H976="","",MIN(100,100*H976/Parametros!$B$4))</f>
        <v/>
      </c>
      <c r="R976" t="str">
        <f>IF(I976="","",IF(I976=0,100,MIN(100,100*Parametros!$B$5/I976)))</f>
        <v/>
      </c>
      <c r="S976" t="str">
        <f>IF(J976="","",IF(J976=0,100,MIN(100,100*Parametros!$B$6/J976)))</f>
        <v/>
      </c>
      <c r="T976" t="str">
        <f>IF(L976="","",MIN(100,100*L976/Parametros!$B$7))</f>
        <v/>
      </c>
      <c r="U976" t="str">
        <f>IF(K976="","",MIN(100,100*K976/Parametros!$B$8))</f>
        <v/>
      </c>
      <c r="V976" t="str">
        <f ca="1">IFERROR(((AVERAGEIFS(Documentacion!$C$2:$C$1000,Documentacion!$A$2:$A$1000,$A976,Documentacion!$B$2:$B$1000,"&gt;="&amp;DATEVALUE($B976&amp;"-01"),Documentacion!$B$2:$B$1000,"&lt;="&amp;EOMONTH(DATEVALUE($B976&amp;"-01"),0)))-1)/4*100,"")</f>
        <v/>
      </c>
      <c r="W976" t="str">
        <f ca="1">IFERROR(((AVERAGEIFS(Feedback_360!$D$2:$D$1000,Feedback_360!$A$2:$A$1000,$A976,Feedback_360!$B$2:$B$1000,"&gt;="&amp;DATEVALUE($B976&amp;"-01"),Feedback_360!$B$2:$B$1000,"&lt;="&amp;EOMONTH(DATEVALUE($B976&amp;"-01"),0)))-1)/4*100,"")</f>
        <v/>
      </c>
      <c r="X976" t="str">
        <f ca="1">IFERROR(((AVERAGEIFS(Observacion_Directa!$D$2:$D$1000,Observacion_Directa!$A$2:$A$1000,$A976,Observacion_Directa!$B$2:$B$1000,"&gt;="&amp;DATEVALUE($B976&amp;"-01"),Observacion_Directa!$B$2:$B$1000,"&lt;="&amp;EOMONTH(DATEVALUE($B976&amp;"-01"),0)))-1)/4*100,"")</f>
        <v/>
      </c>
      <c r="Y976" t="e">
        <f t="shared" ca="1" si="31"/>
        <v>#DIV/0!</v>
      </c>
    </row>
    <row r="977" spans="12:25" x14ac:dyDescent="0.2">
      <c r="L977" t="str">
        <f t="shared" si="30"/>
        <v/>
      </c>
      <c r="M977" t="str">
        <f>IFERROR(AVERAGEIFS(Prod_5dias!$H$2:$H$1000,Prod_5dias!$A$2:$A$1000,$A977,Prod_5dias!$B$2:$B$1000,$B977),"")</f>
        <v/>
      </c>
      <c r="N977" t="str">
        <f>IF(M977="","",MIN(100,100*M977/Parametros!$B$7))</f>
        <v/>
      </c>
      <c r="O977" t="str">
        <f>IF(F977="","",IF(F977=0,100,MIN(100,100*Parametros!$B$3/F977)))</f>
        <v/>
      </c>
      <c r="P977" t="str">
        <f ca="1">IFERROR(((AVERAGEIFS(Observacion_Directa!$E$2:$E$1000,Observacion_Directa!$A$2:$A$1000,$A977,Observacion_Directa!$B$2:$B$1000,"&gt;="&amp;DATEVALUE($B977&amp;"-01"),Observacion_Directa!$B$2:$B$1000,"&lt;="&amp;EOMONTH(DATEVALUE($B977&amp;"-01"),0)))-1)/4*100,"")</f>
        <v/>
      </c>
      <c r="Q977" t="str">
        <f>IF(H977="","",MIN(100,100*H977/Parametros!$B$4))</f>
        <v/>
      </c>
      <c r="R977" t="str">
        <f>IF(I977="","",IF(I977=0,100,MIN(100,100*Parametros!$B$5/I977)))</f>
        <v/>
      </c>
      <c r="S977" t="str">
        <f>IF(J977="","",IF(J977=0,100,MIN(100,100*Parametros!$B$6/J977)))</f>
        <v/>
      </c>
      <c r="T977" t="str">
        <f>IF(L977="","",MIN(100,100*L977/Parametros!$B$7))</f>
        <v/>
      </c>
      <c r="U977" t="str">
        <f>IF(K977="","",MIN(100,100*K977/Parametros!$B$8))</f>
        <v/>
      </c>
      <c r="V977" t="str">
        <f ca="1">IFERROR(((AVERAGEIFS(Documentacion!$C$2:$C$1000,Documentacion!$A$2:$A$1000,$A977,Documentacion!$B$2:$B$1000,"&gt;="&amp;DATEVALUE($B977&amp;"-01"),Documentacion!$B$2:$B$1000,"&lt;="&amp;EOMONTH(DATEVALUE($B977&amp;"-01"),0)))-1)/4*100,"")</f>
        <v/>
      </c>
      <c r="W977" t="str">
        <f ca="1">IFERROR(((AVERAGEIFS(Feedback_360!$D$2:$D$1000,Feedback_360!$A$2:$A$1000,$A977,Feedback_360!$B$2:$B$1000,"&gt;="&amp;DATEVALUE($B977&amp;"-01"),Feedback_360!$B$2:$B$1000,"&lt;="&amp;EOMONTH(DATEVALUE($B977&amp;"-01"),0)))-1)/4*100,"")</f>
        <v/>
      </c>
      <c r="X977" t="str">
        <f ca="1">IFERROR(((AVERAGEIFS(Observacion_Directa!$D$2:$D$1000,Observacion_Directa!$A$2:$A$1000,$A977,Observacion_Directa!$B$2:$B$1000,"&gt;="&amp;DATEVALUE($B977&amp;"-01"),Observacion_Directa!$B$2:$B$1000,"&lt;="&amp;EOMONTH(DATEVALUE($B977&amp;"-01"),0)))-1)/4*100,"")</f>
        <v/>
      </c>
      <c r="Y977" t="e">
        <f t="shared" ca="1" si="31"/>
        <v>#DIV/0!</v>
      </c>
    </row>
    <row r="978" spans="12:25" x14ac:dyDescent="0.2">
      <c r="L978" t="str">
        <f t="shared" si="30"/>
        <v/>
      </c>
      <c r="M978" t="str">
        <f>IFERROR(AVERAGEIFS(Prod_5dias!$H$2:$H$1000,Prod_5dias!$A$2:$A$1000,$A978,Prod_5dias!$B$2:$B$1000,$B978),"")</f>
        <v/>
      </c>
      <c r="N978" t="str">
        <f>IF(M978="","",MIN(100,100*M978/Parametros!$B$7))</f>
        <v/>
      </c>
      <c r="O978" t="str">
        <f>IF(F978="","",IF(F978=0,100,MIN(100,100*Parametros!$B$3/F978)))</f>
        <v/>
      </c>
      <c r="P978" t="str">
        <f ca="1">IFERROR(((AVERAGEIFS(Observacion_Directa!$E$2:$E$1000,Observacion_Directa!$A$2:$A$1000,$A978,Observacion_Directa!$B$2:$B$1000,"&gt;="&amp;DATEVALUE($B978&amp;"-01"),Observacion_Directa!$B$2:$B$1000,"&lt;="&amp;EOMONTH(DATEVALUE($B978&amp;"-01"),0)))-1)/4*100,"")</f>
        <v/>
      </c>
      <c r="Q978" t="str">
        <f>IF(H978="","",MIN(100,100*H978/Parametros!$B$4))</f>
        <v/>
      </c>
      <c r="R978" t="str">
        <f>IF(I978="","",IF(I978=0,100,MIN(100,100*Parametros!$B$5/I978)))</f>
        <v/>
      </c>
      <c r="S978" t="str">
        <f>IF(J978="","",IF(J978=0,100,MIN(100,100*Parametros!$B$6/J978)))</f>
        <v/>
      </c>
      <c r="T978" t="str">
        <f>IF(L978="","",MIN(100,100*L978/Parametros!$B$7))</f>
        <v/>
      </c>
      <c r="U978" t="str">
        <f>IF(K978="","",MIN(100,100*K978/Parametros!$B$8))</f>
        <v/>
      </c>
      <c r="V978" t="str">
        <f ca="1">IFERROR(((AVERAGEIFS(Documentacion!$C$2:$C$1000,Documentacion!$A$2:$A$1000,$A978,Documentacion!$B$2:$B$1000,"&gt;="&amp;DATEVALUE($B978&amp;"-01"),Documentacion!$B$2:$B$1000,"&lt;="&amp;EOMONTH(DATEVALUE($B978&amp;"-01"),0)))-1)/4*100,"")</f>
        <v/>
      </c>
      <c r="W978" t="str">
        <f ca="1">IFERROR(((AVERAGEIFS(Feedback_360!$D$2:$D$1000,Feedback_360!$A$2:$A$1000,$A978,Feedback_360!$B$2:$B$1000,"&gt;="&amp;DATEVALUE($B978&amp;"-01"),Feedback_360!$B$2:$B$1000,"&lt;="&amp;EOMONTH(DATEVALUE($B978&amp;"-01"),0)))-1)/4*100,"")</f>
        <v/>
      </c>
      <c r="X978" t="str">
        <f ca="1">IFERROR(((AVERAGEIFS(Observacion_Directa!$D$2:$D$1000,Observacion_Directa!$A$2:$A$1000,$A978,Observacion_Directa!$B$2:$B$1000,"&gt;="&amp;DATEVALUE($B978&amp;"-01"),Observacion_Directa!$B$2:$B$1000,"&lt;="&amp;EOMONTH(DATEVALUE($B978&amp;"-01"),0)))-1)/4*100,"")</f>
        <v/>
      </c>
      <c r="Y978" t="e">
        <f t="shared" ca="1" si="31"/>
        <v>#DIV/0!</v>
      </c>
    </row>
    <row r="979" spans="12:25" x14ac:dyDescent="0.2">
      <c r="L979" t="str">
        <f t="shared" si="30"/>
        <v/>
      </c>
      <c r="M979" t="str">
        <f>IFERROR(AVERAGEIFS(Prod_5dias!$H$2:$H$1000,Prod_5dias!$A$2:$A$1000,$A979,Prod_5dias!$B$2:$B$1000,$B979),"")</f>
        <v/>
      </c>
      <c r="N979" t="str">
        <f>IF(M979="","",MIN(100,100*M979/Parametros!$B$7))</f>
        <v/>
      </c>
      <c r="O979" t="str">
        <f>IF(F979="","",IF(F979=0,100,MIN(100,100*Parametros!$B$3/F979)))</f>
        <v/>
      </c>
      <c r="P979" t="str">
        <f ca="1">IFERROR(((AVERAGEIFS(Observacion_Directa!$E$2:$E$1000,Observacion_Directa!$A$2:$A$1000,$A979,Observacion_Directa!$B$2:$B$1000,"&gt;="&amp;DATEVALUE($B979&amp;"-01"),Observacion_Directa!$B$2:$B$1000,"&lt;="&amp;EOMONTH(DATEVALUE($B979&amp;"-01"),0)))-1)/4*100,"")</f>
        <v/>
      </c>
      <c r="Q979" t="str">
        <f>IF(H979="","",MIN(100,100*H979/Parametros!$B$4))</f>
        <v/>
      </c>
      <c r="R979" t="str">
        <f>IF(I979="","",IF(I979=0,100,MIN(100,100*Parametros!$B$5/I979)))</f>
        <v/>
      </c>
      <c r="S979" t="str">
        <f>IF(J979="","",IF(J979=0,100,MIN(100,100*Parametros!$B$6/J979)))</f>
        <v/>
      </c>
      <c r="T979" t="str">
        <f>IF(L979="","",MIN(100,100*L979/Parametros!$B$7))</f>
        <v/>
      </c>
      <c r="U979" t="str">
        <f>IF(K979="","",MIN(100,100*K979/Parametros!$B$8))</f>
        <v/>
      </c>
      <c r="V979" t="str">
        <f ca="1">IFERROR(((AVERAGEIFS(Documentacion!$C$2:$C$1000,Documentacion!$A$2:$A$1000,$A979,Documentacion!$B$2:$B$1000,"&gt;="&amp;DATEVALUE($B979&amp;"-01"),Documentacion!$B$2:$B$1000,"&lt;="&amp;EOMONTH(DATEVALUE($B979&amp;"-01"),0)))-1)/4*100,"")</f>
        <v/>
      </c>
      <c r="W979" t="str">
        <f ca="1">IFERROR(((AVERAGEIFS(Feedback_360!$D$2:$D$1000,Feedback_360!$A$2:$A$1000,$A979,Feedback_360!$B$2:$B$1000,"&gt;="&amp;DATEVALUE($B979&amp;"-01"),Feedback_360!$B$2:$B$1000,"&lt;="&amp;EOMONTH(DATEVALUE($B979&amp;"-01"),0)))-1)/4*100,"")</f>
        <v/>
      </c>
      <c r="X979" t="str">
        <f ca="1">IFERROR(((AVERAGEIFS(Observacion_Directa!$D$2:$D$1000,Observacion_Directa!$A$2:$A$1000,$A979,Observacion_Directa!$B$2:$B$1000,"&gt;="&amp;DATEVALUE($B979&amp;"-01"),Observacion_Directa!$B$2:$B$1000,"&lt;="&amp;EOMONTH(DATEVALUE($B979&amp;"-01"),0)))-1)/4*100,"")</f>
        <v/>
      </c>
      <c r="Y979" t="e">
        <f t="shared" ca="1" si="31"/>
        <v>#DIV/0!</v>
      </c>
    </row>
    <row r="980" spans="12:25" x14ac:dyDescent="0.2">
      <c r="L980" t="str">
        <f t="shared" si="30"/>
        <v/>
      </c>
      <c r="M980" t="str">
        <f>IFERROR(AVERAGEIFS(Prod_5dias!$H$2:$H$1000,Prod_5dias!$A$2:$A$1000,$A980,Prod_5dias!$B$2:$B$1000,$B980),"")</f>
        <v/>
      </c>
      <c r="N980" t="str">
        <f>IF(M980="","",MIN(100,100*M980/Parametros!$B$7))</f>
        <v/>
      </c>
      <c r="O980" t="str">
        <f>IF(F980="","",IF(F980=0,100,MIN(100,100*Parametros!$B$3/F980)))</f>
        <v/>
      </c>
      <c r="P980" t="str">
        <f ca="1">IFERROR(((AVERAGEIFS(Observacion_Directa!$E$2:$E$1000,Observacion_Directa!$A$2:$A$1000,$A980,Observacion_Directa!$B$2:$B$1000,"&gt;="&amp;DATEVALUE($B980&amp;"-01"),Observacion_Directa!$B$2:$B$1000,"&lt;="&amp;EOMONTH(DATEVALUE($B980&amp;"-01"),0)))-1)/4*100,"")</f>
        <v/>
      </c>
      <c r="Q980" t="str">
        <f>IF(H980="","",MIN(100,100*H980/Parametros!$B$4))</f>
        <v/>
      </c>
      <c r="R980" t="str">
        <f>IF(I980="","",IF(I980=0,100,MIN(100,100*Parametros!$B$5/I980)))</f>
        <v/>
      </c>
      <c r="S980" t="str">
        <f>IF(J980="","",IF(J980=0,100,MIN(100,100*Parametros!$B$6/J980)))</f>
        <v/>
      </c>
      <c r="T980" t="str">
        <f>IF(L980="","",MIN(100,100*L980/Parametros!$B$7))</f>
        <v/>
      </c>
      <c r="U980" t="str">
        <f>IF(K980="","",MIN(100,100*K980/Parametros!$B$8))</f>
        <v/>
      </c>
      <c r="V980" t="str">
        <f ca="1">IFERROR(((AVERAGEIFS(Documentacion!$C$2:$C$1000,Documentacion!$A$2:$A$1000,$A980,Documentacion!$B$2:$B$1000,"&gt;="&amp;DATEVALUE($B980&amp;"-01"),Documentacion!$B$2:$B$1000,"&lt;="&amp;EOMONTH(DATEVALUE($B980&amp;"-01"),0)))-1)/4*100,"")</f>
        <v/>
      </c>
      <c r="W980" t="str">
        <f ca="1">IFERROR(((AVERAGEIFS(Feedback_360!$D$2:$D$1000,Feedback_360!$A$2:$A$1000,$A980,Feedback_360!$B$2:$B$1000,"&gt;="&amp;DATEVALUE($B980&amp;"-01"),Feedback_360!$B$2:$B$1000,"&lt;="&amp;EOMONTH(DATEVALUE($B980&amp;"-01"),0)))-1)/4*100,"")</f>
        <v/>
      </c>
      <c r="X980" t="str">
        <f ca="1">IFERROR(((AVERAGEIFS(Observacion_Directa!$D$2:$D$1000,Observacion_Directa!$A$2:$A$1000,$A980,Observacion_Directa!$B$2:$B$1000,"&gt;="&amp;DATEVALUE($B980&amp;"-01"),Observacion_Directa!$B$2:$B$1000,"&lt;="&amp;EOMONTH(DATEVALUE($B980&amp;"-01"),0)))-1)/4*100,"")</f>
        <v/>
      </c>
      <c r="Y980" t="e">
        <f t="shared" ca="1" si="31"/>
        <v>#DIV/0!</v>
      </c>
    </row>
    <row r="981" spans="12:25" x14ac:dyDescent="0.2">
      <c r="L981" t="str">
        <f t="shared" si="30"/>
        <v/>
      </c>
      <c r="M981" t="str">
        <f>IFERROR(AVERAGEIFS(Prod_5dias!$H$2:$H$1000,Prod_5dias!$A$2:$A$1000,$A981,Prod_5dias!$B$2:$B$1000,$B981),"")</f>
        <v/>
      </c>
      <c r="N981" t="str">
        <f>IF(M981="","",MIN(100,100*M981/Parametros!$B$7))</f>
        <v/>
      </c>
      <c r="O981" t="str">
        <f>IF(F981="","",IF(F981=0,100,MIN(100,100*Parametros!$B$3/F981)))</f>
        <v/>
      </c>
      <c r="P981" t="str">
        <f ca="1">IFERROR(((AVERAGEIFS(Observacion_Directa!$E$2:$E$1000,Observacion_Directa!$A$2:$A$1000,$A981,Observacion_Directa!$B$2:$B$1000,"&gt;="&amp;DATEVALUE($B981&amp;"-01"),Observacion_Directa!$B$2:$B$1000,"&lt;="&amp;EOMONTH(DATEVALUE($B981&amp;"-01"),0)))-1)/4*100,"")</f>
        <v/>
      </c>
      <c r="Q981" t="str">
        <f>IF(H981="","",MIN(100,100*H981/Parametros!$B$4))</f>
        <v/>
      </c>
      <c r="R981" t="str">
        <f>IF(I981="","",IF(I981=0,100,MIN(100,100*Parametros!$B$5/I981)))</f>
        <v/>
      </c>
      <c r="S981" t="str">
        <f>IF(J981="","",IF(J981=0,100,MIN(100,100*Parametros!$B$6/J981)))</f>
        <v/>
      </c>
      <c r="T981" t="str">
        <f>IF(L981="","",MIN(100,100*L981/Parametros!$B$7))</f>
        <v/>
      </c>
      <c r="U981" t="str">
        <f>IF(K981="","",MIN(100,100*K981/Parametros!$B$8))</f>
        <v/>
      </c>
      <c r="V981" t="str">
        <f ca="1">IFERROR(((AVERAGEIFS(Documentacion!$C$2:$C$1000,Documentacion!$A$2:$A$1000,$A981,Documentacion!$B$2:$B$1000,"&gt;="&amp;DATEVALUE($B981&amp;"-01"),Documentacion!$B$2:$B$1000,"&lt;="&amp;EOMONTH(DATEVALUE($B981&amp;"-01"),0)))-1)/4*100,"")</f>
        <v/>
      </c>
      <c r="W981" t="str">
        <f ca="1">IFERROR(((AVERAGEIFS(Feedback_360!$D$2:$D$1000,Feedback_360!$A$2:$A$1000,$A981,Feedback_360!$B$2:$B$1000,"&gt;="&amp;DATEVALUE($B981&amp;"-01"),Feedback_360!$B$2:$B$1000,"&lt;="&amp;EOMONTH(DATEVALUE($B981&amp;"-01"),0)))-1)/4*100,"")</f>
        <v/>
      </c>
      <c r="X981" t="str">
        <f ca="1">IFERROR(((AVERAGEIFS(Observacion_Directa!$D$2:$D$1000,Observacion_Directa!$A$2:$A$1000,$A981,Observacion_Directa!$B$2:$B$1000,"&gt;="&amp;DATEVALUE($B981&amp;"-01"),Observacion_Directa!$B$2:$B$1000,"&lt;="&amp;EOMONTH(DATEVALUE($B981&amp;"-01"),0)))-1)/4*100,"")</f>
        <v/>
      </c>
      <c r="Y981" t="e">
        <f t="shared" ca="1" si="31"/>
        <v>#DIV/0!</v>
      </c>
    </row>
    <row r="982" spans="12:25" x14ac:dyDescent="0.2">
      <c r="L982" t="str">
        <f t="shared" si="30"/>
        <v/>
      </c>
      <c r="M982" t="str">
        <f>IFERROR(AVERAGEIFS(Prod_5dias!$H$2:$H$1000,Prod_5dias!$A$2:$A$1000,$A982,Prod_5dias!$B$2:$B$1000,$B982),"")</f>
        <v/>
      </c>
      <c r="N982" t="str">
        <f>IF(M982="","",MIN(100,100*M982/Parametros!$B$7))</f>
        <v/>
      </c>
      <c r="O982" t="str">
        <f>IF(F982="","",IF(F982=0,100,MIN(100,100*Parametros!$B$3/F982)))</f>
        <v/>
      </c>
      <c r="P982" t="str">
        <f ca="1">IFERROR(((AVERAGEIFS(Observacion_Directa!$E$2:$E$1000,Observacion_Directa!$A$2:$A$1000,$A982,Observacion_Directa!$B$2:$B$1000,"&gt;="&amp;DATEVALUE($B982&amp;"-01"),Observacion_Directa!$B$2:$B$1000,"&lt;="&amp;EOMONTH(DATEVALUE($B982&amp;"-01"),0)))-1)/4*100,"")</f>
        <v/>
      </c>
      <c r="Q982" t="str">
        <f>IF(H982="","",MIN(100,100*H982/Parametros!$B$4))</f>
        <v/>
      </c>
      <c r="R982" t="str">
        <f>IF(I982="","",IF(I982=0,100,MIN(100,100*Parametros!$B$5/I982)))</f>
        <v/>
      </c>
      <c r="S982" t="str">
        <f>IF(J982="","",IF(J982=0,100,MIN(100,100*Parametros!$B$6/J982)))</f>
        <v/>
      </c>
      <c r="T982" t="str">
        <f>IF(L982="","",MIN(100,100*L982/Parametros!$B$7))</f>
        <v/>
      </c>
      <c r="U982" t="str">
        <f>IF(K982="","",MIN(100,100*K982/Parametros!$B$8))</f>
        <v/>
      </c>
      <c r="V982" t="str">
        <f ca="1">IFERROR(((AVERAGEIFS(Documentacion!$C$2:$C$1000,Documentacion!$A$2:$A$1000,$A982,Documentacion!$B$2:$B$1000,"&gt;="&amp;DATEVALUE($B982&amp;"-01"),Documentacion!$B$2:$B$1000,"&lt;="&amp;EOMONTH(DATEVALUE($B982&amp;"-01"),0)))-1)/4*100,"")</f>
        <v/>
      </c>
      <c r="W982" t="str">
        <f ca="1">IFERROR(((AVERAGEIFS(Feedback_360!$D$2:$D$1000,Feedback_360!$A$2:$A$1000,$A982,Feedback_360!$B$2:$B$1000,"&gt;="&amp;DATEVALUE($B982&amp;"-01"),Feedback_360!$B$2:$B$1000,"&lt;="&amp;EOMONTH(DATEVALUE($B982&amp;"-01"),0)))-1)/4*100,"")</f>
        <v/>
      </c>
      <c r="X982" t="str">
        <f ca="1">IFERROR(((AVERAGEIFS(Observacion_Directa!$D$2:$D$1000,Observacion_Directa!$A$2:$A$1000,$A982,Observacion_Directa!$B$2:$B$1000,"&gt;="&amp;DATEVALUE($B982&amp;"-01"),Observacion_Directa!$B$2:$B$1000,"&lt;="&amp;EOMONTH(DATEVALUE($B982&amp;"-01"),0)))-1)/4*100,"")</f>
        <v/>
      </c>
      <c r="Y982" t="e">
        <f t="shared" ca="1" si="31"/>
        <v>#DIV/0!</v>
      </c>
    </row>
    <row r="983" spans="12:25" x14ac:dyDescent="0.2">
      <c r="L983" t="str">
        <f t="shared" si="30"/>
        <v/>
      </c>
      <c r="M983" t="str">
        <f>IFERROR(AVERAGEIFS(Prod_5dias!$H$2:$H$1000,Prod_5dias!$A$2:$A$1000,$A983,Prod_5dias!$B$2:$B$1000,$B983),"")</f>
        <v/>
      </c>
      <c r="N983" t="str">
        <f>IF(M983="","",MIN(100,100*M983/Parametros!$B$7))</f>
        <v/>
      </c>
      <c r="O983" t="str">
        <f>IF(F983="","",IF(F983=0,100,MIN(100,100*Parametros!$B$3/F983)))</f>
        <v/>
      </c>
      <c r="P983" t="str">
        <f ca="1">IFERROR(((AVERAGEIFS(Observacion_Directa!$E$2:$E$1000,Observacion_Directa!$A$2:$A$1000,$A983,Observacion_Directa!$B$2:$B$1000,"&gt;="&amp;DATEVALUE($B983&amp;"-01"),Observacion_Directa!$B$2:$B$1000,"&lt;="&amp;EOMONTH(DATEVALUE($B983&amp;"-01"),0)))-1)/4*100,"")</f>
        <v/>
      </c>
      <c r="Q983" t="str">
        <f>IF(H983="","",MIN(100,100*H983/Parametros!$B$4))</f>
        <v/>
      </c>
      <c r="R983" t="str">
        <f>IF(I983="","",IF(I983=0,100,MIN(100,100*Parametros!$B$5/I983)))</f>
        <v/>
      </c>
      <c r="S983" t="str">
        <f>IF(J983="","",IF(J983=0,100,MIN(100,100*Parametros!$B$6/J983)))</f>
        <v/>
      </c>
      <c r="T983" t="str">
        <f>IF(L983="","",MIN(100,100*L983/Parametros!$B$7))</f>
        <v/>
      </c>
      <c r="U983" t="str">
        <f>IF(K983="","",MIN(100,100*K983/Parametros!$B$8))</f>
        <v/>
      </c>
      <c r="V983" t="str">
        <f ca="1">IFERROR(((AVERAGEIFS(Documentacion!$C$2:$C$1000,Documentacion!$A$2:$A$1000,$A983,Documentacion!$B$2:$B$1000,"&gt;="&amp;DATEVALUE($B983&amp;"-01"),Documentacion!$B$2:$B$1000,"&lt;="&amp;EOMONTH(DATEVALUE($B983&amp;"-01"),0)))-1)/4*100,"")</f>
        <v/>
      </c>
      <c r="W983" t="str">
        <f ca="1">IFERROR(((AVERAGEIFS(Feedback_360!$D$2:$D$1000,Feedback_360!$A$2:$A$1000,$A983,Feedback_360!$B$2:$B$1000,"&gt;="&amp;DATEVALUE($B983&amp;"-01"),Feedback_360!$B$2:$B$1000,"&lt;="&amp;EOMONTH(DATEVALUE($B983&amp;"-01"),0)))-1)/4*100,"")</f>
        <v/>
      </c>
      <c r="X983" t="str">
        <f ca="1">IFERROR(((AVERAGEIFS(Observacion_Directa!$D$2:$D$1000,Observacion_Directa!$A$2:$A$1000,$A983,Observacion_Directa!$B$2:$B$1000,"&gt;="&amp;DATEVALUE($B983&amp;"-01"),Observacion_Directa!$B$2:$B$1000,"&lt;="&amp;EOMONTH(DATEVALUE($B983&amp;"-01"),0)))-1)/4*100,"")</f>
        <v/>
      </c>
      <c r="Y983" t="e">
        <f t="shared" ca="1" si="31"/>
        <v>#DIV/0!</v>
      </c>
    </row>
    <row r="984" spans="12:25" x14ac:dyDescent="0.2">
      <c r="L984" t="str">
        <f t="shared" si="30"/>
        <v/>
      </c>
      <c r="M984" t="str">
        <f>IFERROR(AVERAGEIFS(Prod_5dias!$H$2:$H$1000,Prod_5dias!$A$2:$A$1000,$A984,Prod_5dias!$B$2:$B$1000,$B984),"")</f>
        <v/>
      </c>
      <c r="N984" t="str">
        <f>IF(M984="","",MIN(100,100*M984/Parametros!$B$7))</f>
        <v/>
      </c>
      <c r="O984" t="str">
        <f>IF(F984="","",IF(F984=0,100,MIN(100,100*Parametros!$B$3/F984)))</f>
        <v/>
      </c>
      <c r="P984" t="str">
        <f ca="1">IFERROR(((AVERAGEIFS(Observacion_Directa!$E$2:$E$1000,Observacion_Directa!$A$2:$A$1000,$A984,Observacion_Directa!$B$2:$B$1000,"&gt;="&amp;DATEVALUE($B984&amp;"-01"),Observacion_Directa!$B$2:$B$1000,"&lt;="&amp;EOMONTH(DATEVALUE($B984&amp;"-01"),0)))-1)/4*100,"")</f>
        <v/>
      </c>
      <c r="Q984" t="str">
        <f>IF(H984="","",MIN(100,100*H984/Parametros!$B$4))</f>
        <v/>
      </c>
      <c r="R984" t="str">
        <f>IF(I984="","",IF(I984=0,100,MIN(100,100*Parametros!$B$5/I984)))</f>
        <v/>
      </c>
      <c r="S984" t="str">
        <f>IF(J984="","",IF(J984=0,100,MIN(100,100*Parametros!$B$6/J984)))</f>
        <v/>
      </c>
      <c r="T984" t="str">
        <f>IF(L984="","",MIN(100,100*L984/Parametros!$B$7))</f>
        <v/>
      </c>
      <c r="U984" t="str">
        <f>IF(K984="","",MIN(100,100*K984/Parametros!$B$8))</f>
        <v/>
      </c>
      <c r="V984" t="str">
        <f ca="1">IFERROR(((AVERAGEIFS(Documentacion!$C$2:$C$1000,Documentacion!$A$2:$A$1000,$A984,Documentacion!$B$2:$B$1000,"&gt;="&amp;DATEVALUE($B984&amp;"-01"),Documentacion!$B$2:$B$1000,"&lt;="&amp;EOMONTH(DATEVALUE($B984&amp;"-01"),0)))-1)/4*100,"")</f>
        <v/>
      </c>
      <c r="W984" t="str">
        <f ca="1">IFERROR(((AVERAGEIFS(Feedback_360!$D$2:$D$1000,Feedback_360!$A$2:$A$1000,$A984,Feedback_360!$B$2:$B$1000,"&gt;="&amp;DATEVALUE($B984&amp;"-01"),Feedback_360!$B$2:$B$1000,"&lt;="&amp;EOMONTH(DATEVALUE($B984&amp;"-01"),0)))-1)/4*100,"")</f>
        <v/>
      </c>
      <c r="X984" t="str">
        <f ca="1">IFERROR(((AVERAGEIFS(Observacion_Directa!$D$2:$D$1000,Observacion_Directa!$A$2:$A$1000,$A984,Observacion_Directa!$B$2:$B$1000,"&gt;="&amp;DATEVALUE($B984&amp;"-01"),Observacion_Directa!$B$2:$B$1000,"&lt;="&amp;EOMONTH(DATEVALUE($B984&amp;"-01"),0)))-1)/4*100,"")</f>
        <v/>
      </c>
      <c r="Y984" t="e">
        <f t="shared" ca="1" si="31"/>
        <v>#DIV/0!</v>
      </c>
    </row>
    <row r="985" spans="12:25" x14ac:dyDescent="0.2">
      <c r="L985" t="str">
        <f t="shared" si="30"/>
        <v/>
      </c>
      <c r="M985" t="str">
        <f>IFERROR(AVERAGEIFS(Prod_5dias!$H$2:$H$1000,Prod_5dias!$A$2:$A$1000,$A985,Prod_5dias!$B$2:$B$1000,$B985),"")</f>
        <v/>
      </c>
      <c r="N985" t="str">
        <f>IF(M985="","",MIN(100,100*M985/Parametros!$B$7))</f>
        <v/>
      </c>
      <c r="O985" t="str">
        <f>IF(F985="","",IF(F985=0,100,MIN(100,100*Parametros!$B$3/F985)))</f>
        <v/>
      </c>
      <c r="P985" t="str">
        <f ca="1">IFERROR(((AVERAGEIFS(Observacion_Directa!$E$2:$E$1000,Observacion_Directa!$A$2:$A$1000,$A985,Observacion_Directa!$B$2:$B$1000,"&gt;="&amp;DATEVALUE($B985&amp;"-01"),Observacion_Directa!$B$2:$B$1000,"&lt;="&amp;EOMONTH(DATEVALUE($B985&amp;"-01"),0)))-1)/4*100,"")</f>
        <v/>
      </c>
      <c r="Q985" t="str">
        <f>IF(H985="","",MIN(100,100*H985/Parametros!$B$4))</f>
        <v/>
      </c>
      <c r="R985" t="str">
        <f>IF(I985="","",IF(I985=0,100,MIN(100,100*Parametros!$B$5/I985)))</f>
        <v/>
      </c>
      <c r="S985" t="str">
        <f>IF(J985="","",IF(J985=0,100,MIN(100,100*Parametros!$B$6/J985)))</f>
        <v/>
      </c>
      <c r="T985" t="str">
        <f>IF(L985="","",MIN(100,100*L985/Parametros!$B$7))</f>
        <v/>
      </c>
      <c r="U985" t="str">
        <f>IF(K985="","",MIN(100,100*K985/Parametros!$B$8))</f>
        <v/>
      </c>
      <c r="V985" t="str">
        <f ca="1">IFERROR(((AVERAGEIFS(Documentacion!$C$2:$C$1000,Documentacion!$A$2:$A$1000,$A985,Documentacion!$B$2:$B$1000,"&gt;="&amp;DATEVALUE($B985&amp;"-01"),Documentacion!$B$2:$B$1000,"&lt;="&amp;EOMONTH(DATEVALUE($B985&amp;"-01"),0)))-1)/4*100,"")</f>
        <v/>
      </c>
      <c r="W985" t="str">
        <f ca="1">IFERROR(((AVERAGEIFS(Feedback_360!$D$2:$D$1000,Feedback_360!$A$2:$A$1000,$A985,Feedback_360!$B$2:$B$1000,"&gt;="&amp;DATEVALUE($B985&amp;"-01"),Feedback_360!$B$2:$B$1000,"&lt;="&amp;EOMONTH(DATEVALUE($B985&amp;"-01"),0)))-1)/4*100,"")</f>
        <v/>
      </c>
      <c r="X985" t="str">
        <f ca="1">IFERROR(((AVERAGEIFS(Observacion_Directa!$D$2:$D$1000,Observacion_Directa!$A$2:$A$1000,$A985,Observacion_Directa!$B$2:$B$1000,"&gt;="&amp;DATEVALUE($B985&amp;"-01"),Observacion_Directa!$B$2:$B$1000,"&lt;="&amp;EOMONTH(DATEVALUE($B985&amp;"-01"),0)))-1)/4*100,"")</f>
        <v/>
      </c>
      <c r="Y985" t="e">
        <f t="shared" ca="1" si="31"/>
        <v>#DIV/0!</v>
      </c>
    </row>
    <row r="986" spans="12:25" x14ac:dyDescent="0.2">
      <c r="L986" t="str">
        <f t="shared" si="30"/>
        <v/>
      </c>
      <c r="M986" t="str">
        <f>IFERROR(AVERAGEIFS(Prod_5dias!$H$2:$H$1000,Prod_5dias!$A$2:$A$1000,$A986,Prod_5dias!$B$2:$B$1000,$B986),"")</f>
        <v/>
      </c>
      <c r="N986" t="str">
        <f>IF(M986="","",MIN(100,100*M986/Parametros!$B$7))</f>
        <v/>
      </c>
      <c r="O986" t="str">
        <f>IF(F986="","",IF(F986=0,100,MIN(100,100*Parametros!$B$3/F986)))</f>
        <v/>
      </c>
      <c r="P986" t="str">
        <f ca="1">IFERROR(((AVERAGEIFS(Observacion_Directa!$E$2:$E$1000,Observacion_Directa!$A$2:$A$1000,$A986,Observacion_Directa!$B$2:$B$1000,"&gt;="&amp;DATEVALUE($B986&amp;"-01"),Observacion_Directa!$B$2:$B$1000,"&lt;="&amp;EOMONTH(DATEVALUE($B986&amp;"-01"),0)))-1)/4*100,"")</f>
        <v/>
      </c>
      <c r="Q986" t="str">
        <f>IF(H986="","",MIN(100,100*H986/Parametros!$B$4))</f>
        <v/>
      </c>
      <c r="R986" t="str">
        <f>IF(I986="","",IF(I986=0,100,MIN(100,100*Parametros!$B$5/I986)))</f>
        <v/>
      </c>
      <c r="S986" t="str">
        <f>IF(J986="","",IF(J986=0,100,MIN(100,100*Parametros!$B$6/J986)))</f>
        <v/>
      </c>
      <c r="T986" t="str">
        <f>IF(L986="","",MIN(100,100*L986/Parametros!$B$7))</f>
        <v/>
      </c>
      <c r="U986" t="str">
        <f>IF(K986="","",MIN(100,100*K986/Parametros!$B$8))</f>
        <v/>
      </c>
      <c r="V986" t="str">
        <f ca="1">IFERROR(((AVERAGEIFS(Documentacion!$C$2:$C$1000,Documentacion!$A$2:$A$1000,$A986,Documentacion!$B$2:$B$1000,"&gt;="&amp;DATEVALUE($B986&amp;"-01"),Documentacion!$B$2:$B$1000,"&lt;="&amp;EOMONTH(DATEVALUE($B986&amp;"-01"),0)))-1)/4*100,"")</f>
        <v/>
      </c>
      <c r="W986" t="str">
        <f ca="1">IFERROR(((AVERAGEIFS(Feedback_360!$D$2:$D$1000,Feedback_360!$A$2:$A$1000,$A986,Feedback_360!$B$2:$B$1000,"&gt;="&amp;DATEVALUE($B986&amp;"-01"),Feedback_360!$B$2:$B$1000,"&lt;="&amp;EOMONTH(DATEVALUE($B986&amp;"-01"),0)))-1)/4*100,"")</f>
        <v/>
      </c>
      <c r="X986" t="str">
        <f ca="1">IFERROR(((AVERAGEIFS(Observacion_Directa!$D$2:$D$1000,Observacion_Directa!$A$2:$A$1000,$A986,Observacion_Directa!$B$2:$B$1000,"&gt;="&amp;DATEVALUE($B986&amp;"-01"),Observacion_Directa!$B$2:$B$1000,"&lt;="&amp;EOMONTH(DATEVALUE($B986&amp;"-01"),0)))-1)/4*100,"")</f>
        <v/>
      </c>
      <c r="Y986" t="e">
        <f t="shared" ca="1" si="31"/>
        <v>#DIV/0!</v>
      </c>
    </row>
    <row r="987" spans="12:25" x14ac:dyDescent="0.2">
      <c r="L987" t="str">
        <f t="shared" si="30"/>
        <v/>
      </c>
      <c r="M987" t="str">
        <f>IFERROR(AVERAGEIFS(Prod_5dias!$H$2:$H$1000,Prod_5dias!$A$2:$A$1000,$A987,Prod_5dias!$B$2:$B$1000,$B987),"")</f>
        <v/>
      </c>
      <c r="N987" t="str">
        <f>IF(M987="","",MIN(100,100*M987/Parametros!$B$7))</f>
        <v/>
      </c>
      <c r="O987" t="str">
        <f>IF(F987="","",IF(F987=0,100,MIN(100,100*Parametros!$B$3/F987)))</f>
        <v/>
      </c>
      <c r="P987" t="str">
        <f ca="1">IFERROR(((AVERAGEIFS(Observacion_Directa!$E$2:$E$1000,Observacion_Directa!$A$2:$A$1000,$A987,Observacion_Directa!$B$2:$B$1000,"&gt;="&amp;DATEVALUE($B987&amp;"-01"),Observacion_Directa!$B$2:$B$1000,"&lt;="&amp;EOMONTH(DATEVALUE($B987&amp;"-01"),0)))-1)/4*100,"")</f>
        <v/>
      </c>
      <c r="Q987" t="str">
        <f>IF(H987="","",MIN(100,100*H987/Parametros!$B$4))</f>
        <v/>
      </c>
      <c r="R987" t="str">
        <f>IF(I987="","",IF(I987=0,100,MIN(100,100*Parametros!$B$5/I987)))</f>
        <v/>
      </c>
      <c r="S987" t="str">
        <f>IF(J987="","",IF(J987=0,100,MIN(100,100*Parametros!$B$6/J987)))</f>
        <v/>
      </c>
      <c r="T987" t="str">
        <f>IF(L987="","",MIN(100,100*L987/Parametros!$B$7))</f>
        <v/>
      </c>
      <c r="U987" t="str">
        <f>IF(K987="","",MIN(100,100*K987/Parametros!$B$8))</f>
        <v/>
      </c>
      <c r="V987" t="str">
        <f ca="1">IFERROR(((AVERAGEIFS(Documentacion!$C$2:$C$1000,Documentacion!$A$2:$A$1000,$A987,Documentacion!$B$2:$B$1000,"&gt;="&amp;DATEVALUE($B987&amp;"-01"),Documentacion!$B$2:$B$1000,"&lt;="&amp;EOMONTH(DATEVALUE($B987&amp;"-01"),0)))-1)/4*100,"")</f>
        <v/>
      </c>
      <c r="W987" t="str">
        <f ca="1">IFERROR(((AVERAGEIFS(Feedback_360!$D$2:$D$1000,Feedback_360!$A$2:$A$1000,$A987,Feedback_360!$B$2:$B$1000,"&gt;="&amp;DATEVALUE($B987&amp;"-01"),Feedback_360!$B$2:$B$1000,"&lt;="&amp;EOMONTH(DATEVALUE($B987&amp;"-01"),0)))-1)/4*100,"")</f>
        <v/>
      </c>
      <c r="X987" t="str">
        <f ca="1">IFERROR(((AVERAGEIFS(Observacion_Directa!$D$2:$D$1000,Observacion_Directa!$A$2:$A$1000,$A987,Observacion_Directa!$B$2:$B$1000,"&gt;="&amp;DATEVALUE($B987&amp;"-01"),Observacion_Directa!$B$2:$B$1000,"&lt;="&amp;EOMONTH(DATEVALUE($B987&amp;"-01"),0)))-1)/4*100,"")</f>
        <v/>
      </c>
      <c r="Y987" t="e">
        <f t="shared" ca="1" si="31"/>
        <v>#DIV/0!</v>
      </c>
    </row>
    <row r="988" spans="12:25" x14ac:dyDescent="0.2">
      <c r="L988" t="str">
        <f t="shared" si="30"/>
        <v/>
      </c>
      <c r="M988" t="str">
        <f>IFERROR(AVERAGEIFS(Prod_5dias!$H$2:$H$1000,Prod_5dias!$A$2:$A$1000,$A988,Prod_5dias!$B$2:$B$1000,$B988),"")</f>
        <v/>
      </c>
      <c r="N988" t="str">
        <f>IF(M988="","",MIN(100,100*M988/Parametros!$B$7))</f>
        <v/>
      </c>
      <c r="O988" t="str">
        <f>IF(F988="","",IF(F988=0,100,MIN(100,100*Parametros!$B$3/F988)))</f>
        <v/>
      </c>
      <c r="P988" t="str">
        <f ca="1">IFERROR(((AVERAGEIFS(Observacion_Directa!$E$2:$E$1000,Observacion_Directa!$A$2:$A$1000,$A988,Observacion_Directa!$B$2:$B$1000,"&gt;="&amp;DATEVALUE($B988&amp;"-01"),Observacion_Directa!$B$2:$B$1000,"&lt;="&amp;EOMONTH(DATEVALUE($B988&amp;"-01"),0)))-1)/4*100,"")</f>
        <v/>
      </c>
      <c r="Q988" t="str">
        <f>IF(H988="","",MIN(100,100*H988/Parametros!$B$4))</f>
        <v/>
      </c>
      <c r="R988" t="str">
        <f>IF(I988="","",IF(I988=0,100,MIN(100,100*Parametros!$B$5/I988)))</f>
        <v/>
      </c>
      <c r="S988" t="str">
        <f>IF(J988="","",IF(J988=0,100,MIN(100,100*Parametros!$B$6/J988)))</f>
        <v/>
      </c>
      <c r="T988" t="str">
        <f>IF(L988="","",MIN(100,100*L988/Parametros!$B$7))</f>
        <v/>
      </c>
      <c r="U988" t="str">
        <f>IF(K988="","",MIN(100,100*K988/Parametros!$B$8))</f>
        <v/>
      </c>
      <c r="V988" t="str">
        <f ca="1">IFERROR(((AVERAGEIFS(Documentacion!$C$2:$C$1000,Documentacion!$A$2:$A$1000,$A988,Documentacion!$B$2:$B$1000,"&gt;="&amp;DATEVALUE($B988&amp;"-01"),Documentacion!$B$2:$B$1000,"&lt;="&amp;EOMONTH(DATEVALUE($B988&amp;"-01"),0)))-1)/4*100,"")</f>
        <v/>
      </c>
      <c r="W988" t="str">
        <f ca="1">IFERROR(((AVERAGEIFS(Feedback_360!$D$2:$D$1000,Feedback_360!$A$2:$A$1000,$A988,Feedback_360!$B$2:$B$1000,"&gt;="&amp;DATEVALUE($B988&amp;"-01"),Feedback_360!$B$2:$B$1000,"&lt;="&amp;EOMONTH(DATEVALUE($B988&amp;"-01"),0)))-1)/4*100,"")</f>
        <v/>
      </c>
      <c r="X988" t="str">
        <f ca="1">IFERROR(((AVERAGEIFS(Observacion_Directa!$D$2:$D$1000,Observacion_Directa!$A$2:$A$1000,$A988,Observacion_Directa!$B$2:$B$1000,"&gt;="&amp;DATEVALUE($B988&amp;"-01"),Observacion_Directa!$B$2:$B$1000,"&lt;="&amp;EOMONTH(DATEVALUE($B988&amp;"-01"),0)))-1)/4*100,"")</f>
        <v/>
      </c>
      <c r="Y988" t="e">
        <f t="shared" ca="1" si="31"/>
        <v>#DIV/0!</v>
      </c>
    </row>
    <row r="989" spans="12:25" x14ac:dyDescent="0.2">
      <c r="L989" t="str">
        <f t="shared" si="30"/>
        <v/>
      </c>
      <c r="M989" t="str">
        <f>IFERROR(AVERAGEIFS(Prod_5dias!$H$2:$H$1000,Prod_5dias!$A$2:$A$1000,$A989,Prod_5dias!$B$2:$B$1000,$B989),"")</f>
        <v/>
      </c>
      <c r="N989" t="str">
        <f>IF(M989="","",MIN(100,100*M989/Parametros!$B$7))</f>
        <v/>
      </c>
      <c r="O989" t="str">
        <f>IF(F989="","",IF(F989=0,100,MIN(100,100*Parametros!$B$3/F989)))</f>
        <v/>
      </c>
      <c r="P989" t="str">
        <f ca="1">IFERROR(((AVERAGEIFS(Observacion_Directa!$E$2:$E$1000,Observacion_Directa!$A$2:$A$1000,$A989,Observacion_Directa!$B$2:$B$1000,"&gt;="&amp;DATEVALUE($B989&amp;"-01"),Observacion_Directa!$B$2:$B$1000,"&lt;="&amp;EOMONTH(DATEVALUE($B989&amp;"-01"),0)))-1)/4*100,"")</f>
        <v/>
      </c>
      <c r="Q989" t="str">
        <f>IF(H989="","",MIN(100,100*H989/Parametros!$B$4))</f>
        <v/>
      </c>
      <c r="R989" t="str">
        <f>IF(I989="","",IF(I989=0,100,MIN(100,100*Parametros!$B$5/I989)))</f>
        <v/>
      </c>
      <c r="S989" t="str">
        <f>IF(J989="","",IF(J989=0,100,MIN(100,100*Parametros!$B$6/J989)))</f>
        <v/>
      </c>
      <c r="T989" t="str">
        <f>IF(L989="","",MIN(100,100*L989/Parametros!$B$7))</f>
        <v/>
      </c>
      <c r="U989" t="str">
        <f>IF(K989="","",MIN(100,100*K989/Parametros!$B$8))</f>
        <v/>
      </c>
      <c r="V989" t="str">
        <f ca="1">IFERROR(((AVERAGEIFS(Documentacion!$C$2:$C$1000,Documentacion!$A$2:$A$1000,$A989,Documentacion!$B$2:$B$1000,"&gt;="&amp;DATEVALUE($B989&amp;"-01"),Documentacion!$B$2:$B$1000,"&lt;="&amp;EOMONTH(DATEVALUE($B989&amp;"-01"),0)))-1)/4*100,"")</f>
        <v/>
      </c>
      <c r="W989" t="str">
        <f ca="1">IFERROR(((AVERAGEIFS(Feedback_360!$D$2:$D$1000,Feedback_360!$A$2:$A$1000,$A989,Feedback_360!$B$2:$B$1000,"&gt;="&amp;DATEVALUE($B989&amp;"-01"),Feedback_360!$B$2:$B$1000,"&lt;="&amp;EOMONTH(DATEVALUE($B989&amp;"-01"),0)))-1)/4*100,"")</f>
        <v/>
      </c>
      <c r="X989" t="str">
        <f ca="1">IFERROR(((AVERAGEIFS(Observacion_Directa!$D$2:$D$1000,Observacion_Directa!$A$2:$A$1000,$A989,Observacion_Directa!$B$2:$B$1000,"&gt;="&amp;DATEVALUE($B989&amp;"-01"),Observacion_Directa!$B$2:$B$1000,"&lt;="&amp;EOMONTH(DATEVALUE($B989&amp;"-01"),0)))-1)/4*100,"")</f>
        <v/>
      </c>
      <c r="Y989" t="e">
        <f t="shared" ca="1" si="31"/>
        <v>#DIV/0!</v>
      </c>
    </row>
    <row r="990" spans="12:25" x14ac:dyDescent="0.2">
      <c r="L990" t="str">
        <f t="shared" si="30"/>
        <v/>
      </c>
      <c r="M990" t="str">
        <f>IFERROR(AVERAGEIFS(Prod_5dias!$H$2:$H$1000,Prod_5dias!$A$2:$A$1000,$A990,Prod_5dias!$B$2:$B$1000,$B990),"")</f>
        <v/>
      </c>
      <c r="N990" t="str">
        <f>IF(M990="","",MIN(100,100*M990/Parametros!$B$7))</f>
        <v/>
      </c>
      <c r="O990" t="str">
        <f>IF(F990="","",IF(F990=0,100,MIN(100,100*Parametros!$B$3/F990)))</f>
        <v/>
      </c>
      <c r="P990" t="str">
        <f ca="1">IFERROR(((AVERAGEIFS(Observacion_Directa!$E$2:$E$1000,Observacion_Directa!$A$2:$A$1000,$A990,Observacion_Directa!$B$2:$B$1000,"&gt;="&amp;DATEVALUE($B990&amp;"-01"),Observacion_Directa!$B$2:$B$1000,"&lt;="&amp;EOMONTH(DATEVALUE($B990&amp;"-01"),0)))-1)/4*100,"")</f>
        <v/>
      </c>
      <c r="Q990" t="str">
        <f>IF(H990="","",MIN(100,100*H990/Parametros!$B$4))</f>
        <v/>
      </c>
      <c r="R990" t="str">
        <f>IF(I990="","",IF(I990=0,100,MIN(100,100*Parametros!$B$5/I990)))</f>
        <v/>
      </c>
      <c r="S990" t="str">
        <f>IF(J990="","",IF(J990=0,100,MIN(100,100*Parametros!$B$6/J990)))</f>
        <v/>
      </c>
      <c r="T990" t="str">
        <f>IF(L990="","",MIN(100,100*L990/Parametros!$B$7))</f>
        <v/>
      </c>
      <c r="U990" t="str">
        <f>IF(K990="","",MIN(100,100*K990/Parametros!$B$8))</f>
        <v/>
      </c>
      <c r="V990" t="str">
        <f ca="1">IFERROR(((AVERAGEIFS(Documentacion!$C$2:$C$1000,Documentacion!$A$2:$A$1000,$A990,Documentacion!$B$2:$B$1000,"&gt;="&amp;DATEVALUE($B990&amp;"-01"),Documentacion!$B$2:$B$1000,"&lt;="&amp;EOMONTH(DATEVALUE($B990&amp;"-01"),0)))-1)/4*100,"")</f>
        <v/>
      </c>
      <c r="W990" t="str">
        <f ca="1">IFERROR(((AVERAGEIFS(Feedback_360!$D$2:$D$1000,Feedback_360!$A$2:$A$1000,$A990,Feedback_360!$B$2:$B$1000,"&gt;="&amp;DATEVALUE($B990&amp;"-01"),Feedback_360!$B$2:$B$1000,"&lt;="&amp;EOMONTH(DATEVALUE($B990&amp;"-01"),0)))-1)/4*100,"")</f>
        <v/>
      </c>
      <c r="X990" t="str">
        <f ca="1">IFERROR(((AVERAGEIFS(Observacion_Directa!$D$2:$D$1000,Observacion_Directa!$A$2:$A$1000,$A990,Observacion_Directa!$B$2:$B$1000,"&gt;="&amp;DATEVALUE($B990&amp;"-01"),Observacion_Directa!$B$2:$B$1000,"&lt;="&amp;EOMONTH(DATEVALUE($B990&amp;"-01"),0)))-1)/4*100,"")</f>
        <v/>
      </c>
      <c r="Y990" t="e">
        <f t="shared" ca="1" si="31"/>
        <v>#DIV/0!</v>
      </c>
    </row>
    <row r="991" spans="12:25" x14ac:dyDescent="0.2">
      <c r="L991" t="str">
        <f t="shared" si="30"/>
        <v/>
      </c>
      <c r="M991" t="str">
        <f>IFERROR(AVERAGEIFS(Prod_5dias!$H$2:$H$1000,Prod_5dias!$A$2:$A$1000,$A991,Prod_5dias!$B$2:$B$1000,$B991),"")</f>
        <v/>
      </c>
      <c r="N991" t="str">
        <f>IF(M991="","",MIN(100,100*M991/Parametros!$B$7))</f>
        <v/>
      </c>
      <c r="O991" t="str">
        <f>IF(F991="","",IF(F991=0,100,MIN(100,100*Parametros!$B$3/F991)))</f>
        <v/>
      </c>
      <c r="P991" t="str">
        <f ca="1">IFERROR(((AVERAGEIFS(Observacion_Directa!$E$2:$E$1000,Observacion_Directa!$A$2:$A$1000,$A991,Observacion_Directa!$B$2:$B$1000,"&gt;="&amp;DATEVALUE($B991&amp;"-01"),Observacion_Directa!$B$2:$B$1000,"&lt;="&amp;EOMONTH(DATEVALUE($B991&amp;"-01"),0)))-1)/4*100,"")</f>
        <v/>
      </c>
      <c r="Q991" t="str">
        <f>IF(H991="","",MIN(100,100*H991/Parametros!$B$4))</f>
        <v/>
      </c>
      <c r="R991" t="str">
        <f>IF(I991="","",IF(I991=0,100,MIN(100,100*Parametros!$B$5/I991)))</f>
        <v/>
      </c>
      <c r="S991" t="str">
        <f>IF(J991="","",IF(J991=0,100,MIN(100,100*Parametros!$B$6/J991)))</f>
        <v/>
      </c>
      <c r="T991" t="str">
        <f>IF(L991="","",MIN(100,100*L991/Parametros!$B$7))</f>
        <v/>
      </c>
      <c r="U991" t="str">
        <f>IF(K991="","",MIN(100,100*K991/Parametros!$B$8))</f>
        <v/>
      </c>
      <c r="V991" t="str">
        <f ca="1">IFERROR(((AVERAGEIFS(Documentacion!$C$2:$C$1000,Documentacion!$A$2:$A$1000,$A991,Documentacion!$B$2:$B$1000,"&gt;="&amp;DATEVALUE($B991&amp;"-01"),Documentacion!$B$2:$B$1000,"&lt;="&amp;EOMONTH(DATEVALUE($B991&amp;"-01"),0)))-1)/4*100,"")</f>
        <v/>
      </c>
      <c r="W991" t="str">
        <f ca="1">IFERROR(((AVERAGEIFS(Feedback_360!$D$2:$D$1000,Feedback_360!$A$2:$A$1000,$A991,Feedback_360!$B$2:$B$1000,"&gt;="&amp;DATEVALUE($B991&amp;"-01"),Feedback_360!$B$2:$B$1000,"&lt;="&amp;EOMONTH(DATEVALUE($B991&amp;"-01"),0)))-1)/4*100,"")</f>
        <v/>
      </c>
      <c r="X991" t="str">
        <f ca="1">IFERROR(((AVERAGEIFS(Observacion_Directa!$D$2:$D$1000,Observacion_Directa!$A$2:$A$1000,$A991,Observacion_Directa!$B$2:$B$1000,"&gt;="&amp;DATEVALUE($B991&amp;"-01"),Observacion_Directa!$B$2:$B$1000,"&lt;="&amp;EOMONTH(DATEVALUE($B991&amp;"-01"),0)))-1)/4*100,"")</f>
        <v/>
      </c>
      <c r="Y991" t="e">
        <f t="shared" ca="1" si="31"/>
        <v>#DIV/0!</v>
      </c>
    </row>
    <row r="992" spans="12:25" x14ac:dyDescent="0.2">
      <c r="L992" t="str">
        <f t="shared" si="30"/>
        <v/>
      </c>
      <c r="M992" t="str">
        <f>IFERROR(AVERAGEIFS(Prod_5dias!$H$2:$H$1000,Prod_5dias!$A$2:$A$1000,$A992,Prod_5dias!$B$2:$B$1000,$B992),"")</f>
        <v/>
      </c>
      <c r="N992" t="str">
        <f>IF(M992="","",MIN(100,100*M992/Parametros!$B$7))</f>
        <v/>
      </c>
      <c r="O992" t="str">
        <f>IF(F992="","",IF(F992=0,100,MIN(100,100*Parametros!$B$3/F992)))</f>
        <v/>
      </c>
      <c r="P992" t="str">
        <f ca="1">IFERROR(((AVERAGEIFS(Observacion_Directa!$E$2:$E$1000,Observacion_Directa!$A$2:$A$1000,$A992,Observacion_Directa!$B$2:$B$1000,"&gt;="&amp;DATEVALUE($B992&amp;"-01"),Observacion_Directa!$B$2:$B$1000,"&lt;="&amp;EOMONTH(DATEVALUE($B992&amp;"-01"),0)))-1)/4*100,"")</f>
        <v/>
      </c>
      <c r="Q992" t="str">
        <f>IF(H992="","",MIN(100,100*H992/Parametros!$B$4))</f>
        <v/>
      </c>
      <c r="R992" t="str">
        <f>IF(I992="","",IF(I992=0,100,MIN(100,100*Parametros!$B$5/I992)))</f>
        <v/>
      </c>
      <c r="S992" t="str">
        <f>IF(J992="","",IF(J992=0,100,MIN(100,100*Parametros!$B$6/J992)))</f>
        <v/>
      </c>
      <c r="T992" t="str">
        <f>IF(L992="","",MIN(100,100*L992/Parametros!$B$7))</f>
        <v/>
      </c>
      <c r="U992" t="str">
        <f>IF(K992="","",MIN(100,100*K992/Parametros!$B$8))</f>
        <v/>
      </c>
      <c r="V992" t="str">
        <f ca="1">IFERROR(((AVERAGEIFS(Documentacion!$C$2:$C$1000,Documentacion!$A$2:$A$1000,$A992,Documentacion!$B$2:$B$1000,"&gt;="&amp;DATEVALUE($B992&amp;"-01"),Documentacion!$B$2:$B$1000,"&lt;="&amp;EOMONTH(DATEVALUE($B992&amp;"-01"),0)))-1)/4*100,"")</f>
        <v/>
      </c>
      <c r="W992" t="str">
        <f ca="1">IFERROR(((AVERAGEIFS(Feedback_360!$D$2:$D$1000,Feedback_360!$A$2:$A$1000,$A992,Feedback_360!$B$2:$B$1000,"&gt;="&amp;DATEVALUE($B992&amp;"-01"),Feedback_360!$B$2:$B$1000,"&lt;="&amp;EOMONTH(DATEVALUE($B992&amp;"-01"),0)))-1)/4*100,"")</f>
        <v/>
      </c>
      <c r="X992" t="str">
        <f ca="1">IFERROR(((AVERAGEIFS(Observacion_Directa!$D$2:$D$1000,Observacion_Directa!$A$2:$A$1000,$A992,Observacion_Directa!$B$2:$B$1000,"&gt;="&amp;DATEVALUE($B992&amp;"-01"),Observacion_Directa!$B$2:$B$1000,"&lt;="&amp;EOMONTH(DATEVALUE($B992&amp;"-01"),0)))-1)/4*100,"")</f>
        <v/>
      </c>
      <c r="Y992" t="e">
        <f t="shared" ca="1" si="31"/>
        <v>#DIV/0!</v>
      </c>
    </row>
    <row r="993" spans="12:25" x14ac:dyDescent="0.2">
      <c r="L993" t="str">
        <f t="shared" si="30"/>
        <v/>
      </c>
      <c r="M993" t="str">
        <f>IFERROR(AVERAGEIFS(Prod_5dias!$H$2:$H$1000,Prod_5dias!$A$2:$A$1000,$A993,Prod_5dias!$B$2:$B$1000,$B993),"")</f>
        <v/>
      </c>
      <c r="N993" t="str">
        <f>IF(M993="","",MIN(100,100*M993/Parametros!$B$7))</f>
        <v/>
      </c>
      <c r="O993" t="str">
        <f>IF(F993="","",IF(F993=0,100,MIN(100,100*Parametros!$B$3/F993)))</f>
        <v/>
      </c>
      <c r="P993" t="str">
        <f ca="1">IFERROR(((AVERAGEIFS(Observacion_Directa!$E$2:$E$1000,Observacion_Directa!$A$2:$A$1000,$A993,Observacion_Directa!$B$2:$B$1000,"&gt;="&amp;DATEVALUE($B993&amp;"-01"),Observacion_Directa!$B$2:$B$1000,"&lt;="&amp;EOMONTH(DATEVALUE($B993&amp;"-01"),0)))-1)/4*100,"")</f>
        <v/>
      </c>
      <c r="Q993" t="str">
        <f>IF(H993="","",MIN(100,100*H993/Parametros!$B$4))</f>
        <v/>
      </c>
      <c r="R993" t="str">
        <f>IF(I993="","",IF(I993=0,100,MIN(100,100*Parametros!$B$5/I993)))</f>
        <v/>
      </c>
      <c r="S993" t="str">
        <f>IF(J993="","",IF(J993=0,100,MIN(100,100*Parametros!$B$6/J993)))</f>
        <v/>
      </c>
      <c r="T993" t="str">
        <f>IF(L993="","",MIN(100,100*L993/Parametros!$B$7))</f>
        <v/>
      </c>
      <c r="U993" t="str">
        <f>IF(K993="","",MIN(100,100*K993/Parametros!$B$8))</f>
        <v/>
      </c>
      <c r="V993" t="str">
        <f ca="1">IFERROR(((AVERAGEIFS(Documentacion!$C$2:$C$1000,Documentacion!$A$2:$A$1000,$A993,Documentacion!$B$2:$B$1000,"&gt;="&amp;DATEVALUE($B993&amp;"-01"),Documentacion!$B$2:$B$1000,"&lt;="&amp;EOMONTH(DATEVALUE($B993&amp;"-01"),0)))-1)/4*100,"")</f>
        <v/>
      </c>
      <c r="W993" t="str">
        <f ca="1">IFERROR(((AVERAGEIFS(Feedback_360!$D$2:$D$1000,Feedback_360!$A$2:$A$1000,$A993,Feedback_360!$B$2:$B$1000,"&gt;="&amp;DATEVALUE($B993&amp;"-01"),Feedback_360!$B$2:$B$1000,"&lt;="&amp;EOMONTH(DATEVALUE($B993&amp;"-01"),0)))-1)/4*100,"")</f>
        <v/>
      </c>
      <c r="X993" t="str">
        <f ca="1">IFERROR(((AVERAGEIFS(Observacion_Directa!$D$2:$D$1000,Observacion_Directa!$A$2:$A$1000,$A993,Observacion_Directa!$B$2:$B$1000,"&gt;="&amp;DATEVALUE($B993&amp;"-01"),Observacion_Directa!$B$2:$B$1000,"&lt;="&amp;EOMONTH(DATEVALUE($B993&amp;"-01"),0)))-1)/4*100,"")</f>
        <v/>
      </c>
      <c r="Y993" t="e">
        <f t="shared" ca="1" si="31"/>
        <v>#DIV/0!</v>
      </c>
    </row>
    <row r="994" spans="12:25" x14ac:dyDescent="0.2">
      <c r="L994" t="str">
        <f t="shared" si="30"/>
        <v/>
      </c>
      <c r="M994" t="str">
        <f>IFERROR(AVERAGEIFS(Prod_5dias!$H$2:$H$1000,Prod_5dias!$A$2:$A$1000,$A994,Prod_5dias!$B$2:$B$1000,$B994),"")</f>
        <v/>
      </c>
      <c r="N994" t="str">
        <f>IF(M994="","",MIN(100,100*M994/Parametros!$B$7))</f>
        <v/>
      </c>
      <c r="O994" t="str">
        <f>IF(F994="","",IF(F994=0,100,MIN(100,100*Parametros!$B$3/F994)))</f>
        <v/>
      </c>
      <c r="P994" t="str">
        <f ca="1">IFERROR(((AVERAGEIFS(Observacion_Directa!$E$2:$E$1000,Observacion_Directa!$A$2:$A$1000,$A994,Observacion_Directa!$B$2:$B$1000,"&gt;="&amp;DATEVALUE($B994&amp;"-01"),Observacion_Directa!$B$2:$B$1000,"&lt;="&amp;EOMONTH(DATEVALUE($B994&amp;"-01"),0)))-1)/4*100,"")</f>
        <v/>
      </c>
      <c r="Q994" t="str">
        <f>IF(H994="","",MIN(100,100*H994/Parametros!$B$4))</f>
        <v/>
      </c>
      <c r="R994" t="str">
        <f>IF(I994="","",IF(I994=0,100,MIN(100,100*Parametros!$B$5/I994)))</f>
        <v/>
      </c>
      <c r="S994" t="str">
        <f>IF(J994="","",IF(J994=0,100,MIN(100,100*Parametros!$B$6/J994)))</f>
        <v/>
      </c>
      <c r="T994" t="str">
        <f>IF(L994="","",MIN(100,100*L994/Parametros!$B$7))</f>
        <v/>
      </c>
      <c r="U994" t="str">
        <f>IF(K994="","",MIN(100,100*K994/Parametros!$B$8))</f>
        <v/>
      </c>
      <c r="V994" t="str">
        <f ca="1">IFERROR(((AVERAGEIFS(Documentacion!$C$2:$C$1000,Documentacion!$A$2:$A$1000,$A994,Documentacion!$B$2:$B$1000,"&gt;="&amp;DATEVALUE($B994&amp;"-01"),Documentacion!$B$2:$B$1000,"&lt;="&amp;EOMONTH(DATEVALUE($B994&amp;"-01"),0)))-1)/4*100,"")</f>
        <v/>
      </c>
      <c r="W994" t="str">
        <f ca="1">IFERROR(((AVERAGEIFS(Feedback_360!$D$2:$D$1000,Feedback_360!$A$2:$A$1000,$A994,Feedback_360!$B$2:$B$1000,"&gt;="&amp;DATEVALUE($B994&amp;"-01"),Feedback_360!$B$2:$B$1000,"&lt;="&amp;EOMONTH(DATEVALUE($B994&amp;"-01"),0)))-1)/4*100,"")</f>
        <v/>
      </c>
      <c r="X994" t="str">
        <f ca="1">IFERROR(((AVERAGEIFS(Observacion_Directa!$D$2:$D$1000,Observacion_Directa!$A$2:$A$1000,$A994,Observacion_Directa!$B$2:$B$1000,"&gt;="&amp;DATEVALUE($B994&amp;"-01"),Observacion_Directa!$B$2:$B$1000,"&lt;="&amp;EOMONTH(DATEVALUE($B994&amp;"-01"),0)))-1)/4*100,"")</f>
        <v/>
      </c>
      <c r="Y994" t="e">
        <f t="shared" ca="1" si="31"/>
        <v>#DIV/0!</v>
      </c>
    </row>
    <row r="995" spans="12:25" x14ac:dyDescent="0.2">
      <c r="L995" t="str">
        <f t="shared" si="30"/>
        <v/>
      </c>
      <c r="M995" t="str">
        <f>IFERROR(AVERAGEIFS(Prod_5dias!$H$2:$H$1000,Prod_5dias!$A$2:$A$1000,$A995,Prod_5dias!$B$2:$B$1000,$B995),"")</f>
        <v/>
      </c>
      <c r="N995" t="str">
        <f>IF(M995="","",MIN(100,100*M995/Parametros!$B$7))</f>
        <v/>
      </c>
      <c r="O995" t="str">
        <f>IF(F995="","",IF(F995=0,100,MIN(100,100*Parametros!$B$3/F995)))</f>
        <v/>
      </c>
      <c r="P995" t="str">
        <f ca="1">IFERROR(((AVERAGEIFS(Observacion_Directa!$E$2:$E$1000,Observacion_Directa!$A$2:$A$1000,$A995,Observacion_Directa!$B$2:$B$1000,"&gt;="&amp;DATEVALUE($B995&amp;"-01"),Observacion_Directa!$B$2:$B$1000,"&lt;="&amp;EOMONTH(DATEVALUE($B995&amp;"-01"),0)))-1)/4*100,"")</f>
        <v/>
      </c>
      <c r="Q995" t="str">
        <f>IF(H995="","",MIN(100,100*H995/Parametros!$B$4))</f>
        <v/>
      </c>
      <c r="R995" t="str">
        <f>IF(I995="","",IF(I995=0,100,MIN(100,100*Parametros!$B$5/I995)))</f>
        <v/>
      </c>
      <c r="S995" t="str">
        <f>IF(J995="","",IF(J995=0,100,MIN(100,100*Parametros!$B$6/J995)))</f>
        <v/>
      </c>
      <c r="T995" t="str">
        <f>IF(L995="","",MIN(100,100*L995/Parametros!$B$7))</f>
        <v/>
      </c>
      <c r="U995" t="str">
        <f>IF(K995="","",MIN(100,100*K995/Parametros!$B$8))</f>
        <v/>
      </c>
      <c r="V995" t="str">
        <f ca="1">IFERROR(((AVERAGEIFS(Documentacion!$C$2:$C$1000,Documentacion!$A$2:$A$1000,$A995,Documentacion!$B$2:$B$1000,"&gt;="&amp;DATEVALUE($B995&amp;"-01"),Documentacion!$B$2:$B$1000,"&lt;="&amp;EOMONTH(DATEVALUE($B995&amp;"-01"),0)))-1)/4*100,"")</f>
        <v/>
      </c>
      <c r="W995" t="str">
        <f ca="1">IFERROR(((AVERAGEIFS(Feedback_360!$D$2:$D$1000,Feedback_360!$A$2:$A$1000,$A995,Feedback_360!$B$2:$B$1000,"&gt;="&amp;DATEVALUE($B995&amp;"-01"),Feedback_360!$B$2:$B$1000,"&lt;="&amp;EOMONTH(DATEVALUE($B995&amp;"-01"),0)))-1)/4*100,"")</f>
        <v/>
      </c>
      <c r="X995" t="str">
        <f ca="1">IFERROR(((AVERAGEIFS(Observacion_Directa!$D$2:$D$1000,Observacion_Directa!$A$2:$A$1000,$A995,Observacion_Directa!$B$2:$B$1000,"&gt;="&amp;DATEVALUE($B995&amp;"-01"),Observacion_Directa!$B$2:$B$1000,"&lt;="&amp;EOMONTH(DATEVALUE($B995&amp;"-01"),0)))-1)/4*100,"")</f>
        <v/>
      </c>
      <c r="Y995" t="e">
        <f t="shared" ca="1" si="31"/>
        <v>#DIV/0!</v>
      </c>
    </row>
    <row r="996" spans="12:25" x14ac:dyDescent="0.2">
      <c r="L996" t="str">
        <f t="shared" si="30"/>
        <v/>
      </c>
      <c r="M996" t="str">
        <f>IFERROR(AVERAGEIFS(Prod_5dias!$H$2:$H$1000,Prod_5dias!$A$2:$A$1000,$A996,Prod_5dias!$B$2:$B$1000,$B996),"")</f>
        <v/>
      </c>
      <c r="N996" t="str">
        <f>IF(M996="","",MIN(100,100*M996/Parametros!$B$7))</f>
        <v/>
      </c>
      <c r="O996" t="str">
        <f>IF(F996="","",IF(F996=0,100,MIN(100,100*Parametros!$B$3/F996)))</f>
        <v/>
      </c>
      <c r="P996" t="str">
        <f ca="1">IFERROR(((AVERAGEIFS(Observacion_Directa!$E$2:$E$1000,Observacion_Directa!$A$2:$A$1000,$A996,Observacion_Directa!$B$2:$B$1000,"&gt;="&amp;DATEVALUE($B996&amp;"-01"),Observacion_Directa!$B$2:$B$1000,"&lt;="&amp;EOMONTH(DATEVALUE($B996&amp;"-01"),0)))-1)/4*100,"")</f>
        <v/>
      </c>
      <c r="Q996" t="str">
        <f>IF(H996="","",MIN(100,100*H996/Parametros!$B$4))</f>
        <v/>
      </c>
      <c r="R996" t="str">
        <f>IF(I996="","",IF(I996=0,100,MIN(100,100*Parametros!$B$5/I996)))</f>
        <v/>
      </c>
      <c r="S996" t="str">
        <f>IF(J996="","",IF(J996=0,100,MIN(100,100*Parametros!$B$6/J996)))</f>
        <v/>
      </c>
      <c r="T996" t="str">
        <f>IF(L996="","",MIN(100,100*L996/Parametros!$B$7))</f>
        <v/>
      </c>
      <c r="U996" t="str">
        <f>IF(K996="","",MIN(100,100*K996/Parametros!$B$8))</f>
        <v/>
      </c>
      <c r="V996" t="str">
        <f ca="1">IFERROR(((AVERAGEIFS(Documentacion!$C$2:$C$1000,Documentacion!$A$2:$A$1000,$A996,Documentacion!$B$2:$B$1000,"&gt;="&amp;DATEVALUE($B996&amp;"-01"),Documentacion!$B$2:$B$1000,"&lt;="&amp;EOMONTH(DATEVALUE($B996&amp;"-01"),0)))-1)/4*100,"")</f>
        <v/>
      </c>
      <c r="W996" t="str">
        <f ca="1">IFERROR(((AVERAGEIFS(Feedback_360!$D$2:$D$1000,Feedback_360!$A$2:$A$1000,$A996,Feedback_360!$B$2:$B$1000,"&gt;="&amp;DATEVALUE($B996&amp;"-01"),Feedback_360!$B$2:$B$1000,"&lt;="&amp;EOMONTH(DATEVALUE($B996&amp;"-01"),0)))-1)/4*100,"")</f>
        <v/>
      </c>
      <c r="X996" t="str">
        <f ca="1">IFERROR(((AVERAGEIFS(Observacion_Directa!$D$2:$D$1000,Observacion_Directa!$A$2:$A$1000,$A996,Observacion_Directa!$B$2:$B$1000,"&gt;="&amp;DATEVALUE($B996&amp;"-01"),Observacion_Directa!$B$2:$B$1000,"&lt;="&amp;EOMONTH(DATEVALUE($B996&amp;"-01"),0)))-1)/4*100,"")</f>
        <v/>
      </c>
      <c r="Y996" t="e">
        <f t="shared" ca="1" si="31"/>
        <v>#DIV/0!</v>
      </c>
    </row>
    <row r="997" spans="12:25" x14ac:dyDescent="0.2">
      <c r="L997" t="str">
        <f t="shared" si="30"/>
        <v/>
      </c>
      <c r="M997" t="str">
        <f>IFERROR(AVERAGEIFS(Prod_5dias!$H$2:$H$1000,Prod_5dias!$A$2:$A$1000,$A997,Prod_5dias!$B$2:$B$1000,$B997),"")</f>
        <v/>
      </c>
      <c r="N997" t="str">
        <f>IF(M997="","",MIN(100,100*M997/Parametros!$B$7))</f>
        <v/>
      </c>
      <c r="O997" t="str">
        <f>IF(F997="","",IF(F997=0,100,MIN(100,100*Parametros!$B$3/F997)))</f>
        <v/>
      </c>
      <c r="P997" t="str">
        <f ca="1">IFERROR(((AVERAGEIFS(Observacion_Directa!$E$2:$E$1000,Observacion_Directa!$A$2:$A$1000,$A997,Observacion_Directa!$B$2:$B$1000,"&gt;="&amp;DATEVALUE($B997&amp;"-01"),Observacion_Directa!$B$2:$B$1000,"&lt;="&amp;EOMONTH(DATEVALUE($B997&amp;"-01"),0)))-1)/4*100,"")</f>
        <v/>
      </c>
      <c r="Q997" t="str">
        <f>IF(H997="","",MIN(100,100*H997/Parametros!$B$4))</f>
        <v/>
      </c>
      <c r="R997" t="str">
        <f>IF(I997="","",IF(I997=0,100,MIN(100,100*Parametros!$B$5/I997)))</f>
        <v/>
      </c>
      <c r="S997" t="str">
        <f>IF(J997="","",IF(J997=0,100,MIN(100,100*Parametros!$B$6/J997)))</f>
        <v/>
      </c>
      <c r="T997" t="str">
        <f>IF(L997="","",MIN(100,100*L997/Parametros!$B$7))</f>
        <v/>
      </c>
      <c r="U997" t="str">
        <f>IF(K997="","",MIN(100,100*K997/Parametros!$B$8))</f>
        <v/>
      </c>
      <c r="V997" t="str">
        <f ca="1">IFERROR(((AVERAGEIFS(Documentacion!$C$2:$C$1000,Documentacion!$A$2:$A$1000,$A997,Documentacion!$B$2:$B$1000,"&gt;="&amp;DATEVALUE($B997&amp;"-01"),Documentacion!$B$2:$B$1000,"&lt;="&amp;EOMONTH(DATEVALUE($B997&amp;"-01"),0)))-1)/4*100,"")</f>
        <v/>
      </c>
      <c r="W997" t="str">
        <f ca="1">IFERROR(((AVERAGEIFS(Feedback_360!$D$2:$D$1000,Feedback_360!$A$2:$A$1000,$A997,Feedback_360!$B$2:$B$1000,"&gt;="&amp;DATEVALUE($B997&amp;"-01"),Feedback_360!$B$2:$B$1000,"&lt;="&amp;EOMONTH(DATEVALUE($B997&amp;"-01"),0)))-1)/4*100,"")</f>
        <v/>
      </c>
      <c r="X997" t="str">
        <f ca="1">IFERROR(((AVERAGEIFS(Observacion_Directa!$D$2:$D$1000,Observacion_Directa!$A$2:$A$1000,$A997,Observacion_Directa!$B$2:$B$1000,"&gt;="&amp;DATEVALUE($B997&amp;"-01"),Observacion_Directa!$B$2:$B$1000,"&lt;="&amp;EOMONTH(DATEVALUE($B997&amp;"-01"),0)))-1)/4*100,"")</f>
        <v/>
      </c>
      <c r="Y997" t="e">
        <f t="shared" ca="1" si="31"/>
        <v>#DIV/0!</v>
      </c>
    </row>
    <row r="998" spans="12:25" x14ac:dyDescent="0.2">
      <c r="L998" t="str">
        <f t="shared" si="30"/>
        <v/>
      </c>
      <c r="M998" t="str">
        <f>IFERROR(AVERAGEIFS(Prod_5dias!$H$2:$H$1000,Prod_5dias!$A$2:$A$1000,$A998,Prod_5dias!$B$2:$B$1000,$B998),"")</f>
        <v/>
      </c>
      <c r="N998" t="str">
        <f>IF(M998="","",MIN(100,100*M998/Parametros!$B$7))</f>
        <v/>
      </c>
      <c r="O998" t="str">
        <f>IF(F998="","",IF(F998=0,100,MIN(100,100*Parametros!$B$3/F998)))</f>
        <v/>
      </c>
      <c r="P998" t="str">
        <f ca="1">IFERROR(((AVERAGEIFS(Observacion_Directa!$E$2:$E$1000,Observacion_Directa!$A$2:$A$1000,$A998,Observacion_Directa!$B$2:$B$1000,"&gt;="&amp;DATEVALUE($B998&amp;"-01"),Observacion_Directa!$B$2:$B$1000,"&lt;="&amp;EOMONTH(DATEVALUE($B998&amp;"-01"),0)))-1)/4*100,"")</f>
        <v/>
      </c>
      <c r="Q998" t="str">
        <f>IF(H998="","",MIN(100,100*H998/Parametros!$B$4))</f>
        <v/>
      </c>
      <c r="R998" t="str">
        <f>IF(I998="","",IF(I998=0,100,MIN(100,100*Parametros!$B$5/I998)))</f>
        <v/>
      </c>
      <c r="S998" t="str">
        <f>IF(J998="","",IF(J998=0,100,MIN(100,100*Parametros!$B$6/J998)))</f>
        <v/>
      </c>
      <c r="T998" t="str">
        <f>IF(L998="","",MIN(100,100*L998/Parametros!$B$7))</f>
        <v/>
      </c>
      <c r="U998" t="str">
        <f>IF(K998="","",MIN(100,100*K998/Parametros!$B$8))</f>
        <v/>
      </c>
      <c r="V998" t="str">
        <f ca="1">IFERROR(((AVERAGEIFS(Documentacion!$C$2:$C$1000,Documentacion!$A$2:$A$1000,$A998,Documentacion!$B$2:$B$1000,"&gt;="&amp;DATEVALUE($B998&amp;"-01"),Documentacion!$B$2:$B$1000,"&lt;="&amp;EOMONTH(DATEVALUE($B998&amp;"-01"),0)))-1)/4*100,"")</f>
        <v/>
      </c>
      <c r="W998" t="str">
        <f ca="1">IFERROR(((AVERAGEIFS(Feedback_360!$D$2:$D$1000,Feedback_360!$A$2:$A$1000,$A998,Feedback_360!$B$2:$B$1000,"&gt;="&amp;DATEVALUE($B998&amp;"-01"),Feedback_360!$B$2:$B$1000,"&lt;="&amp;EOMONTH(DATEVALUE($B998&amp;"-01"),0)))-1)/4*100,"")</f>
        <v/>
      </c>
      <c r="X998" t="str">
        <f ca="1">IFERROR(((AVERAGEIFS(Observacion_Directa!$D$2:$D$1000,Observacion_Directa!$A$2:$A$1000,$A998,Observacion_Directa!$B$2:$B$1000,"&gt;="&amp;DATEVALUE($B998&amp;"-01"),Observacion_Directa!$B$2:$B$1000,"&lt;="&amp;EOMONTH(DATEVALUE($B998&amp;"-01"),0)))-1)/4*100,"")</f>
        <v/>
      </c>
      <c r="Y998" t="e">
        <f t="shared" ca="1" si="31"/>
        <v>#DIV/0!</v>
      </c>
    </row>
    <row r="999" spans="12:25" x14ac:dyDescent="0.2">
      <c r="L999" t="str">
        <f t="shared" si="30"/>
        <v/>
      </c>
      <c r="M999" t="str">
        <f>IFERROR(AVERAGEIFS(Prod_5dias!$H$2:$H$1000,Prod_5dias!$A$2:$A$1000,$A999,Prod_5dias!$B$2:$B$1000,$B999),"")</f>
        <v/>
      </c>
      <c r="N999" t="str">
        <f>IF(M999="","",MIN(100,100*M999/Parametros!$B$7))</f>
        <v/>
      </c>
      <c r="O999" t="str">
        <f>IF(F999="","",IF(F999=0,100,MIN(100,100*Parametros!$B$3/F999)))</f>
        <v/>
      </c>
      <c r="P999" t="str">
        <f ca="1">IFERROR(((AVERAGEIFS(Observacion_Directa!$E$2:$E$1000,Observacion_Directa!$A$2:$A$1000,$A999,Observacion_Directa!$B$2:$B$1000,"&gt;="&amp;DATEVALUE($B999&amp;"-01"),Observacion_Directa!$B$2:$B$1000,"&lt;="&amp;EOMONTH(DATEVALUE($B999&amp;"-01"),0)))-1)/4*100,"")</f>
        <v/>
      </c>
      <c r="Q999" t="str">
        <f>IF(H999="","",MIN(100,100*H999/Parametros!$B$4))</f>
        <v/>
      </c>
      <c r="R999" t="str">
        <f>IF(I999="","",IF(I999=0,100,MIN(100,100*Parametros!$B$5/I999)))</f>
        <v/>
      </c>
      <c r="S999" t="str">
        <f>IF(J999="","",IF(J999=0,100,MIN(100,100*Parametros!$B$6/J999)))</f>
        <v/>
      </c>
      <c r="T999" t="str">
        <f>IF(L999="","",MIN(100,100*L999/Parametros!$B$7))</f>
        <v/>
      </c>
      <c r="U999" t="str">
        <f>IF(K999="","",MIN(100,100*K999/Parametros!$B$8))</f>
        <v/>
      </c>
      <c r="V999" t="str">
        <f ca="1">IFERROR(((AVERAGEIFS(Documentacion!$C$2:$C$1000,Documentacion!$A$2:$A$1000,$A999,Documentacion!$B$2:$B$1000,"&gt;="&amp;DATEVALUE($B999&amp;"-01"),Documentacion!$B$2:$B$1000,"&lt;="&amp;EOMONTH(DATEVALUE($B999&amp;"-01"),0)))-1)/4*100,"")</f>
        <v/>
      </c>
      <c r="W999" t="str">
        <f ca="1">IFERROR(((AVERAGEIFS(Feedback_360!$D$2:$D$1000,Feedback_360!$A$2:$A$1000,$A999,Feedback_360!$B$2:$B$1000,"&gt;="&amp;DATEVALUE($B999&amp;"-01"),Feedback_360!$B$2:$B$1000,"&lt;="&amp;EOMONTH(DATEVALUE($B999&amp;"-01"),0)))-1)/4*100,"")</f>
        <v/>
      </c>
      <c r="X999" t="str">
        <f ca="1">IFERROR(((AVERAGEIFS(Observacion_Directa!$D$2:$D$1000,Observacion_Directa!$A$2:$A$1000,$A999,Observacion_Directa!$B$2:$B$1000,"&gt;="&amp;DATEVALUE($B999&amp;"-01"),Observacion_Directa!$B$2:$B$1000,"&lt;="&amp;EOMONTH(DATEVALUE($B999&amp;"-01"),0)))-1)/4*100,"")</f>
        <v/>
      </c>
      <c r="Y999" t="e">
        <f t="shared" ca="1" si="31"/>
        <v>#DIV/0!</v>
      </c>
    </row>
    <row r="1000" spans="12:25" x14ac:dyDescent="0.2">
      <c r="L1000" t="str">
        <f t="shared" si="30"/>
        <v/>
      </c>
      <c r="M1000" t="str">
        <f>IFERROR(AVERAGEIFS(Prod_5dias!$H$2:$H$1000,Prod_5dias!$A$2:$A$1000,$A1000,Prod_5dias!$B$2:$B$1000,$B1000),"")</f>
        <v/>
      </c>
      <c r="N1000" t="str">
        <f>IF(M1000="","",MIN(100,100*M1000/Parametros!$B$7))</f>
        <v/>
      </c>
      <c r="O1000" t="str">
        <f>IF(F1000="","",IF(F1000=0,100,MIN(100,100*Parametros!$B$3/F1000)))</f>
        <v/>
      </c>
      <c r="P1000" t="str">
        <f ca="1">IFERROR(((AVERAGEIFS(Observacion_Directa!$E$2:$E$1000,Observacion_Directa!$A$2:$A$1000,$A1000,Observacion_Directa!$B$2:$B$1000,"&gt;="&amp;DATEVALUE($B1000&amp;"-01"),Observacion_Directa!$B$2:$B$1000,"&lt;="&amp;EOMONTH(DATEVALUE($B1000&amp;"-01"),0)))-1)/4*100,"")</f>
        <v/>
      </c>
      <c r="Q1000" t="str">
        <f>IF(H1000="","",MIN(100,100*H1000/Parametros!$B$4))</f>
        <v/>
      </c>
      <c r="R1000" t="str">
        <f>IF(I1000="","",IF(I1000=0,100,MIN(100,100*Parametros!$B$5/I1000)))</f>
        <v/>
      </c>
      <c r="S1000" t="str">
        <f>IF(J1000="","",IF(J1000=0,100,MIN(100,100*Parametros!$B$6/J1000)))</f>
        <v/>
      </c>
      <c r="T1000" t="str">
        <f>IF(L1000="","",MIN(100,100*L1000/Parametros!$B$7))</f>
        <v/>
      </c>
      <c r="U1000" t="str">
        <f>IF(K1000="","",MIN(100,100*K1000/Parametros!$B$8))</f>
        <v/>
      </c>
      <c r="V1000" t="str">
        <f ca="1">IFERROR(((AVERAGEIFS(Documentacion!$C$2:$C$1000,Documentacion!$A$2:$A$1000,$A1000,Documentacion!$B$2:$B$1000,"&gt;="&amp;DATEVALUE($B1000&amp;"-01"),Documentacion!$B$2:$B$1000,"&lt;="&amp;EOMONTH(DATEVALUE($B1000&amp;"-01"),0)))-1)/4*100,"")</f>
        <v/>
      </c>
      <c r="W1000" t="str">
        <f ca="1">IFERROR(((AVERAGEIFS(Feedback_360!$D$2:$D$1000,Feedback_360!$A$2:$A$1000,$A1000,Feedback_360!$B$2:$B$1000,"&gt;="&amp;DATEVALUE($B1000&amp;"-01"),Feedback_360!$B$2:$B$1000,"&lt;="&amp;EOMONTH(DATEVALUE($B1000&amp;"-01"),0)))-1)/4*100,"")</f>
        <v/>
      </c>
      <c r="X1000" t="str">
        <f ca="1">IFERROR(((AVERAGEIFS(Observacion_Directa!$D$2:$D$1000,Observacion_Directa!$A$2:$A$1000,$A1000,Observacion_Directa!$B$2:$B$1000,"&gt;="&amp;DATEVALUE($B1000&amp;"-01"),Observacion_Directa!$B$2:$B$1000,"&lt;="&amp;EOMONTH(DATEVALUE($B1000&amp;"-01"),0)))-1)/4*100,"")</f>
        <v/>
      </c>
      <c r="Y1000" t="e">
        <f t="shared" ca="1" si="31"/>
        <v>#DIV/0!</v>
      </c>
    </row>
    <row r="1001" spans="12:25" x14ac:dyDescent="0.2">
      <c r="L1001" t="str">
        <f t="shared" si="30"/>
        <v/>
      </c>
      <c r="M1001" t="str">
        <f>IFERROR(AVERAGEIFS(Prod_5dias!$H$2:$H$1000,Prod_5dias!$A$2:$A$1000,$A1001,Prod_5dias!$B$2:$B$1000,$B1001),"")</f>
        <v/>
      </c>
      <c r="N1001" t="str">
        <f>IF(M1001="","",MIN(100,100*M1001/Parametros!$B$7))</f>
        <v/>
      </c>
      <c r="O1001" t="str">
        <f>IF(F1001="","",IF(F1001=0,100,MIN(100,100*Parametros!$B$3/F1001)))</f>
        <v/>
      </c>
      <c r="P1001" t="str">
        <f ca="1">IFERROR(((AVERAGEIFS(Observacion_Directa!$E$2:$E$1000,Observacion_Directa!$A$2:$A$1000,$A1001,Observacion_Directa!$B$2:$B$1000,"&gt;="&amp;DATEVALUE($B1001&amp;"-01"),Observacion_Directa!$B$2:$B$1000,"&lt;="&amp;EOMONTH(DATEVALUE($B1001&amp;"-01"),0)))-1)/4*100,"")</f>
        <v/>
      </c>
      <c r="Q1001" t="str">
        <f>IF(H1001="","",MIN(100,100*H1001/Parametros!$B$4))</f>
        <v/>
      </c>
      <c r="R1001" t="str">
        <f>IF(I1001="","",IF(I1001=0,100,MIN(100,100*Parametros!$B$5/I1001)))</f>
        <v/>
      </c>
      <c r="S1001" t="str">
        <f>IF(J1001="","",IF(J1001=0,100,MIN(100,100*Parametros!$B$6/J1001)))</f>
        <v/>
      </c>
      <c r="T1001" t="str">
        <f>IF(L1001="","",MIN(100,100*L1001/Parametros!$B$7))</f>
        <v/>
      </c>
      <c r="U1001" t="str">
        <f>IF(K1001="","",MIN(100,100*K1001/Parametros!$B$8))</f>
        <v/>
      </c>
      <c r="V1001" t="str">
        <f ca="1">IFERROR(((AVERAGEIFS(Documentacion!$C$2:$C$1000,Documentacion!$A$2:$A$1000,$A1001,Documentacion!$B$2:$B$1000,"&gt;="&amp;DATEVALUE($B1001&amp;"-01"),Documentacion!$B$2:$B$1000,"&lt;="&amp;EOMONTH(DATEVALUE($B1001&amp;"-01"),0)))-1)/4*100,"")</f>
        <v/>
      </c>
      <c r="W1001" t="str">
        <f ca="1">IFERROR(((AVERAGEIFS(Feedback_360!$D$2:$D$1000,Feedback_360!$A$2:$A$1000,$A1001,Feedback_360!$B$2:$B$1000,"&gt;="&amp;DATEVALUE($B1001&amp;"-01"),Feedback_360!$B$2:$B$1000,"&lt;="&amp;EOMONTH(DATEVALUE($B1001&amp;"-01"),0)))-1)/4*100,"")</f>
        <v/>
      </c>
      <c r="X1001" t="str">
        <f ca="1">IFERROR(((AVERAGEIFS(Observacion_Directa!$D$2:$D$1000,Observacion_Directa!$A$2:$A$1000,$A1001,Observacion_Directa!$B$2:$B$1000,"&gt;="&amp;DATEVALUE($B1001&amp;"-01"),Observacion_Directa!$B$2:$B$1000,"&lt;="&amp;EOMONTH(DATEVALUE($B1001&amp;"-01"),0)))-1)/4*100,"")</f>
        <v/>
      </c>
      <c r="Y1001" t="e">
        <f t="shared" ca="1" si="31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opLeftCell="D1" workbookViewId="0"/>
  </sheetViews>
  <sheetFormatPr baseColWidth="10" defaultColWidth="8.83203125" defaultRowHeight="15" x14ac:dyDescent="0.2"/>
  <cols>
    <col min="1" max="9" width="24.6640625" customWidth="1"/>
  </cols>
  <sheetData>
    <row r="1" spans="1:9" s="1" customFormat="1" x14ac:dyDescent="0.2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</sheetData>
  <dataValidations count="1">
    <dataValidation type="list" allowBlank="1" showInputMessage="1" showErrorMessage="1" promptTitle="Rate 1–5" prompt="1=Poor · 3=Acceptable · 5=Excellent" sqref="C2:H1000" xr:uid="{00000000-0002-0000-0100-000000000000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tabSelected="1" workbookViewId="0"/>
  </sheetViews>
  <sheetFormatPr baseColWidth="10" defaultColWidth="8.83203125" defaultRowHeight="15" x14ac:dyDescent="0.2"/>
  <cols>
    <col min="1" max="10" width="24.6640625" customWidth="1"/>
  </cols>
  <sheetData>
    <row r="1" spans="1:10" s="1" customFormat="1" x14ac:dyDescent="0.2">
      <c r="A1" s="2" t="s">
        <v>0</v>
      </c>
      <c r="B1" s="2" t="s">
        <v>14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20</v>
      </c>
      <c r="J1" s="2" t="s">
        <v>21</v>
      </c>
    </row>
  </sheetData>
  <dataValidations count="1">
    <dataValidation type="list" allowBlank="1" showInputMessage="1" showErrorMessage="1" promptTitle="Rate 1–5" prompt="1=Poor · 3=Acceptable · 5=Excellent" sqref="D2:I1000" xr:uid="{00000000-0002-0000-0200-000000000000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baseColWidth="10" defaultColWidth="8.83203125" defaultRowHeight="15" x14ac:dyDescent="0.2"/>
  <cols>
    <col min="1" max="7" width="24.6640625" customWidth="1"/>
  </cols>
  <sheetData>
    <row r="1" spans="1:7" s="1" customFormat="1" x14ac:dyDescent="0.2">
      <c r="A1" s="2" t="s">
        <v>0</v>
      </c>
      <c r="B1" s="2" t="s">
        <v>14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21</v>
      </c>
    </row>
  </sheetData>
  <dataValidations count="1">
    <dataValidation type="list" allowBlank="1" showInputMessage="1" showErrorMessage="1" promptTitle="Rate 1–5" prompt="1=Poor · 3=Acceptable · 5=Excellent" sqref="D2:F1000" xr:uid="{00000000-0002-0000-0300-000000000000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A2" sqref="A2"/>
    </sheetView>
  </sheetViews>
  <sheetFormatPr baseColWidth="10" defaultColWidth="8.83203125" defaultRowHeight="15" x14ac:dyDescent="0.2"/>
  <cols>
    <col min="1" max="8" width="24.6640625" customWidth="1"/>
  </cols>
  <sheetData>
    <row r="1" spans="1:8" s="1" customFormat="1" x14ac:dyDescent="0.2">
      <c r="A1" s="2" t="s">
        <v>0</v>
      </c>
      <c r="B1" s="2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 x14ac:dyDescent="0.2">
      <c r="H2" t="str">
        <f t="shared" ref="H2:H65" si="0">IF(COUNTIF(C2:G2,"&lt;&gt;")=0,"",AVERAGE(C2:G2))</f>
        <v/>
      </c>
    </row>
    <row r="3" spans="1:8" x14ac:dyDescent="0.2">
      <c r="H3" t="str">
        <f t="shared" si="0"/>
        <v/>
      </c>
    </row>
    <row r="4" spans="1:8" x14ac:dyDescent="0.2">
      <c r="H4" t="str">
        <f t="shared" si="0"/>
        <v/>
      </c>
    </row>
    <row r="5" spans="1:8" x14ac:dyDescent="0.2">
      <c r="H5" t="str">
        <f t="shared" si="0"/>
        <v/>
      </c>
    </row>
    <row r="6" spans="1:8" x14ac:dyDescent="0.2">
      <c r="H6" t="str">
        <f t="shared" si="0"/>
        <v/>
      </c>
    </row>
    <row r="7" spans="1:8" x14ac:dyDescent="0.2">
      <c r="H7" t="str">
        <f t="shared" si="0"/>
        <v/>
      </c>
    </row>
    <row r="8" spans="1:8" x14ac:dyDescent="0.2">
      <c r="H8" t="str">
        <f t="shared" si="0"/>
        <v/>
      </c>
    </row>
    <row r="9" spans="1:8" x14ac:dyDescent="0.2">
      <c r="H9" t="str">
        <f t="shared" si="0"/>
        <v/>
      </c>
    </row>
    <row r="10" spans="1:8" x14ac:dyDescent="0.2">
      <c r="H10" t="str">
        <f t="shared" si="0"/>
        <v/>
      </c>
    </row>
    <row r="11" spans="1:8" x14ac:dyDescent="0.2">
      <c r="H11" t="str">
        <f t="shared" si="0"/>
        <v/>
      </c>
    </row>
    <row r="12" spans="1:8" x14ac:dyDescent="0.2">
      <c r="H12" t="str">
        <f t="shared" si="0"/>
        <v/>
      </c>
    </row>
    <row r="13" spans="1:8" x14ac:dyDescent="0.2">
      <c r="H13" t="str">
        <f t="shared" si="0"/>
        <v/>
      </c>
    </row>
    <row r="14" spans="1:8" x14ac:dyDescent="0.2">
      <c r="H14" t="str">
        <f t="shared" si="0"/>
        <v/>
      </c>
    </row>
    <row r="15" spans="1:8" x14ac:dyDescent="0.2">
      <c r="H15" t="str">
        <f t="shared" si="0"/>
        <v/>
      </c>
    </row>
    <row r="16" spans="1:8" x14ac:dyDescent="0.2">
      <c r="H16" t="str">
        <f t="shared" si="0"/>
        <v/>
      </c>
    </row>
    <row r="17" spans="8:8" x14ac:dyDescent="0.2">
      <c r="H17" t="str">
        <f t="shared" si="0"/>
        <v/>
      </c>
    </row>
    <row r="18" spans="8:8" x14ac:dyDescent="0.2">
      <c r="H18" t="str">
        <f t="shared" si="0"/>
        <v/>
      </c>
    </row>
    <row r="19" spans="8:8" x14ac:dyDescent="0.2">
      <c r="H19" t="str">
        <f t="shared" si="0"/>
        <v/>
      </c>
    </row>
    <row r="20" spans="8:8" x14ac:dyDescent="0.2">
      <c r="H20" t="str">
        <f t="shared" si="0"/>
        <v/>
      </c>
    </row>
    <row r="21" spans="8:8" x14ac:dyDescent="0.2">
      <c r="H21" t="str">
        <f t="shared" si="0"/>
        <v/>
      </c>
    </row>
    <row r="22" spans="8:8" x14ac:dyDescent="0.2">
      <c r="H22" t="str">
        <f t="shared" si="0"/>
        <v/>
      </c>
    </row>
    <row r="23" spans="8:8" x14ac:dyDescent="0.2">
      <c r="H23" t="str">
        <f t="shared" si="0"/>
        <v/>
      </c>
    </row>
    <row r="24" spans="8:8" x14ac:dyDescent="0.2">
      <c r="H24" t="str">
        <f t="shared" si="0"/>
        <v/>
      </c>
    </row>
    <row r="25" spans="8:8" x14ac:dyDescent="0.2">
      <c r="H25" t="str">
        <f t="shared" si="0"/>
        <v/>
      </c>
    </row>
    <row r="26" spans="8:8" x14ac:dyDescent="0.2">
      <c r="H26" t="str">
        <f t="shared" si="0"/>
        <v/>
      </c>
    </row>
    <row r="27" spans="8:8" x14ac:dyDescent="0.2">
      <c r="H27" t="str">
        <f t="shared" si="0"/>
        <v/>
      </c>
    </row>
    <row r="28" spans="8:8" x14ac:dyDescent="0.2">
      <c r="H28" t="str">
        <f t="shared" si="0"/>
        <v/>
      </c>
    </row>
    <row r="29" spans="8:8" x14ac:dyDescent="0.2">
      <c r="H29" t="str">
        <f t="shared" si="0"/>
        <v/>
      </c>
    </row>
    <row r="30" spans="8:8" x14ac:dyDescent="0.2">
      <c r="H30" t="str">
        <f t="shared" si="0"/>
        <v/>
      </c>
    </row>
    <row r="31" spans="8:8" x14ac:dyDescent="0.2">
      <c r="H31" t="str">
        <f t="shared" si="0"/>
        <v/>
      </c>
    </row>
    <row r="32" spans="8:8" x14ac:dyDescent="0.2">
      <c r="H32" t="str">
        <f t="shared" si="0"/>
        <v/>
      </c>
    </row>
    <row r="33" spans="8:8" x14ac:dyDescent="0.2">
      <c r="H33" t="str">
        <f t="shared" si="0"/>
        <v/>
      </c>
    </row>
    <row r="34" spans="8:8" x14ac:dyDescent="0.2">
      <c r="H34" t="str">
        <f t="shared" si="0"/>
        <v/>
      </c>
    </row>
    <row r="35" spans="8:8" x14ac:dyDescent="0.2">
      <c r="H35" t="str">
        <f t="shared" si="0"/>
        <v/>
      </c>
    </row>
    <row r="36" spans="8:8" x14ac:dyDescent="0.2">
      <c r="H36" t="str">
        <f t="shared" si="0"/>
        <v/>
      </c>
    </row>
    <row r="37" spans="8:8" x14ac:dyDescent="0.2">
      <c r="H37" t="str">
        <f t="shared" si="0"/>
        <v/>
      </c>
    </row>
    <row r="38" spans="8:8" x14ac:dyDescent="0.2">
      <c r="H38" t="str">
        <f t="shared" si="0"/>
        <v/>
      </c>
    </row>
    <row r="39" spans="8:8" x14ac:dyDescent="0.2">
      <c r="H39" t="str">
        <f t="shared" si="0"/>
        <v/>
      </c>
    </row>
    <row r="40" spans="8:8" x14ac:dyDescent="0.2">
      <c r="H40" t="str">
        <f t="shared" si="0"/>
        <v/>
      </c>
    </row>
    <row r="41" spans="8:8" x14ac:dyDescent="0.2">
      <c r="H41" t="str">
        <f t="shared" si="0"/>
        <v/>
      </c>
    </row>
    <row r="42" spans="8:8" x14ac:dyDescent="0.2">
      <c r="H42" t="str">
        <f t="shared" si="0"/>
        <v/>
      </c>
    </row>
    <row r="43" spans="8:8" x14ac:dyDescent="0.2">
      <c r="H43" t="str">
        <f t="shared" si="0"/>
        <v/>
      </c>
    </row>
    <row r="44" spans="8:8" x14ac:dyDescent="0.2">
      <c r="H44" t="str">
        <f t="shared" si="0"/>
        <v/>
      </c>
    </row>
    <row r="45" spans="8:8" x14ac:dyDescent="0.2">
      <c r="H45" t="str">
        <f t="shared" si="0"/>
        <v/>
      </c>
    </row>
    <row r="46" spans="8:8" x14ac:dyDescent="0.2">
      <c r="H46" t="str">
        <f t="shared" si="0"/>
        <v/>
      </c>
    </row>
    <row r="47" spans="8:8" x14ac:dyDescent="0.2">
      <c r="H47" t="str">
        <f t="shared" si="0"/>
        <v/>
      </c>
    </row>
    <row r="48" spans="8:8" x14ac:dyDescent="0.2">
      <c r="H48" t="str">
        <f t="shared" si="0"/>
        <v/>
      </c>
    </row>
    <row r="49" spans="8:8" x14ac:dyDescent="0.2">
      <c r="H49" t="str">
        <f t="shared" si="0"/>
        <v/>
      </c>
    </row>
    <row r="50" spans="8:8" x14ac:dyDescent="0.2">
      <c r="H50" t="str">
        <f t="shared" si="0"/>
        <v/>
      </c>
    </row>
    <row r="51" spans="8:8" x14ac:dyDescent="0.2">
      <c r="H51" t="str">
        <f t="shared" si="0"/>
        <v/>
      </c>
    </row>
    <row r="52" spans="8:8" x14ac:dyDescent="0.2">
      <c r="H52" t="str">
        <f t="shared" si="0"/>
        <v/>
      </c>
    </row>
    <row r="53" spans="8:8" x14ac:dyDescent="0.2">
      <c r="H53" t="str">
        <f t="shared" si="0"/>
        <v/>
      </c>
    </row>
    <row r="54" spans="8:8" x14ac:dyDescent="0.2">
      <c r="H54" t="str">
        <f t="shared" si="0"/>
        <v/>
      </c>
    </row>
    <row r="55" spans="8:8" x14ac:dyDescent="0.2">
      <c r="H55" t="str">
        <f t="shared" si="0"/>
        <v/>
      </c>
    </row>
    <row r="56" spans="8:8" x14ac:dyDescent="0.2">
      <c r="H56" t="str">
        <f t="shared" si="0"/>
        <v/>
      </c>
    </row>
    <row r="57" spans="8:8" x14ac:dyDescent="0.2">
      <c r="H57" t="str">
        <f t="shared" si="0"/>
        <v/>
      </c>
    </row>
    <row r="58" spans="8:8" x14ac:dyDescent="0.2">
      <c r="H58" t="str">
        <f t="shared" si="0"/>
        <v/>
      </c>
    </row>
    <row r="59" spans="8:8" x14ac:dyDescent="0.2">
      <c r="H59" t="str">
        <f t="shared" si="0"/>
        <v/>
      </c>
    </row>
    <row r="60" spans="8:8" x14ac:dyDescent="0.2">
      <c r="H60" t="str">
        <f t="shared" si="0"/>
        <v/>
      </c>
    </row>
    <row r="61" spans="8:8" x14ac:dyDescent="0.2">
      <c r="H61" t="str">
        <f t="shared" si="0"/>
        <v/>
      </c>
    </row>
    <row r="62" spans="8:8" x14ac:dyDescent="0.2">
      <c r="H62" t="str">
        <f t="shared" si="0"/>
        <v/>
      </c>
    </row>
    <row r="63" spans="8:8" x14ac:dyDescent="0.2">
      <c r="H63" t="str">
        <f t="shared" si="0"/>
        <v/>
      </c>
    </row>
    <row r="64" spans="8:8" x14ac:dyDescent="0.2">
      <c r="H64" t="str">
        <f t="shared" si="0"/>
        <v/>
      </c>
    </row>
    <row r="65" spans="8:8" x14ac:dyDescent="0.2">
      <c r="H65" t="str">
        <f t="shared" si="0"/>
        <v/>
      </c>
    </row>
    <row r="66" spans="8:8" x14ac:dyDescent="0.2">
      <c r="H66" t="str">
        <f t="shared" ref="H66:H129" si="1">IF(COUNTIF(C66:G66,"&lt;&gt;")=0,"",AVERAGE(C66:G66))</f>
        <v/>
      </c>
    </row>
    <row r="67" spans="8:8" x14ac:dyDescent="0.2">
      <c r="H67" t="str">
        <f t="shared" si="1"/>
        <v/>
      </c>
    </row>
    <row r="68" spans="8:8" x14ac:dyDescent="0.2">
      <c r="H68" t="str">
        <f t="shared" si="1"/>
        <v/>
      </c>
    </row>
    <row r="69" spans="8:8" x14ac:dyDescent="0.2">
      <c r="H69" t="str">
        <f t="shared" si="1"/>
        <v/>
      </c>
    </row>
    <row r="70" spans="8:8" x14ac:dyDescent="0.2">
      <c r="H70" t="str">
        <f t="shared" si="1"/>
        <v/>
      </c>
    </row>
    <row r="71" spans="8:8" x14ac:dyDescent="0.2">
      <c r="H71" t="str">
        <f t="shared" si="1"/>
        <v/>
      </c>
    </row>
    <row r="72" spans="8:8" x14ac:dyDescent="0.2">
      <c r="H72" t="str">
        <f t="shared" si="1"/>
        <v/>
      </c>
    </row>
    <row r="73" spans="8:8" x14ac:dyDescent="0.2">
      <c r="H73" t="str">
        <f t="shared" si="1"/>
        <v/>
      </c>
    </row>
    <row r="74" spans="8:8" x14ac:dyDescent="0.2">
      <c r="H74" t="str">
        <f t="shared" si="1"/>
        <v/>
      </c>
    </row>
    <row r="75" spans="8:8" x14ac:dyDescent="0.2">
      <c r="H75" t="str">
        <f t="shared" si="1"/>
        <v/>
      </c>
    </row>
    <row r="76" spans="8:8" x14ac:dyDescent="0.2">
      <c r="H76" t="str">
        <f t="shared" si="1"/>
        <v/>
      </c>
    </row>
    <row r="77" spans="8:8" x14ac:dyDescent="0.2">
      <c r="H77" t="str">
        <f t="shared" si="1"/>
        <v/>
      </c>
    </row>
    <row r="78" spans="8:8" x14ac:dyDescent="0.2">
      <c r="H78" t="str">
        <f t="shared" si="1"/>
        <v/>
      </c>
    </row>
    <row r="79" spans="8:8" x14ac:dyDescent="0.2">
      <c r="H79" t="str">
        <f t="shared" si="1"/>
        <v/>
      </c>
    </row>
    <row r="80" spans="8:8" x14ac:dyDescent="0.2">
      <c r="H80" t="str">
        <f t="shared" si="1"/>
        <v/>
      </c>
    </row>
    <row r="81" spans="8:8" x14ac:dyDescent="0.2">
      <c r="H81" t="str">
        <f t="shared" si="1"/>
        <v/>
      </c>
    </row>
    <row r="82" spans="8:8" x14ac:dyDescent="0.2">
      <c r="H82" t="str">
        <f t="shared" si="1"/>
        <v/>
      </c>
    </row>
    <row r="83" spans="8:8" x14ac:dyDescent="0.2">
      <c r="H83" t="str">
        <f t="shared" si="1"/>
        <v/>
      </c>
    </row>
    <row r="84" spans="8:8" x14ac:dyDescent="0.2">
      <c r="H84" t="str">
        <f t="shared" si="1"/>
        <v/>
      </c>
    </row>
    <row r="85" spans="8:8" x14ac:dyDescent="0.2">
      <c r="H85" t="str">
        <f t="shared" si="1"/>
        <v/>
      </c>
    </row>
    <row r="86" spans="8:8" x14ac:dyDescent="0.2">
      <c r="H86" t="str">
        <f t="shared" si="1"/>
        <v/>
      </c>
    </row>
    <row r="87" spans="8:8" x14ac:dyDescent="0.2">
      <c r="H87" t="str">
        <f t="shared" si="1"/>
        <v/>
      </c>
    </row>
    <row r="88" spans="8:8" x14ac:dyDescent="0.2">
      <c r="H88" t="str">
        <f t="shared" si="1"/>
        <v/>
      </c>
    </row>
    <row r="89" spans="8:8" x14ac:dyDescent="0.2">
      <c r="H89" t="str">
        <f t="shared" si="1"/>
        <v/>
      </c>
    </row>
    <row r="90" spans="8:8" x14ac:dyDescent="0.2">
      <c r="H90" t="str">
        <f t="shared" si="1"/>
        <v/>
      </c>
    </row>
    <row r="91" spans="8:8" x14ac:dyDescent="0.2">
      <c r="H91" t="str">
        <f t="shared" si="1"/>
        <v/>
      </c>
    </row>
    <row r="92" spans="8:8" x14ac:dyDescent="0.2">
      <c r="H92" t="str">
        <f t="shared" si="1"/>
        <v/>
      </c>
    </row>
    <row r="93" spans="8:8" x14ac:dyDescent="0.2">
      <c r="H93" t="str">
        <f t="shared" si="1"/>
        <v/>
      </c>
    </row>
    <row r="94" spans="8:8" x14ac:dyDescent="0.2">
      <c r="H94" t="str">
        <f t="shared" si="1"/>
        <v/>
      </c>
    </row>
    <row r="95" spans="8:8" x14ac:dyDescent="0.2">
      <c r="H95" t="str">
        <f t="shared" si="1"/>
        <v/>
      </c>
    </row>
    <row r="96" spans="8:8" x14ac:dyDescent="0.2">
      <c r="H96" t="str">
        <f t="shared" si="1"/>
        <v/>
      </c>
    </row>
    <row r="97" spans="8:8" x14ac:dyDescent="0.2">
      <c r="H97" t="str">
        <f t="shared" si="1"/>
        <v/>
      </c>
    </row>
    <row r="98" spans="8:8" x14ac:dyDescent="0.2">
      <c r="H98" t="str">
        <f t="shared" si="1"/>
        <v/>
      </c>
    </row>
    <row r="99" spans="8:8" x14ac:dyDescent="0.2">
      <c r="H99" t="str">
        <f t="shared" si="1"/>
        <v/>
      </c>
    </row>
    <row r="100" spans="8:8" x14ac:dyDescent="0.2">
      <c r="H100" t="str">
        <f t="shared" si="1"/>
        <v/>
      </c>
    </row>
    <row r="101" spans="8:8" x14ac:dyDescent="0.2">
      <c r="H101" t="str">
        <f t="shared" si="1"/>
        <v/>
      </c>
    </row>
    <row r="102" spans="8:8" x14ac:dyDescent="0.2">
      <c r="H102" t="str">
        <f t="shared" si="1"/>
        <v/>
      </c>
    </row>
    <row r="103" spans="8:8" x14ac:dyDescent="0.2">
      <c r="H103" t="str">
        <f t="shared" si="1"/>
        <v/>
      </c>
    </row>
    <row r="104" spans="8:8" x14ac:dyDescent="0.2">
      <c r="H104" t="str">
        <f t="shared" si="1"/>
        <v/>
      </c>
    </row>
    <row r="105" spans="8:8" x14ac:dyDescent="0.2">
      <c r="H105" t="str">
        <f t="shared" si="1"/>
        <v/>
      </c>
    </row>
    <row r="106" spans="8:8" x14ac:dyDescent="0.2">
      <c r="H106" t="str">
        <f t="shared" si="1"/>
        <v/>
      </c>
    </row>
    <row r="107" spans="8:8" x14ac:dyDescent="0.2">
      <c r="H107" t="str">
        <f t="shared" si="1"/>
        <v/>
      </c>
    </row>
    <row r="108" spans="8:8" x14ac:dyDescent="0.2">
      <c r="H108" t="str">
        <f t="shared" si="1"/>
        <v/>
      </c>
    </row>
    <row r="109" spans="8:8" x14ac:dyDescent="0.2">
      <c r="H109" t="str">
        <f t="shared" si="1"/>
        <v/>
      </c>
    </row>
    <row r="110" spans="8:8" x14ac:dyDescent="0.2">
      <c r="H110" t="str">
        <f t="shared" si="1"/>
        <v/>
      </c>
    </row>
    <row r="111" spans="8:8" x14ac:dyDescent="0.2">
      <c r="H111" t="str">
        <f t="shared" si="1"/>
        <v/>
      </c>
    </row>
    <row r="112" spans="8:8" x14ac:dyDescent="0.2">
      <c r="H112" t="str">
        <f t="shared" si="1"/>
        <v/>
      </c>
    </row>
    <row r="113" spans="8:8" x14ac:dyDescent="0.2">
      <c r="H113" t="str">
        <f t="shared" si="1"/>
        <v/>
      </c>
    </row>
    <row r="114" spans="8:8" x14ac:dyDescent="0.2">
      <c r="H114" t="str">
        <f t="shared" si="1"/>
        <v/>
      </c>
    </row>
    <row r="115" spans="8:8" x14ac:dyDescent="0.2">
      <c r="H115" t="str">
        <f t="shared" si="1"/>
        <v/>
      </c>
    </row>
    <row r="116" spans="8:8" x14ac:dyDescent="0.2">
      <c r="H116" t="str">
        <f t="shared" si="1"/>
        <v/>
      </c>
    </row>
    <row r="117" spans="8:8" x14ac:dyDescent="0.2">
      <c r="H117" t="str">
        <f t="shared" si="1"/>
        <v/>
      </c>
    </row>
    <row r="118" spans="8:8" x14ac:dyDescent="0.2">
      <c r="H118" t="str">
        <f t="shared" si="1"/>
        <v/>
      </c>
    </row>
    <row r="119" spans="8:8" x14ac:dyDescent="0.2">
      <c r="H119" t="str">
        <f t="shared" si="1"/>
        <v/>
      </c>
    </row>
    <row r="120" spans="8:8" x14ac:dyDescent="0.2">
      <c r="H120" t="str">
        <f t="shared" si="1"/>
        <v/>
      </c>
    </row>
    <row r="121" spans="8:8" x14ac:dyDescent="0.2">
      <c r="H121" t="str">
        <f t="shared" si="1"/>
        <v/>
      </c>
    </row>
    <row r="122" spans="8:8" x14ac:dyDescent="0.2">
      <c r="H122" t="str">
        <f t="shared" si="1"/>
        <v/>
      </c>
    </row>
    <row r="123" spans="8:8" x14ac:dyDescent="0.2">
      <c r="H123" t="str">
        <f t="shared" si="1"/>
        <v/>
      </c>
    </row>
    <row r="124" spans="8:8" x14ac:dyDescent="0.2">
      <c r="H124" t="str">
        <f t="shared" si="1"/>
        <v/>
      </c>
    </row>
    <row r="125" spans="8:8" x14ac:dyDescent="0.2">
      <c r="H125" t="str">
        <f t="shared" si="1"/>
        <v/>
      </c>
    </row>
    <row r="126" spans="8:8" x14ac:dyDescent="0.2">
      <c r="H126" t="str">
        <f t="shared" si="1"/>
        <v/>
      </c>
    </row>
    <row r="127" spans="8:8" x14ac:dyDescent="0.2">
      <c r="H127" t="str">
        <f t="shared" si="1"/>
        <v/>
      </c>
    </row>
    <row r="128" spans="8:8" x14ac:dyDescent="0.2">
      <c r="H128" t="str">
        <f t="shared" si="1"/>
        <v/>
      </c>
    </row>
    <row r="129" spans="8:8" x14ac:dyDescent="0.2">
      <c r="H129" t="str">
        <f t="shared" si="1"/>
        <v/>
      </c>
    </row>
    <row r="130" spans="8:8" x14ac:dyDescent="0.2">
      <c r="H130" t="str">
        <f t="shared" ref="H130:H193" si="2">IF(COUNTIF(C130:G130,"&lt;&gt;")=0,"",AVERAGE(C130:G130))</f>
        <v/>
      </c>
    </row>
    <row r="131" spans="8:8" x14ac:dyDescent="0.2">
      <c r="H131" t="str">
        <f t="shared" si="2"/>
        <v/>
      </c>
    </row>
    <row r="132" spans="8:8" x14ac:dyDescent="0.2">
      <c r="H132" t="str">
        <f t="shared" si="2"/>
        <v/>
      </c>
    </row>
    <row r="133" spans="8:8" x14ac:dyDescent="0.2">
      <c r="H133" t="str">
        <f t="shared" si="2"/>
        <v/>
      </c>
    </row>
    <row r="134" spans="8:8" x14ac:dyDescent="0.2">
      <c r="H134" t="str">
        <f t="shared" si="2"/>
        <v/>
      </c>
    </row>
    <row r="135" spans="8:8" x14ac:dyDescent="0.2">
      <c r="H135" t="str">
        <f t="shared" si="2"/>
        <v/>
      </c>
    </row>
    <row r="136" spans="8:8" x14ac:dyDescent="0.2">
      <c r="H136" t="str">
        <f t="shared" si="2"/>
        <v/>
      </c>
    </row>
    <row r="137" spans="8:8" x14ac:dyDescent="0.2">
      <c r="H137" t="str">
        <f t="shared" si="2"/>
        <v/>
      </c>
    </row>
    <row r="138" spans="8:8" x14ac:dyDescent="0.2">
      <c r="H138" t="str">
        <f t="shared" si="2"/>
        <v/>
      </c>
    </row>
    <row r="139" spans="8:8" x14ac:dyDescent="0.2">
      <c r="H139" t="str">
        <f t="shared" si="2"/>
        <v/>
      </c>
    </row>
    <row r="140" spans="8:8" x14ac:dyDescent="0.2">
      <c r="H140" t="str">
        <f t="shared" si="2"/>
        <v/>
      </c>
    </row>
    <row r="141" spans="8:8" x14ac:dyDescent="0.2">
      <c r="H141" t="str">
        <f t="shared" si="2"/>
        <v/>
      </c>
    </row>
    <row r="142" spans="8:8" x14ac:dyDescent="0.2">
      <c r="H142" t="str">
        <f t="shared" si="2"/>
        <v/>
      </c>
    </row>
    <row r="143" spans="8:8" x14ac:dyDescent="0.2">
      <c r="H143" t="str">
        <f t="shared" si="2"/>
        <v/>
      </c>
    </row>
    <row r="144" spans="8:8" x14ac:dyDescent="0.2">
      <c r="H144" t="str">
        <f t="shared" si="2"/>
        <v/>
      </c>
    </row>
    <row r="145" spans="8:8" x14ac:dyDescent="0.2">
      <c r="H145" t="str">
        <f t="shared" si="2"/>
        <v/>
      </c>
    </row>
    <row r="146" spans="8:8" x14ac:dyDescent="0.2">
      <c r="H146" t="str">
        <f t="shared" si="2"/>
        <v/>
      </c>
    </row>
    <row r="147" spans="8:8" x14ac:dyDescent="0.2">
      <c r="H147" t="str">
        <f t="shared" si="2"/>
        <v/>
      </c>
    </row>
    <row r="148" spans="8:8" x14ac:dyDescent="0.2">
      <c r="H148" t="str">
        <f t="shared" si="2"/>
        <v/>
      </c>
    </row>
    <row r="149" spans="8:8" x14ac:dyDescent="0.2">
      <c r="H149" t="str">
        <f t="shared" si="2"/>
        <v/>
      </c>
    </row>
    <row r="150" spans="8:8" x14ac:dyDescent="0.2">
      <c r="H150" t="str">
        <f t="shared" si="2"/>
        <v/>
      </c>
    </row>
    <row r="151" spans="8:8" x14ac:dyDescent="0.2">
      <c r="H151" t="str">
        <f t="shared" si="2"/>
        <v/>
      </c>
    </row>
    <row r="152" spans="8:8" x14ac:dyDescent="0.2">
      <c r="H152" t="str">
        <f t="shared" si="2"/>
        <v/>
      </c>
    </row>
    <row r="153" spans="8:8" x14ac:dyDescent="0.2">
      <c r="H153" t="str">
        <f t="shared" si="2"/>
        <v/>
      </c>
    </row>
    <row r="154" spans="8:8" x14ac:dyDescent="0.2">
      <c r="H154" t="str">
        <f t="shared" si="2"/>
        <v/>
      </c>
    </row>
    <row r="155" spans="8:8" x14ac:dyDescent="0.2">
      <c r="H155" t="str">
        <f t="shared" si="2"/>
        <v/>
      </c>
    </row>
    <row r="156" spans="8:8" x14ac:dyDescent="0.2">
      <c r="H156" t="str">
        <f t="shared" si="2"/>
        <v/>
      </c>
    </row>
    <row r="157" spans="8:8" x14ac:dyDescent="0.2">
      <c r="H157" t="str">
        <f t="shared" si="2"/>
        <v/>
      </c>
    </row>
    <row r="158" spans="8:8" x14ac:dyDescent="0.2">
      <c r="H158" t="str">
        <f t="shared" si="2"/>
        <v/>
      </c>
    </row>
    <row r="159" spans="8:8" x14ac:dyDescent="0.2">
      <c r="H159" t="str">
        <f t="shared" si="2"/>
        <v/>
      </c>
    </row>
    <row r="160" spans="8:8" x14ac:dyDescent="0.2">
      <c r="H160" t="str">
        <f t="shared" si="2"/>
        <v/>
      </c>
    </row>
    <row r="161" spans="8:8" x14ac:dyDescent="0.2">
      <c r="H161" t="str">
        <f t="shared" si="2"/>
        <v/>
      </c>
    </row>
    <row r="162" spans="8:8" x14ac:dyDescent="0.2">
      <c r="H162" t="str">
        <f t="shared" si="2"/>
        <v/>
      </c>
    </row>
    <row r="163" spans="8:8" x14ac:dyDescent="0.2">
      <c r="H163" t="str">
        <f t="shared" si="2"/>
        <v/>
      </c>
    </row>
    <row r="164" spans="8:8" x14ac:dyDescent="0.2">
      <c r="H164" t="str">
        <f t="shared" si="2"/>
        <v/>
      </c>
    </row>
    <row r="165" spans="8:8" x14ac:dyDescent="0.2">
      <c r="H165" t="str">
        <f t="shared" si="2"/>
        <v/>
      </c>
    </row>
    <row r="166" spans="8:8" x14ac:dyDescent="0.2">
      <c r="H166" t="str">
        <f t="shared" si="2"/>
        <v/>
      </c>
    </row>
    <row r="167" spans="8:8" x14ac:dyDescent="0.2">
      <c r="H167" t="str">
        <f t="shared" si="2"/>
        <v/>
      </c>
    </row>
    <row r="168" spans="8:8" x14ac:dyDescent="0.2">
      <c r="H168" t="str">
        <f t="shared" si="2"/>
        <v/>
      </c>
    </row>
    <row r="169" spans="8:8" x14ac:dyDescent="0.2">
      <c r="H169" t="str">
        <f t="shared" si="2"/>
        <v/>
      </c>
    </row>
    <row r="170" spans="8:8" x14ac:dyDescent="0.2">
      <c r="H170" t="str">
        <f t="shared" si="2"/>
        <v/>
      </c>
    </row>
    <row r="171" spans="8:8" x14ac:dyDescent="0.2">
      <c r="H171" t="str">
        <f t="shared" si="2"/>
        <v/>
      </c>
    </row>
    <row r="172" spans="8:8" x14ac:dyDescent="0.2">
      <c r="H172" t="str">
        <f t="shared" si="2"/>
        <v/>
      </c>
    </row>
    <row r="173" spans="8:8" x14ac:dyDescent="0.2">
      <c r="H173" t="str">
        <f t="shared" si="2"/>
        <v/>
      </c>
    </row>
    <row r="174" spans="8:8" x14ac:dyDescent="0.2">
      <c r="H174" t="str">
        <f t="shared" si="2"/>
        <v/>
      </c>
    </row>
    <row r="175" spans="8:8" x14ac:dyDescent="0.2">
      <c r="H175" t="str">
        <f t="shared" si="2"/>
        <v/>
      </c>
    </row>
    <row r="176" spans="8:8" x14ac:dyDescent="0.2">
      <c r="H176" t="str">
        <f t="shared" si="2"/>
        <v/>
      </c>
    </row>
    <row r="177" spans="8:8" x14ac:dyDescent="0.2">
      <c r="H177" t="str">
        <f t="shared" si="2"/>
        <v/>
      </c>
    </row>
    <row r="178" spans="8:8" x14ac:dyDescent="0.2">
      <c r="H178" t="str">
        <f t="shared" si="2"/>
        <v/>
      </c>
    </row>
    <row r="179" spans="8:8" x14ac:dyDescent="0.2">
      <c r="H179" t="str">
        <f t="shared" si="2"/>
        <v/>
      </c>
    </row>
    <row r="180" spans="8:8" x14ac:dyDescent="0.2">
      <c r="H180" t="str">
        <f t="shared" si="2"/>
        <v/>
      </c>
    </row>
    <row r="181" spans="8:8" x14ac:dyDescent="0.2">
      <c r="H181" t="str">
        <f t="shared" si="2"/>
        <v/>
      </c>
    </row>
    <row r="182" spans="8:8" x14ac:dyDescent="0.2">
      <c r="H182" t="str">
        <f t="shared" si="2"/>
        <v/>
      </c>
    </row>
    <row r="183" spans="8:8" x14ac:dyDescent="0.2">
      <c r="H183" t="str">
        <f t="shared" si="2"/>
        <v/>
      </c>
    </row>
    <row r="184" spans="8:8" x14ac:dyDescent="0.2">
      <c r="H184" t="str">
        <f t="shared" si="2"/>
        <v/>
      </c>
    </row>
    <row r="185" spans="8:8" x14ac:dyDescent="0.2">
      <c r="H185" t="str">
        <f t="shared" si="2"/>
        <v/>
      </c>
    </row>
    <row r="186" spans="8:8" x14ac:dyDescent="0.2">
      <c r="H186" t="str">
        <f t="shared" si="2"/>
        <v/>
      </c>
    </row>
    <row r="187" spans="8:8" x14ac:dyDescent="0.2">
      <c r="H187" t="str">
        <f t="shared" si="2"/>
        <v/>
      </c>
    </row>
    <row r="188" spans="8:8" x14ac:dyDescent="0.2">
      <c r="H188" t="str">
        <f t="shared" si="2"/>
        <v/>
      </c>
    </row>
    <row r="189" spans="8:8" x14ac:dyDescent="0.2">
      <c r="H189" t="str">
        <f t="shared" si="2"/>
        <v/>
      </c>
    </row>
    <row r="190" spans="8:8" x14ac:dyDescent="0.2">
      <c r="H190" t="str">
        <f t="shared" si="2"/>
        <v/>
      </c>
    </row>
    <row r="191" spans="8:8" x14ac:dyDescent="0.2">
      <c r="H191" t="str">
        <f t="shared" si="2"/>
        <v/>
      </c>
    </row>
    <row r="192" spans="8:8" x14ac:dyDescent="0.2">
      <c r="H192" t="str">
        <f t="shared" si="2"/>
        <v/>
      </c>
    </row>
    <row r="193" spans="8:8" x14ac:dyDescent="0.2">
      <c r="H193" t="str">
        <f t="shared" si="2"/>
        <v/>
      </c>
    </row>
    <row r="194" spans="8:8" x14ac:dyDescent="0.2">
      <c r="H194" t="str">
        <f t="shared" ref="H194:H257" si="3">IF(COUNTIF(C194:G194,"&lt;&gt;")=0,"",AVERAGE(C194:G194))</f>
        <v/>
      </c>
    </row>
    <row r="195" spans="8:8" x14ac:dyDescent="0.2">
      <c r="H195" t="str">
        <f t="shared" si="3"/>
        <v/>
      </c>
    </row>
    <row r="196" spans="8:8" x14ac:dyDescent="0.2">
      <c r="H196" t="str">
        <f t="shared" si="3"/>
        <v/>
      </c>
    </row>
    <row r="197" spans="8:8" x14ac:dyDescent="0.2">
      <c r="H197" t="str">
        <f t="shared" si="3"/>
        <v/>
      </c>
    </row>
    <row r="198" spans="8:8" x14ac:dyDescent="0.2">
      <c r="H198" t="str">
        <f t="shared" si="3"/>
        <v/>
      </c>
    </row>
    <row r="199" spans="8:8" x14ac:dyDescent="0.2">
      <c r="H199" t="str">
        <f t="shared" si="3"/>
        <v/>
      </c>
    </row>
    <row r="200" spans="8:8" x14ac:dyDescent="0.2">
      <c r="H200" t="str">
        <f t="shared" si="3"/>
        <v/>
      </c>
    </row>
    <row r="201" spans="8:8" x14ac:dyDescent="0.2">
      <c r="H201" t="str">
        <f t="shared" si="3"/>
        <v/>
      </c>
    </row>
    <row r="202" spans="8:8" x14ac:dyDescent="0.2">
      <c r="H202" t="str">
        <f t="shared" si="3"/>
        <v/>
      </c>
    </row>
    <row r="203" spans="8:8" x14ac:dyDescent="0.2">
      <c r="H203" t="str">
        <f t="shared" si="3"/>
        <v/>
      </c>
    </row>
    <row r="204" spans="8:8" x14ac:dyDescent="0.2">
      <c r="H204" t="str">
        <f t="shared" si="3"/>
        <v/>
      </c>
    </row>
    <row r="205" spans="8:8" x14ac:dyDescent="0.2">
      <c r="H205" t="str">
        <f t="shared" si="3"/>
        <v/>
      </c>
    </row>
    <row r="206" spans="8:8" x14ac:dyDescent="0.2">
      <c r="H206" t="str">
        <f t="shared" si="3"/>
        <v/>
      </c>
    </row>
    <row r="207" spans="8:8" x14ac:dyDescent="0.2">
      <c r="H207" t="str">
        <f t="shared" si="3"/>
        <v/>
      </c>
    </row>
    <row r="208" spans="8:8" x14ac:dyDescent="0.2">
      <c r="H208" t="str">
        <f t="shared" si="3"/>
        <v/>
      </c>
    </row>
    <row r="209" spans="8:8" x14ac:dyDescent="0.2">
      <c r="H209" t="str">
        <f t="shared" si="3"/>
        <v/>
      </c>
    </row>
    <row r="210" spans="8:8" x14ac:dyDescent="0.2">
      <c r="H210" t="str">
        <f t="shared" si="3"/>
        <v/>
      </c>
    </row>
    <row r="211" spans="8:8" x14ac:dyDescent="0.2">
      <c r="H211" t="str">
        <f t="shared" si="3"/>
        <v/>
      </c>
    </row>
    <row r="212" spans="8:8" x14ac:dyDescent="0.2">
      <c r="H212" t="str">
        <f t="shared" si="3"/>
        <v/>
      </c>
    </row>
    <row r="213" spans="8:8" x14ac:dyDescent="0.2">
      <c r="H213" t="str">
        <f t="shared" si="3"/>
        <v/>
      </c>
    </row>
    <row r="214" spans="8:8" x14ac:dyDescent="0.2">
      <c r="H214" t="str">
        <f t="shared" si="3"/>
        <v/>
      </c>
    </row>
    <row r="215" spans="8:8" x14ac:dyDescent="0.2">
      <c r="H215" t="str">
        <f t="shared" si="3"/>
        <v/>
      </c>
    </row>
    <row r="216" spans="8:8" x14ac:dyDescent="0.2">
      <c r="H216" t="str">
        <f t="shared" si="3"/>
        <v/>
      </c>
    </row>
    <row r="217" spans="8:8" x14ac:dyDescent="0.2">
      <c r="H217" t="str">
        <f t="shared" si="3"/>
        <v/>
      </c>
    </row>
    <row r="218" spans="8:8" x14ac:dyDescent="0.2">
      <c r="H218" t="str">
        <f t="shared" si="3"/>
        <v/>
      </c>
    </row>
    <row r="219" spans="8:8" x14ac:dyDescent="0.2">
      <c r="H219" t="str">
        <f t="shared" si="3"/>
        <v/>
      </c>
    </row>
    <row r="220" spans="8:8" x14ac:dyDescent="0.2">
      <c r="H220" t="str">
        <f t="shared" si="3"/>
        <v/>
      </c>
    </row>
    <row r="221" spans="8:8" x14ac:dyDescent="0.2">
      <c r="H221" t="str">
        <f t="shared" si="3"/>
        <v/>
      </c>
    </row>
    <row r="222" spans="8:8" x14ac:dyDescent="0.2">
      <c r="H222" t="str">
        <f t="shared" si="3"/>
        <v/>
      </c>
    </row>
    <row r="223" spans="8:8" x14ac:dyDescent="0.2">
      <c r="H223" t="str">
        <f t="shared" si="3"/>
        <v/>
      </c>
    </row>
    <row r="224" spans="8:8" x14ac:dyDescent="0.2">
      <c r="H224" t="str">
        <f t="shared" si="3"/>
        <v/>
      </c>
    </row>
    <row r="225" spans="8:8" x14ac:dyDescent="0.2">
      <c r="H225" t="str">
        <f t="shared" si="3"/>
        <v/>
      </c>
    </row>
    <row r="226" spans="8:8" x14ac:dyDescent="0.2">
      <c r="H226" t="str">
        <f t="shared" si="3"/>
        <v/>
      </c>
    </row>
    <row r="227" spans="8:8" x14ac:dyDescent="0.2">
      <c r="H227" t="str">
        <f t="shared" si="3"/>
        <v/>
      </c>
    </row>
    <row r="228" spans="8:8" x14ac:dyDescent="0.2">
      <c r="H228" t="str">
        <f t="shared" si="3"/>
        <v/>
      </c>
    </row>
    <row r="229" spans="8:8" x14ac:dyDescent="0.2">
      <c r="H229" t="str">
        <f t="shared" si="3"/>
        <v/>
      </c>
    </row>
    <row r="230" spans="8:8" x14ac:dyDescent="0.2">
      <c r="H230" t="str">
        <f t="shared" si="3"/>
        <v/>
      </c>
    </row>
    <row r="231" spans="8:8" x14ac:dyDescent="0.2">
      <c r="H231" t="str">
        <f t="shared" si="3"/>
        <v/>
      </c>
    </row>
    <row r="232" spans="8:8" x14ac:dyDescent="0.2">
      <c r="H232" t="str">
        <f t="shared" si="3"/>
        <v/>
      </c>
    </row>
    <row r="233" spans="8:8" x14ac:dyDescent="0.2">
      <c r="H233" t="str">
        <f t="shared" si="3"/>
        <v/>
      </c>
    </row>
    <row r="234" spans="8:8" x14ac:dyDescent="0.2">
      <c r="H234" t="str">
        <f t="shared" si="3"/>
        <v/>
      </c>
    </row>
    <row r="235" spans="8:8" x14ac:dyDescent="0.2">
      <c r="H235" t="str">
        <f t="shared" si="3"/>
        <v/>
      </c>
    </row>
    <row r="236" spans="8:8" x14ac:dyDescent="0.2">
      <c r="H236" t="str">
        <f t="shared" si="3"/>
        <v/>
      </c>
    </row>
    <row r="237" spans="8:8" x14ac:dyDescent="0.2">
      <c r="H237" t="str">
        <f t="shared" si="3"/>
        <v/>
      </c>
    </row>
    <row r="238" spans="8:8" x14ac:dyDescent="0.2">
      <c r="H238" t="str">
        <f t="shared" si="3"/>
        <v/>
      </c>
    </row>
    <row r="239" spans="8:8" x14ac:dyDescent="0.2">
      <c r="H239" t="str">
        <f t="shared" si="3"/>
        <v/>
      </c>
    </row>
    <row r="240" spans="8:8" x14ac:dyDescent="0.2">
      <c r="H240" t="str">
        <f t="shared" si="3"/>
        <v/>
      </c>
    </row>
    <row r="241" spans="8:8" x14ac:dyDescent="0.2">
      <c r="H241" t="str">
        <f t="shared" si="3"/>
        <v/>
      </c>
    </row>
    <row r="242" spans="8:8" x14ac:dyDescent="0.2">
      <c r="H242" t="str">
        <f t="shared" si="3"/>
        <v/>
      </c>
    </row>
    <row r="243" spans="8:8" x14ac:dyDescent="0.2">
      <c r="H243" t="str">
        <f t="shared" si="3"/>
        <v/>
      </c>
    </row>
    <row r="244" spans="8:8" x14ac:dyDescent="0.2">
      <c r="H244" t="str">
        <f t="shared" si="3"/>
        <v/>
      </c>
    </row>
    <row r="245" spans="8:8" x14ac:dyDescent="0.2">
      <c r="H245" t="str">
        <f t="shared" si="3"/>
        <v/>
      </c>
    </row>
    <row r="246" spans="8:8" x14ac:dyDescent="0.2">
      <c r="H246" t="str">
        <f t="shared" si="3"/>
        <v/>
      </c>
    </row>
    <row r="247" spans="8:8" x14ac:dyDescent="0.2">
      <c r="H247" t="str">
        <f t="shared" si="3"/>
        <v/>
      </c>
    </row>
    <row r="248" spans="8:8" x14ac:dyDescent="0.2">
      <c r="H248" t="str">
        <f t="shared" si="3"/>
        <v/>
      </c>
    </row>
    <row r="249" spans="8:8" x14ac:dyDescent="0.2">
      <c r="H249" t="str">
        <f t="shared" si="3"/>
        <v/>
      </c>
    </row>
    <row r="250" spans="8:8" x14ac:dyDescent="0.2">
      <c r="H250" t="str">
        <f t="shared" si="3"/>
        <v/>
      </c>
    </row>
    <row r="251" spans="8:8" x14ac:dyDescent="0.2">
      <c r="H251" t="str">
        <f t="shared" si="3"/>
        <v/>
      </c>
    </row>
    <row r="252" spans="8:8" x14ac:dyDescent="0.2">
      <c r="H252" t="str">
        <f t="shared" si="3"/>
        <v/>
      </c>
    </row>
    <row r="253" spans="8:8" x14ac:dyDescent="0.2">
      <c r="H253" t="str">
        <f t="shared" si="3"/>
        <v/>
      </c>
    </row>
    <row r="254" spans="8:8" x14ac:dyDescent="0.2">
      <c r="H254" t="str">
        <f t="shared" si="3"/>
        <v/>
      </c>
    </row>
    <row r="255" spans="8:8" x14ac:dyDescent="0.2">
      <c r="H255" t="str">
        <f t="shared" si="3"/>
        <v/>
      </c>
    </row>
    <row r="256" spans="8:8" x14ac:dyDescent="0.2">
      <c r="H256" t="str">
        <f t="shared" si="3"/>
        <v/>
      </c>
    </row>
    <row r="257" spans="8:8" x14ac:dyDescent="0.2">
      <c r="H257" t="str">
        <f t="shared" si="3"/>
        <v/>
      </c>
    </row>
    <row r="258" spans="8:8" x14ac:dyDescent="0.2">
      <c r="H258" t="str">
        <f t="shared" ref="H258:H321" si="4">IF(COUNTIF(C258:G258,"&lt;&gt;")=0,"",AVERAGE(C258:G258))</f>
        <v/>
      </c>
    </row>
    <row r="259" spans="8:8" x14ac:dyDescent="0.2">
      <c r="H259" t="str">
        <f t="shared" si="4"/>
        <v/>
      </c>
    </row>
    <row r="260" spans="8:8" x14ac:dyDescent="0.2">
      <c r="H260" t="str">
        <f t="shared" si="4"/>
        <v/>
      </c>
    </row>
    <row r="261" spans="8:8" x14ac:dyDescent="0.2">
      <c r="H261" t="str">
        <f t="shared" si="4"/>
        <v/>
      </c>
    </row>
    <row r="262" spans="8:8" x14ac:dyDescent="0.2">
      <c r="H262" t="str">
        <f t="shared" si="4"/>
        <v/>
      </c>
    </row>
    <row r="263" spans="8:8" x14ac:dyDescent="0.2">
      <c r="H263" t="str">
        <f t="shared" si="4"/>
        <v/>
      </c>
    </row>
    <row r="264" spans="8:8" x14ac:dyDescent="0.2">
      <c r="H264" t="str">
        <f t="shared" si="4"/>
        <v/>
      </c>
    </row>
    <row r="265" spans="8:8" x14ac:dyDescent="0.2">
      <c r="H265" t="str">
        <f t="shared" si="4"/>
        <v/>
      </c>
    </row>
    <row r="266" spans="8:8" x14ac:dyDescent="0.2">
      <c r="H266" t="str">
        <f t="shared" si="4"/>
        <v/>
      </c>
    </row>
    <row r="267" spans="8:8" x14ac:dyDescent="0.2">
      <c r="H267" t="str">
        <f t="shared" si="4"/>
        <v/>
      </c>
    </row>
    <row r="268" spans="8:8" x14ac:dyDescent="0.2">
      <c r="H268" t="str">
        <f t="shared" si="4"/>
        <v/>
      </c>
    </row>
    <row r="269" spans="8:8" x14ac:dyDescent="0.2">
      <c r="H269" t="str">
        <f t="shared" si="4"/>
        <v/>
      </c>
    </row>
    <row r="270" spans="8:8" x14ac:dyDescent="0.2">
      <c r="H270" t="str">
        <f t="shared" si="4"/>
        <v/>
      </c>
    </row>
    <row r="271" spans="8:8" x14ac:dyDescent="0.2">
      <c r="H271" t="str">
        <f t="shared" si="4"/>
        <v/>
      </c>
    </row>
    <row r="272" spans="8:8" x14ac:dyDescent="0.2">
      <c r="H272" t="str">
        <f t="shared" si="4"/>
        <v/>
      </c>
    </row>
    <row r="273" spans="8:8" x14ac:dyDescent="0.2">
      <c r="H273" t="str">
        <f t="shared" si="4"/>
        <v/>
      </c>
    </row>
    <row r="274" spans="8:8" x14ac:dyDescent="0.2">
      <c r="H274" t="str">
        <f t="shared" si="4"/>
        <v/>
      </c>
    </row>
    <row r="275" spans="8:8" x14ac:dyDescent="0.2">
      <c r="H275" t="str">
        <f t="shared" si="4"/>
        <v/>
      </c>
    </row>
    <row r="276" spans="8:8" x14ac:dyDescent="0.2">
      <c r="H276" t="str">
        <f t="shared" si="4"/>
        <v/>
      </c>
    </row>
    <row r="277" spans="8:8" x14ac:dyDescent="0.2">
      <c r="H277" t="str">
        <f t="shared" si="4"/>
        <v/>
      </c>
    </row>
    <row r="278" spans="8:8" x14ac:dyDescent="0.2">
      <c r="H278" t="str">
        <f t="shared" si="4"/>
        <v/>
      </c>
    </row>
    <row r="279" spans="8:8" x14ac:dyDescent="0.2">
      <c r="H279" t="str">
        <f t="shared" si="4"/>
        <v/>
      </c>
    </row>
    <row r="280" spans="8:8" x14ac:dyDescent="0.2">
      <c r="H280" t="str">
        <f t="shared" si="4"/>
        <v/>
      </c>
    </row>
    <row r="281" spans="8:8" x14ac:dyDescent="0.2">
      <c r="H281" t="str">
        <f t="shared" si="4"/>
        <v/>
      </c>
    </row>
    <row r="282" spans="8:8" x14ac:dyDescent="0.2">
      <c r="H282" t="str">
        <f t="shared" si="4"/>
        <v/>
      </c>
    </row>
    <row r="283" spans="8:8" x14ac:dyDescent="0.2">
      <c r="H283" t="str">
        <f t="shared" si="4"/>
        <v/>
      </c>
    </row>
    <row r="284" spans="8:8" x14ac:dyDescent="0.2">
      <c r="H284" t="str">
        <f t="shared" si="4"/>
        <v/>
      </c>
    </row>
    <row r="285" spans="8:8" x14ac:dyDescent="0.2">
      <c r="H285" t="str">
        <f t="shared" si="4"/>
        <v/>
      </c>
    </row>
    <row r="286" spans="8:8" x14ac:dyDescent="0.2">
      <c r="H286" t="str">
        <f t="shared" si="4"/>
        <v/>
      </c>
    </row>
    <row r="287" spans="8:8" x14ac:dyDescent="0.2">
      <c r="H287" t="str">
        <f t="shared" si="4"/>
        <v/>
      </c>
    </row>
    <row r="288" spans="8:8" x14ac:dyDescent="0.2">
      <c r="H288" t="str">
        <f t="shared" si="4"/>
        <v/>
      </c>
    </row>
    <row r="289" spans="8:8" x14ac:dyDescent="0.2">
      <c r="H289" t="str">
        <f t="shared" si="4"/>
        <v/>
      </c>
    </row>
    <row r="290" spans="8:8" x14ac:dyDescent="0.2">
      <c r="H290" t="str">
        <f t="shared" si="4"/>
        <v/>
      </c>
    </row>
    <row r="291" spans="8:8" x14ac:dyDescent="0.2">
      <c r="H291" t="str">
        <f t="shared" si="4"/>
        <v/>
      </c>
    </row>
    <row r="292" spans="8:8" x14ac:dyDescent="0.2">
      <c r="H292" t="str">
        <f t="shared" si="4"/>
        <v/>
      </c>
    </row>
    <row r="293" spans="8:8" x14ac:dyDescent="0.2">
      <c r="H293" t="str">
        <f t="shared" si="4"/>
        <v/>
      </c>
    </row>
    <row r="294" spans="8:8" x14ac:dyDescent="0.2">
      <c r="H294" t="str">
        <f t="shared" si="4"/>
        <v/>
      </c>
    </row>
    <row r="295" spans="8:8" x14ac:dyDescent="0.2">
      <c r="H295" t="str">
        <f t="shared" si="4"/>
        <v/>
      </c>
    </row>
    <row r="296" spans="8:8" x14ac:dyDescent="0.2">
      <c r="H296" t="str">
        <f t="shared" si="4"/>
        <v/>
      </c>
    </row>
    <row r="297" spans="8:8" x14ac:dyDescent="0.2">
      <c r="H297" t="str">
        <f t="shared" si="4"/>
        <v/>
      </c>
    </row>
    <row r="298" spans="8:8" x14ac:dyDescent="0.2">
      <c r="H298" t="str">
        <f t="shared" si="4"/>
        <v/>
      </c>
    </row>
    <row r="299" spans="8:8" x14ac:dyDescent="0.2">
      <c r="H299" t="str">
        <f t="shared" si="4"/>
        <v/>
      </c>
    </row>
    <row r="300" spans="8:8" x14ac:dyDescent="0.2">
      <c r="H300" t="str">
        <f t="shared" si="4"/>
        <v/>
      </c>
    </row>
    <row r="301" spans="8:8" x14ac:dyDescent="0.2">
      <c r="H301" t="str">
        <f t="shared" si="4"/>
        <v/>
      </c>
    </row>
    <row r="302" spans="8:8" x14ac:dyDescent="0.2">
      <c r="H302" t="str">
        <f t="shared" si="4"/>
        <v/>
      </c>
    </row>
    <row r="303" spans="8:8" x14ac:dyDescent="0.2">
      <c r="H303" t="str">
        <f t="shared" si="4"/>
        <v/>
      </c>
    </row>
    <row r="304" spans="8:8" x14ac:dyDescent="0.2">
      <c r="H304" t="str">
        <f t="shared" si="4"/>
        <v/>
      </c>
    </row>
    <row r="305" spans="8:8" x14ac:dyDescent="0.2">
      <c r="H305" t="str">
        <f t="shared" si="4"/>
        <v/>
      </c>
    </row>
    <row r="306" spans="8:8" x14ac:dyDescent="0.2">
      <c r="H306" t="str">
        <f t="shared" si="4"/>
        <v/>
      </c>
    </row>
    <row r="307" spans="8:8" x14ac:dyDescent="0.2">
      <c r="H307" t="str">
        <f t="shared" si="4"/>
        <v/>
      </c>
    </row>
    <row r="308" spans="8:8" x14ac:dyDescent="0.2">
      <c r="H308" t="str">
        <f t="shared" si="4"/>
        <v/>
      </c>
    </row>
    <row r="309" spans="8:8" x14ac:dyDescent="0.2">
      <c r="H309" t="str">
        <f t="shared" si="4"/>
        <v/>
      </c>
    </row>
    <row r="310" spans="8:8" x14ac:dyDescent="0.2">
      <c r="H310" t="str">
        <f t="shared" si="4"/>
        <v/>
      </c>
    </row>
    <row r="311" spans="8:8" x14ac:dyDescent="0.2">
      <c r="H311" t="str">
        <f t="shared" si="4"/>
        <v/>
      </c>
    </row>
    <row r="312" spans="8:8" x14ac:dyDescent="0.2">
      <c r="H312" t="str">
        <f t="shared" si="4"/>
        <v/>
      </c>
    </row>
    <row r="313" spans="8:8" x14ac:dyDescent="0.2">
      <c r="H313" t="str">
        <f t="shared" si="4"/>
        <v/>
      </c>
    </row>
    <row r="314" spans="8:8" x14ac:dyDescent="0.2">
      <c r="H314" t="str">
        <f t="shared" si="4"/>
        <v/>
      </c>
    </row>
    <row r="315" spans="8:8" x14ac:dyDescent="0.2">
      <c r="H315" t="str">
        <f t="shared" si="4"/>
        <v/>
      </c>
    </row>
    <row r="316" spans="8:8" x14ac:dyDescent="0.2">
      <c r="H316" t="str">
        <f t="shared" si="4"/>
        <v/>
      </c>
    </row>
    <row r="317" spans="8:8" x14ac:dyDescent="0.2">
      <c r="H317" t="str">
        <f t="shared" si="4"/>
        <v/>
      </c>
    </row>
    <row r="318" spans="8:8" x14ac:dyDescent="0.2">
      <c r="H318" t="str">
        <f t="shared" si="4"/>
        <v/>
      </c>
    </row>
    <row r="319" spans="8:8" x14ac:dyDescent="0.2">
      <c r="H319" t="str">
        <f t="shared" si="4"/>
        <v/>
      </c>
    </row>
    <row r="320" spans="8:8" x14ac:dyDescent="0.2">
      <c r="H320" t="str">
        <f t="shared" si="4"/>
        <v/>
      </c>
    </row>
    <row r="321" spans="8:8" x14ac:dyDescent="0.2">
      <c r="H321" t="str">
        <f t="shared" si="4"/>
        <v/>
      </c>
    </row>
    <row r="322" spans="8:8" x14ac:dyDescent="0.2">
      <c r="H322" t="str">
        <f t="shared" ref="H322:H385" si="5">IF(COUNTIF(C322:G322,"&lt;&gt;")=0,"",AVERAGE(C322:G322))</f>
        <v/>
      </c>
    </row>
    <row r="323" spans="8:8" x14ac:dyDescent="0.2">
      <c r="H323" t="str">
        <f t="shared" si="5"/>
        <v/>
      </c>
    </row>
    <row r="324" spans="8:8" x14ac:dyDescent="0.2">
      <c r="H324" t="str">
        <f t="shared" si="5"/>
        <v/>
      </c>
    </row>
    <row r="325" spans="8:8" x14ac:dyDescent="0.2">
      <c r="H325" t="str">
        <f t="shared" si="5"/>
        <v/>
      </c>
    </row>
    <row r="326" spans="8:8" x14ac:dyDescent="0.2">
      <c r="H326" t="str">
        <f t="shared" si="5"/>
        <v/>
      </c>
    </row>
    <row r="327" spans="8:8" x14ac:dyDescent="0.2">
      <c r="H327" t="str">
        <f t="shared" si="5"/>
        <v/>
      </c>
    </row>
    <row r="328" spans="8:8" x14ac:dyDescent="0.2">
      <c r="H328" t="str">
        <f t="shared" si="5"/>
        <v/>
      </c>
    </row>
    <row r="329" spans="8:8" x14ac:dyDescent="0.2">
      <c r="H329" t="str">
        <f t="shared" si="5"/>
        <v/>
      </c>
    </row>
    <row r="330" spans="8:8" x14ac:dyDescent="0.2">
      <c r="H330" t="str">
        <f t="shared" si="5"/>
        <v/>
      </c>
    </row>
    <row r="331" spans="8:8" x14ac:dyDescent="0.2">
      <c r="H331" t="str">
        <f t="shared" si="5"/>
        <v/>
      </c>
    </row>
    <row r="332" spans="8:8" x14ac:dyDescent="0.2">
      <c r="H332" t="str">
        <f t="shared" si="5"/>
        <v/>
      </c>
    </row>
    <row r="333" spans="8:8" x14ac:dyDescent="0.2">
      <c r="H333" t="str">
        <f t="shared" si="5"/>
        <v/>
      </c>
    </row>
    <row r="334" spans="8:8" x14ac:dyDescent="0.2">
      <c r="H334" t="str">
        <f t="shared" si="5"/>
        <v/>
      </c>
    </row>
    <row r="335" spans="8:8" x14ac:dyDescent="0.2">
      <c r="H335" t="str">
        <f t="shared" si="5"/>
        <v/>
      </c>
    </row>
    <row r="336" spans="8:8" x14ac:dyDescent="0.2">
      <c r="H336" t="str">
        <f t="shared" si="5"/>
        <v/>
      </c>
    </row>
    <row r="337" spans="8:8" x14ac:dyDescent="0.2">
      <c r="H337" t="str">
        <f t="shared" si="5"/>
        <v/>
      </c>
    </row>
    <row r="338" spans="8:8" x14ac:dyDescent="0.2">
      <c r="H338" t="str">
        <f t="shared" si="5"/>
        <v/>
      </c>
    </row>
    <row r="339" spans="8:8" x14ac:dyDescent="0.2">
      <c r="H339" t="str">
        <f t="shared" si="5"/>
        <v/>
      </c>
    </row>
    <row r="340" spans="8:8" x14ac:dyDescent="0.2">
      <c r="H340" t="str">
        <f t="shared" si="5"/>
        <v/>
      </c>
    </row>
    <row r="341" spans="8:8" x14ac:dyDescent="0.2">
      <c r="H341" t="str">
        <f t="shared" si="5"/>
        <v/>
      </c>
    </row>
    <row r="342" spans="8:8" x14ac:dyDescent="0.2">
      <c r="H342" t="str">
        <f t="shared" si="5"/>
        <v/>
      </c>
    </row>
    <row r="343" spans="8:8" x14ac:dyDescent="0.2">
      <c r="H343" t="str">
        <f t="shared" si="5"/>
        <v/>
      </c>
    </row>
    <row r="344" spans="8:8" x14ac:dyDescent="0.2">
      <c r="H344" t="str">
        <f t="shared" si="5"/>
        <v/>
      </c>
    </row>
    <row r="345" spans="8:8" x14ac:dyDescent="0.2">
      <c r="H345" t="str">
        <f t="shared" si="5"/>
        <v/>
      </c>
    </row>
    <row r="346" spans="8:8" x14ac:dyDescent="0.2">
      <c r="H346" t="str">
        <f t="shared" si="5"/>
        <v/>
      </c>
    </row>
    <row r="347" spans="8:8" x14ac:dyDescent="0.2">
      <c r="H347" t="str">
        <f t="shared" si="5"/>
        <v/>
      </c>
    </row>
    <row r="348" spans="8:8" x14ac:dyDescent="0.2">
      <c r="H348" t="str">
        <f t="shared" si="5"/>
        <v/>
      </c>
    </row>
    <row r="349" spans="8:8" x14ac:dyDescent="0.2">
      <c r="H349" t="str">
        <f t="shared" si="5"/>
        <v/>
      </c>
    </row>
    <row r="350" spans="8:8" x14ac:dyDescent="0.2">
      <c r="H350" t="str">
        <f t="shared" si="5"/>
        <v/>
      </c>
    </row>
    <row r="351" spans="8:8" x14ac:dyDescent="0.2">
      <c r="H351" t="str">
        <f t="shared" si="5"/>
        <v/>
      </c>
    </row>
    <row r="352" spans="8:8" x14ac:dyDescent="0.2">
      <c r="H352" t="str">
        <f t="shared" si="5"/>
        <v/>
      </c>
    </row>
    <row r="353" spans="8:8" x14ac:dyDescent="0.2">
      <c r="H353" t="str">
        <f t="shared" si="5"/>
        <v/>
      </c>
    </row>
    <row r="354" spans="8:8" x14ac:dyDescent="0.2">
      <c r="H354" t="str">
        <f t="shared" si="5"/>
        <v/>
      </c>
    </row>
    <row r="355" spans="8:8" x14ac:dyDescent="0.2">
      <c r="H355" t="str">
        <f t="shared" si="5"/>
        <v/>
      </c>
    </row>
    <row r="356" spans="8:8" x14ac:dyDescent="0.2">
      <c r="H356" t="str">
        <f t="shared" si="5"/>
        <v/>
      </c>
    </row>
    <row r="357" spans="8:8" x14ac:dyDescent="0.2">
      <c r="H357" t="str">
        <f t="shared" si="5"/>
        <v/>
      </c>
    </row>
    <row r="358" spans="8:8" x14ac:dyDescent="0.2">
      <c r="H358" t="str">
        <f t="shared" si="5"/>
        <v/>
      </c>
    </row>
    <row r="359" spans="8:8" x14ac:dyDescent="0.2">
      <c r="H359" t="str">
        <f t="shared" si="5"/>
        <v/>
      </c>
    </row>
    <row r="360" spans="8:8" x14ac:dyDescent="0.2">
      <c r="H360" t="str">
        <f t="shared" si="5"/>
        <v/>
      </c>
    </row>
    <row r="361" spans="8:8" x14ac:dyDescent="0.2">
      <c r="H361" t="str">
        <f t="shared" si="5"/>
        <v/>
      </c>
    </row>
    <row r="362" spans="8:8" x14ac:dyDescent="0.2">
      <c r="H362" t="str">
        <f t="shared" si="5"/>
        <v/>
      </c>
    </row>
    <row r="363" spans="8:8" x14ac:dyDescent="0.2">
      <c r="H363" t="str">
        <f t="shared" si="5"/>
        <v/>
      </c>
    </row>
    <row r="364" spans="8:8" x14ac:dyDescent="0.2">
      <c r="H364" t="str">
        <f t="shared" si="5"/>
        <v/>
      </c>
    </row>
    <row r="365" spans="8:8" x14ac:dyDescent="0.2">
      <c r="H365" t="str">
        <f t="shared" si="5"/>
        <v/>
      </c>
    </row>
    <row r="366" spans="8:8" x14ac:dyDescent="0.2">
      <c r="H366" t="str">
        <f t="shared" si="5"/>
        <v/>
      </c>
    </row>
    <row r="367" spans="8:8" x14ac:dyDescent="0.2">
      <c r="H367" t="str">
        <f t="shared" si="5"/>
        <v/>
      </c>
    </row>
    <row r="368" spans="8:8" x14ac:dyDescent="0.2">
      <c r="H368" t="str">
        <f t="shared" si="5"/>
        <v/>
      </c>
    </row>
    <row r="369" spans="8:8" x14ac:dyDescent="0.2">
      <c r="H369" t="str">
        <f t="shared" si="5"/>
        <v/>
      </c>
    </row>
    <row r="370" spans="8:8" x14ac:dyDescent="0.2">
      <c r="H370" t="str">
        <f t="shared" si="5"/>
        <v/>
      </c>
    </row>
    <row r="371" spans="8:8" x14ac:dyDescent="0.2">
      <c r="H371" t="str">
        <f t="shared" si="5"/>
        <v/>
      </c>
    </row>
    <row r="372" spans="8:8" x14ac:dyDescent="0.2">
      <c r="H372" t="str">
        <f t="shared" si="5"/>
        <v/>
      </c>
    </row>
    <row r="373" spans="8:8" x14ac:dyDescent="0.2">
      <c r="H373" t="str">
        <f t="shared" si="5"/>
        <v/>
      </c>
    </row>
    <row r="374" spans="8:8" x14ac:dyDescent="0.2">
      <c r="H374" t="str">
        <f t="shared" si="5"/>
        <v/>
      </c>
    </row>
    <row r="375" spans="8:8" x14ac:dyDescent="0.2">
      <c r="H375" t="str">
        <f t="shared" si="5"/>
        <v/>
      </c>
    </row>
    <row r="376" spans="8:8" x14ac:dyDescent="0.2">
      <c r="H376" t="str">
        <f t="shared" si="5"/>
        <v/>
      </c>
    </row>
    <row r="377" spans="8:8" x14ac:dyDescent="0.2">
      <c r="H377" t="str">
        <f t="shared" si="5"/>
        <v/>
      </c>
    </row>
    <row r="378" spans="8:8" x14ac:dyDescent="0.2">
      <c r="H378" t="str">
        <f t="shared" si="5"/>
        <v/>
      </c>
    </row>
    <row r="379" spans="8:8" x14ac:dyDescent="0.2">
      <c r="H379" t="str">
        <f t="shared" si="5"/>
        <v/>
      </c>
    </row>
    <row r="380" spans="8:8" x14ac:dyDescent="0.2">
      <c r="H380" t="str">
        <f t="shared" si="5"/>
        <v/>
      </c>
    </row>
    <row r="381" spans="8:8" x14ac:dyDescent="0.2">
      <c r="H381" t="str">
        <f t="shared" si="5"/>
        <v/>
      </c>
    </row>
    <row r="382" spans="8:8" x14ac:dyDescent="0.2">
      <c r="H382" t="str">
        <f t="shared" si="5"/>
        <v/>
      </c>
    </row>
    <row r="383" spans="8:8" x14ac:dyDescent="0.2">
      <c r="H383" t="str">
        <f t="shared" si="5"/>
        <v/>
      </c>
    </row>
    <row r="384" spans="8:8" x14ac:dyDescent="0.2">
      <c r="H384" t="str">
        <f t="shared" si="5"/>
        <v/>
      </c>
    </row>
    <row r="385" spans="8:8" x14ac:dyDescent="0.2">
      <c r="H385" t="str">
        <f t="shared" si="5"/>
        <v/>
      </c>
    </row>
    <row r="386" spans="8:8" x14ac:dyDescent="0.2">
      <c r="H386" t="str">
        <f t="shared" ref="H386:H449" si="6">IF(COUNTIF(C386:G386,"&lt;&gt;")=0,"",AVERAGE(C386:G386))</f>
        <v/>
      </c>
    </row>
    <row r="387" spans="8:8" x14ac:dyDescent="0.2">
      <c r="H387" t="str">
        <f t="shared" si="6"/>
        <v/>
      </c>
    </row>
    <row r="388" spans="8:8" x14ac:dyDescent="0.2">
      <c r="H388" t="str">
        <f t="shared" si="6"/>
        <v/>
      </c>
    </row>
    <row r="389" spans="8:8" x14ac:dyDescent="0.2">
      <c r="H389" t="str">
        <f t="shared" si="6"/>
        <v/>
      </c>
    </row>
    <row r="390" spans="8:8" x14ac:dyDescent="0.2">
      <c r="H390" t="str">
        <f t="shared" si="6"/>
        <v/>
      </c>
    </row>
    <row r="391" spans="8:8" x14ac:dyDescent="0.2">
      <c r="H391" t="str">
        <f t="shared" si="6"/>
        <v/>
      </c>
    </row>
    <row r="392" spans="8:8" x14ac:dyDescent="0.2">
      <c r="H392" t="str">
        <f t="shared" si="6"/>
        <v/>
      </c>
    </row>
    <row r="393" spans="8:8" x14ac:dyDescent="0.2">
      <c r="H393" t="str">
        <f t="shared" si="6"/>
        <v/>
      </c>
    </row>
    <row r="394" spans="8:8" x14ac:dyDescent="0.2">
      <c r="H394" t="str">
        <f t="shared" si="6"/>
        <v/>
      </c>
    </row>
    <row r="395" spans="8:8" x14ac:dyDescent="0.2">
      <c r="H395" t="str">
        <f t="shared" si="6"/>
        <v/>
      </c>
    </row>
    <row r="396" spans="8:8" x14ac:dyDescent="0.2">
      <c r="H396" t="str">
        <f t="shared" si="6"/>
        <v/>
      </c>
    </row>
    <row r="397" spans="8:8" x14ac:dyDescent="0.2">
      <c r="H397" t="str">
        <f t="shared" si="6"/>
        <v/>
      </c>
    </row>
    <row r="398" spans="8:8" x14ac:dyDescent="0.2">
      <c r="H398" t="str">
        <f t="shared" si="6"/>
        <v/>
      </c>
    </row>
    <row r="399" spans="8:8" x14ac:dyDescent="0.2">
      <c r="H399" t="str">
        <f t="shared" si="6"/>
        <v/>
      </c>
    </row>
    <row r="400" spans="8:8" x14ac:dyDescent="0.2">
      <c r="H400" t="str">
        <f t="shared" si="6"/>
        <v/>
      </c>
    </row>
    <row r="401" spans="8:8" x14ac:dyDescent="0.2">
      <c r="H401" t="str">
        <f t="shared" si="6"/>
        <v/>
      </c>
    </row>
    <row r="402" spans="8:8" x14ac:dyDescent="0.2">
      <c r="H402" t="str">
        <f t="shared" si="6"/>
        <v/>
      </c>
    </row>
    <row r="403" spans="8:8" x14ac:dyDescent="0.2">
      <c r="H403" t="str">
        <f t="shared" si="6"/>
        <v/>
      </c>
    </row>
    <row r="404" spans="8:8" x14ac:dyDescent="0.2">
      <c r="H404" t="str">
        <f t="shared" si="6"/>
        <v/>
      </c>
    </row>
    <row r="405" spans="8:8" x14ac:dyDescent="0.2">
      <c r="H405" t="str">
        <f t="shared" si="6"/>
        <v/>
      </c>
    </row>
    <row r="406" spans="8:8" x14ac:dyDescent="0.2">
      <c r="H406" t="str">
        <f t="shared" si="6"/>
        <v/>
      </c>
    </row>
    <row r="407" spans="8:8" x14ac:dyDescent="0.2">
      <c r="H407" t="str">
        <f t="shared" si="6"/>
        <v/>
      </c>
    </row>
    <row r="408" spans="8:8" x14ac:dyDescent="0.2">
      <c r="H408" t="str">
        <f t="shared" si="6"/>
        <v/>
      </c>
    </row>
    <row r="409" spans="8:8" x14ac:dyDescent="0.2">
      <c r="H409" t="str">
        <f t="shared" si="6"/>
        <v/>
      </c>
    </row>
    <row r="410" spans="8:8" x14ac:dyDescent="0.2">
      <c r="H410" t="str">
        <f t="shared" si="6"/>
        <v/>
      </c>
    </row>
    <row r="411" spans="8:8" x14ac:dyDescent="0.2">
      <c r="H411" t="str">
        <f t="shared" si="6"/>
        <v/>
      </c>
    </row>
    <row r="412" spans="8:8" x14ac:dyDescent="0.2">
      <c r="H412" t="str">
        <f t="shared" si="6"/>
        <v/>
      </c>
    </row>
    <row r="413" spans="8:8" x14ac:dyDescent="0.2">
      <c r="H413" t="str">
        <f t="shared" si="6"/>
        <v/>
      </c>
    </row>
    <row r="414" spans="8:8" x14ac:dyDescent="0.2">
      <c r="H414" t="str">
        <f t="shared" si="6"/>
        <v/>
      </c>
    </row>
    <row r="415" spans="8:8" x14ac:dyDescent="0.2">
      <c r="H415" t="str">
        <f t="shared" si="6"/>
        <v/>
      </c>
    </row>
    <row r="416" spans="8:8" x14ac:dyDescent="0.2">
      <c r="H416" t="str">
        <f t="shared" si="6"/>
        <v/>
      </c>
    </row>
    <row r="417" spans="8:8" x14ac:dyDescent="0.2">
      <c r="H417" t="str">
        <f t="shared" si="6"/>
        <v/>
      </c>
    </row>
    <row r="418" spans="8:8" x14ac:dyDescent="0.2">
      <c r="H418" t="str">
        <f t="shared" si="6"/>
        <v/>
      </c>
    </row>
    <row r="419" spans="8:8" x14ac:dyDescent="0.2">
      <c r="H419" t="str">
        <f t="shared" si="6"/>
        <v/>
      </c>
    </row>
    <row r="420" spans="8:8" x14ac:dyDescent="0.2">
      <c r="H420" t="str">
        <f t="shared" si="6"/>
        <v/>
      </c>
    </row>
    <row r="421" spans="8:8" x14ac:dyDescent="0.2">
      <c r="H421" t="str">
        <f t="shared" si="6"/>
        <v/>
      </c>
    </row>
    <row r="422" spans="8:8" x14ac:dyDescent="0.2">
      <c r="H422" t="str">
        <f t="shared" si="6"/>
        <v/>
      </c>
    </row>
    <row r="423" spans="8:8" x14ac:dyDescent="0.2">
      <c r="H423" t="str">
        <f t="shared" si="6"/>
        <v/>
      </c>
    </row>
    <row r="424" spans="8:8" x14ac:dyDescent="0.2">
      <c r="H424" t="str">
        <f t="shared" si="6"/>
        <v/>
      </c>
    </row>
    <row r="425" spans="8:8" x14ac:dyDescent="0.2">
      <c r="H425" t="str">
        <f t="shared" si="6"/>
        <v/>
      </c>
    </row>
    <row r="426" spans="8:8" x14ac:dyDescent="0.2">
      <c r="H426" t="str">
        <f t="shared" si="6"/>
        <v/>
      </c>
    </row>
    <row r="427" spans="8:8" x14ac:dyDescent="0.2">
      <c r="H427" t="str">
        <f t="shared" si="6"/>
        <v/>
      </c>
    </row>
    <row r="428" spans="8:8" x14ac:dyDescent="0.2">
      <c r="H428" t="str">
        <f t="shared" si="6"/>
        <v/>
      </c>
    </row>
    <row r="429" spans="8:8" x14ac:dyDescent="0.2">
      <c r="H429" t="str">
        <f t="shared" si="6"/>
        <v/>
      </c>
    </row>
    <row r="430" spans="8:8" x14ac:dyDescent="0.2">
      <c r="H430" t="str">
        <f t="shared" si="6"/>
        <v/>
      </c>
    </row>
    <row r="431" spans="8:8" x14ac:dyDescent="0.2">
      <c r="H431" t="str">
        <f t="shared" si="6"/>
        <v/>
      </c>
    </row>
    <row r="432" spans="8:8" x14ac:dyDescent="0.2">
      <c r="H432" t="str">
        <f t="shared" si="6"/>
        <v/>
      </c>
    </row>
    <row r="433" spans="8:8" x14ac:dyDescent="0.2">
      <c r="H433" t="str">
        <f t="shared" si="6"/>
        <v/>
      </c>
    </row>
    <row r="434" spans="8:8" x14ac:dyDescent="0.2">
      <c r="H434" t="str">
        <f t="shared" si="6"/>
        <v/>
      </c>
    </row>
    <row r="435" spans="8:8" x14ac:dyDescent="0.2">
      <c r="H435" t="str">
        <f t="shared" si="6"/>
        <v/>
      </c>
    </row>
    <row r="436" spans="8:8" x14ac:dyDescent="0.2">
      <c r="H436" t="str">
        <f t="shared" si="6"/>
        <v/>
      </c>
    </row>
    <row r="437" spans="8:8" x14ac:dyDescent="0.2">
      <c r="H437" t="str">
        <f t="shared" si="6"/>
        <v/>
      </c>
    </row>
    <row r="438" spans="8:8" x14ac:dyDescent="0.2">
      <c r="H438" t="str">
        <f t="shared" si="6"/>
        <v/>
      </c>
    </row>
    <row r="439" spans="8:8" x14ac:dyDescent="0.2">
      <c r="H439" t="str">
        <f t="shared" si="6"/>
        <v/>
      </c>
    </row>
    <row r="440" spans="8:8" x14ac:dyDescent="0.2">
      <c r="H440" t="str">
        <f t="shared" si="6"/>
        <v/>
      </c>
    </row>
    <row r="441" spans="8:8" x14ac:dyDescent="0.2">
      <c r="H441" t="str">
        <f t="shared" si="6"/>
        <v/>
      </c>
    </row>
    <row r="442" spans="8:8" x14ac:dyDescent="0.2">
      <c r="H442" t="str">
        <f t="shared" si="6"/>
        <v/>
      </c>
    </row>
    <row r="443" spans="8:8" x14ac:dyDescent="0.2">
      <c r="H443" t="str">
        <f t="shared" si="6"/>
        <v/>
      </c>
    </row>
    <row r="444" spans="8:8" x14ac:dyDescent="0.2">
      <c r="H444" t="str">
        <f t="shared" si="6"/>
        <v/>
      </c>
    </row>
    <row r="445" spans="8:8" x14ac:dyDescent="0.2">
      <c r="H445" t="str">
        <f t="shared" si="6"/>
        <v/>
      </c>
    </row>
    <row r="446" spans="8:8" x14ac:dyDescent="0.2">
      <c r="H446" t="str">
        <f t="shared" si="6"/>
        <v/>
      </c>
    </row>
    <row r="447" spans="8:8" x14ac:dyDescent="0.2">
      <c r="H447" t="str">
        <f t="shared" si="6"/>
        <v/>
      </c>
    </row>
    <row r="448" spans="8:8" x14ac:dyDescent="0.2">
      <c r="H448" t="str">
        <f t="shared" si="6"/>
        <v/>
      </c>
    </row>
    <row r="449" spans="8:8" x14ac:dyDescent="0.2">
      <c r="H449" t="str">
        <f t="shared" si="6"/>
        <v/>
      </c>
    </row>
    <row r="450" spans="8:8" x14ac:dyDescent="0.2">
      <c r="H450" t="str">
        <f t="shared" ref="H450:H513" si="7">IF(COUNTIF(C450:G450,"&lt;&gt;")=0,"",AVERAGE(C450:G450))</f>
        <v/>
      </c>
    </row>
    <row r="451" spans="8:8" x14ac:dyDescent="0.2">
      <c r="H451" t="str">
        <f t="shared" si="7"/>
        <v/>
      </c>
    </row>
    <row r="452" spans="8:8" x14ac:dyDescent="0.2">
      <c r="H452" t="str">
        <f t="shared" si="7"/>
        <v/>
      </c>
    </row>
    <row r="453" spans="8:8" x14ac:dyDescent="0.2">
      <c r="H453" t="str">
        <f t="shared" si="7"/>
        <v/>
      </c>
    </row>
    <row r="454" spans="8:8" x14ac:dyDescent="0.2">
      <c r="H454" t="str">
        <f t="shared" si="7"/>
        <v/>
      </c>
    </row>
    <row r="455" spans="8:8" x14ac:dyDescent="0.2">
      <c r="H455" t="str">
        <f t="shared" si="7"/>
        <v/>
      </c>
    </row>
    <row r="456" spans="8:8" x14ac:dyDescent="0.2">
      <c r="H456" t="str">
        <f t="shared" si="7"/>
        <v/>
      </c>
    </row>
    <row r="457" spans="8:8" x14ac:dyDescent="0.2">
      <c r="H457" t="str">
        <f t="shared" si="7"/>
        <v/>
      </c>
    </row>
    <row r="458" spans="8:8" x14ac:dyDescent="0.2">
      <c r="H458" t="str">
        <f t="shared" si="7"/>
        <v/>
      </c>
    </row>
    <row r="459" spans="8:8" x14ac:dyDescent="0.2">
      <c r="H459" t="str">
        <f t="shared" si="7"/>
        <v/>
      </c>
    </row>
    <row r="460" spans="8:8" x14ac:dyDescent="0.2">
      <c r="H460" t="str">
        <f t="shared" si="7"/>
        <v/>
      </c>
    </row>
    <row r="461" spans="8:8" x14ac:dyDescent="0.2">
      <c r="H461" t="str">
        <f t="shared" si="7"/>
        <v/>
      </c>
    </row>
    <row r="462" spans="8:8" x14ac:dyDescent="0.2">
      <c r="H462" t="str">
        <f t="shared" si="7"/>
        <v/>
      </c>
    </row>
    <row r="463" spans="8:8" x14ac:dyDescent="0.2">
      <c r="H463" t="str">
        <f t="shared" si="7"/>
        <v/>
      </c>
    </row>
    <row r="464" spans="8:8" x14ac:dyDescent="0.2">
      <c r="H464" t="str">
        <f t="shared" si="7"/>
        <v/>
      </c>
    </row>
    <row r="465" spans="8:8" x14ac:dyDescent="0.2">
      <c r="H465" t="str">
        <f t="shared" si="7"/>
        <v/>
      </c>
    </row>
    <row r="466" spans="8:8" x14ac:dyDescent="0.2">
      <c r="H466" t="str">
        <f t="shared" si="7"/>
        <v/>
      </c>
    </row>
    <row r="467" spans="8:8" x14ac:dyDescent="0.2">
      <c r="H467" t="str">
        <f t="shared" si="7"/>
        <v/>
      </c>
    </row>
    <row r="468" spans="8:8" x14ac:dyDescent="0.2">
      <c r="H468" t="str">
        <f t="shared" si="7"/>
        <v/>
      </c>
    </row>
    <row r="469" spans="8:8" x14ac:dyDescent="0.2">
      <c r="H469" t="str">
        <f t="shared" si="7"/>
        <v/>
      </c>
    </row>
    <row r="470" spans="8:8" x14ac:dyDescent="0.2">
      <c r="H470" t="str">
        <f t="shared" si="7"/>
        <v/>
      </c>
    </row>
    <row r="471" spans="8:8" x14ac:dyDescent="0.2">
      <c r="H471" t="str">
        <f t="shared" si="7"/>
        <v/>
      </c>
    </row>
    <row r="472" spans="8:8" x14ac:dyDescent="0.2">
      <c r="H472" t="str">
        <f t="shared" si="7"/>
        <v/>
      </c>
    </row>
    <row r="473" spans="8:8" x14ac:dyDescent="0.2">
      <c r="H473" t="str">
        <f t="shared" si="7"/>
        <v/>
      </c>
    </row>
    <row r="474" spans="8:8" x14ac:dyDescent="0.2">
      <c r="H474" t="str">
        <f t="shared" si="7"/>
        <v/>
      </c>
    </row>
    <row r="475" spans="8:8" x14ac:dyDescent="0.2">
      <c r="H475" t="str">
        <f t="shared" si="7"/>
        <v/>
      </c>
    </row>
    <row r="476" spans="8:8" x14ac:dyDescent="0.2">
      <c r="H476" t="str">
        <f t="shared" si="7"/>
        <v/>
      </c>
    </row>
    <row r="477" spans="8:8" x14ac:dyDescent="0.2">
      <c r="H477" t="str">
        <f t="shared" si="7"/>
        <v/>
      </c>
    </row>
    <row r="478" spans="8:8" x14ac:dyDescent="0.2">
      <c r="H478" t="str">
        <f t="shared" si="7"/>
        <v/>
      </c>
    </row>
    <row r="479" spans="8:8" x14ac:dyDescent="0.2">
      <c r="H479" t="str">
        <f t="shared" si="7"/>
        <v/>
      </c>
    </row>
    <row r="480" spans="8:8" x14ac:dyDescent="0.2">
      <c r="H480" t="str">
        <f t="shared" si="7"/>
        <v/>
      </c>
    </row>
    <row r="481" spans="8:8" x14ac:dyDescent="0.2">
      <c r="H481" t="str">
        <f t="shared" si="7"/>
        <v/>
      </c>
    </row>
    <row r="482" spans="8:8" x14ac:dyDescent="0.2">
      <c r="H482" t="str">
        <f t="shared" si="7"/>
        <v/>
      </c>
    </row>
    <row r="483" spans="8:8" x14ac:dyDescent="0.2">
      <c r="H483" t="str">
        <f t="shared" si="7"/>
        <v/>
      </c>
    </row>
    <row r="484" spans="8:8" x14ac:dyDescent="0.2">
      <c r="H484" t="str">
        <f t="shared" si="7"/>
        <v/>
      </c>
    </row>
    <row r="485" spans="8:8" x14ac:dyDescent="0.2">
      <c r="H485" t="str">
        <f t="shared" si="7"/>
        <v/>
      </c>
    </row>
    <row r="486" spans="8:8" x14ac:dyDescent="0.2">
      <c r="H486" t="str">
        <f t="shared" si="7"/>
        <v/>
      </c>
    </row>
    <row r="487" spans="8:8" x14ac:dyDescent="0.2">
      <c r="H487" t="str">
        <f t="shared" si="7"/>
        <v/>
      </c>
    </row>
    <row r="488" spans="8:8" x14ac:dyDescent="0.2">
      <c r="H488" t="str">
        <f t="shared" si="7"/>
        <v/>
      </c>
    </row>
    <row r="489" spans="8:8" x14ac:dyDescent="0.2">
      <c r="H489" t="str">
        <f t="shared" si="7"/>
        <v/>
      </c>
    </row>
    <row r="490" spans="8:8" x14ac:dyDescent="0.2">
      <c r="H490" t="str">
        <f t="shared" si="7"/>
        <v/>
      </c>
    </row>
    <row r="491" spans="8:8" x14ac:dyDescent="0.2">
      <c r="H491" t="str">
        <f t="shared" si="7"/>
        <v/>
      </c>
    </row>
    <row r="492" spans="8:8" x14ac:dyDescent="0.2">
      <c r="H492" t="str">
        <f t="shared" si="7"/>
        <v/>
      </c>
    </row>
    <row r="493" spans="8:8" x14ac:dyDescent="0.2">
      <c r="H493" t="str">
        <f t="shared" si="7"/>
        <v/>
      </c>
    </row>
    <row r="494" spans="8:8" x14ac:dyDescent="0.2">
      <c r="H494" t="str">
        <f t="shared" si="7"/>
        <v/>
      </c>
    </row>
    <row r="495" spans="8:8" x14ac:dyDescent="0.2">
      <c r="H495" t="str">
        <f t="shared" si="7"/>
        <v/>
      </c>
    </row>
    <row r="496" spans="8:8" x14ac:dyDescent="0.2">
      <c r="H496" t="str">
        <f t="shared" si="7"/>
        <v/>
      </c>
    </row>
    <row r="497" spans="8:8" x14ac:dyDescent="0.2">
      <c r="H497" t="str">
        <f t="shared" si="7"/>
        <v/>
      </c>
    </row>
    <row r="498" spans="8:8" x14ac:dyDescent="0.2">
      <c r="H498" t="str">
        <f t="shared" si="7"/>
        <v/>
      </c>
    </row>
    <row r="499" spans="8:8" x14ac:dyDescent="0.2">
      <c r="H499" t="str">
        <f t="shared" si="7"/>
        <v/>
      </c>
    </row>
    <row r="500" spans="8:8" x14ac:dyDescent="0.2">
      <c r="H500" t="str">
        <f t="shared" si="7"/>
        <v/>
      </c>
    </row>
    <row r="501" spans="8:8" x14ac:dyDescent="0.2">
      <c r="H501" t="str">
        <f t="shared" si="7"/>
        <v/>
      </c>
    </row>
    <row r="502" spans="8:8" x14ac:dyDescent="0.2">
      <c r="H502" t="str">
        <f t="shared" si="7"/>
        <v/>
      </c>
    </row>
    <row r="503" spans="8:8" x14ac:dyDescent="0.2">
      <c r="H503" t="str">
        <f t="shared" si="7"/>
        <v/>
      </c>
    </row>
    <row r="504" spans="8:8" x14ac:dyDescent="0.2">
      <c r="H504" t="str">
        <f t="shared" si="7"/>
        <v/>
      </c>
    </row>
    <row r="505" spans="8:8" x14ac:dyDescent="0.2">
      <c r="H505" t="str">
        <f t="shared" si="7"/>
        <v/>
      </c>
    </row>
    <row r="506" spans="8:8" x14ac:dyDescent="0.2">
      <c r="H506" t="str">
        <f t="shared" si="7"/>
        <v/>
      </c>
    </row>
    <row r="507" spans="8:8" x14ac:dyDescent="0.2">
      <c r="H507" t="str">
        <f t="shared" si="7"/>
        <v/>
      </c>
    </row>
    <row r="508" spans="8:8" x14ac:dyDescent="0.2">
      <c r="H508" t="str">
        <f t="shared" si="7"/>
        <v/>
      </c>
    </row>
    <row r="509" spans="8:8" x14ac:dyDescent="0.2">
      <c r="H509" t="str">
        <f t="shared" si="7"/>
        <v/>
      </c>
    </row>
    <row r="510" spans="8:8" x14ac:dyDescent="0.2">
      <c r="H510" t="str">
        <f t="shared" si="7"/>
        <v/>
      </c>
    </row>
    <row r="511" spans="8:8" x14ac:dyDescent="0.2">
      <c r="H511" t="str">
        <f t="shared" si="7"/>
        <v/>
      </c>
    </row>
    <row r="512" spans="8:8" x14ac:dyDescent="0.2">
      <c r="H512" t="str">
        <f t="shared" si="7"/>
        <v/>
      </c>
    </row>
    <row r="513" spans="8:8" x14ac:dyDescent="0.2">
      <c r="H513" t="str">
        <f t="shared" si="7"/>
        <v/>
      </c>
    </row>
    <row r="514" spans="8:8" x14ac:dyDescent="0.2">
      <c r="H514" t="str">
        <f t="shared" ref="H514:H577" si="8">IF(COUNTIF(C514:G514,"&lt;&gt;")=0,"",AVERAGE(C514:G514))</f>
        <v/>
      </c>
    </row>
    <row r="515" spans="8:8" x14ac:dyDescent="0.2">
      <c r="H515" t="str">
        <f t="shared" si="8"/>
        <v/>
      </c>
    </row>
    <row r="516" spans="8:8" x14ac:dyDescent="0.2">
      <c r="H516" t="str">
        <f t="shared" si="8"/>
        <v/>
      </c>
    </row>
    <row r="517" spans="8:8" x14ac:dyDescent="0.2">
      <c r="H517" t="str">
        <f t="shared" si="8"/>
        <v/>
      </c>
    </row>
    <row r="518" spans="8:8" x14ac:dyDescent="0.2">
      <c r="H518" t="str">
        <f t="shared" si="8"/>
        <v/>
      </c>
    </row>
    <row r="519" spans="8:8" x14ac:dyDescent="0.2">
      <c r="H519" t="str">
        <f t="shared" si="8"/>
        <v/>
      </c>
    </row>
    <row r="520" spans="8:8" x14ac:dyDescent="0.2">
      <c r="H520" t="str">
        <f t="shared" si="8"/>
        <v/>
      </c>
    </row>
    <row r="521" spans="8:8" x14ac:dyDescent="0.2">
      <c r="H521" t="str">
        <f t="shared" si="8"/>
        <v/>
      </c>
    </row>
    <row r="522" spans="8:8" x14ac:dyDescent="0.2">
      <c r="H522" t="str">
        <f t="shared" si="8"/>
        <v/>
      </c>
    </row>
    <row r="523" spans="8:8" x14ac:dyDescent="0.2">
      <c r="H523" t="str">
        <f t="shared" si="8"/>
        <v/>
      </c>
    </row>
    <row r="524" spans="8:8" x14ac:dyDescent="0.2">
      <c r="H524" t="str">
        <f t="shared" si="8"/>
        <v/>
      </c>
    </row>
    <row r="525" spans="8:8" x14ac:dyDescent="0.2">
      <c r="H525" t="str">
        <f t="shared" si="8"/>
        <v/>
      </c>
    </row>
    <row r="526" spans="8:8" x14ac:dyDescent="0.2">
      <c r="H526" t="str">
        <f t="shared" si="8"/>
        <v/>
      </c>
    </row>
    <row r="527" spans="8:8" x14ac:dyDescent="0.2">
      <c r="H527" t="str">
        <f t="shared" si="8"/>
        <v/>
      </c>
    </row>
    <row r="528" spans="8:8" x14ac:dyDescent="0.2">
      <c r="H528" t="str">
        <f t="shared" si="8"/>
        <v/>
      </c>
    </row>
    <row r="529" spans="8:8" x14ac:dyDescent="0.2">
      <c r="H529" t="str">
        <f t="shared" si="8"/>
        <v/>
      </c>
    </row>
    <row r="530" spans="8:8" x14ac:dyDescent="0.2">
      <c r="H530" t="str">
        <f t="shared" si="8"/>
        <v/>
      </c>
    </row>
    <row r="531" spans="8:8" x14ac:dyDescent="0.2">
      <c r="H531" t="str">
        <f t="shared" si="8"/>
        <v/>
      </c>
    </row>
    <row r="532" spans="8:8" x14ac:dyDescent="0.2">
      <c r="H532" t="str">
        <f t="shared" si="8"/>
        <v/>
      </c>
    </row>
    <row r="533" spans="8:8" x14ac:dyDescent="0.2">
      <c r="H533" t="str">
        <f t="shared" si="8"/>
        <v/>
      </c>
    </row>
    <row r="534" spans="8:8" x14ac:dyDescent="0.2">
      <c r="H534" t="str">
        <f t="shared" si="8"/>
        <v/>
      </c>
    </row>
    <row r="535" spans="8:8" x14ac:dyDescent="0.2">
      <c r="H535" t="str">
        <f t="shared" si="8"/>
        <v/>
      </c>
    </row>
    <row r="536" spans="8:8" x14ac:dyDescent="0.2">
      <c r="H536" t="str">
        <f t="shared" si="8"/>
        <v/>
      </c>
    </row>
    <row r="537" spans="8:8" x14ac:dyDescent="0.2">
      <c r="H537" t="str">
        <f t="shared" si="8"/>
        <v/>
      </c>
    </row>
    <row r="538" spans="8:8" x14ac:dyDescent="0.2">
      <c r="H538" t="str">
        <f t="shared" si="8"/>
        <v/>
      </c>
    </row>
    <row r="539" spans="8:8" x14ac:dyDescent="0.2">
      <c r="H539" t="str">
        <f t="shared" si="8"/>
        <v/>
      </c>
    </row>
    <row r="540" spans="8:8" x14ac:dyDescent="0.2">
      <c r="H540" t="str">
        <f t="shared" si="8"/>
        <v/>
      </c>
    </row>
    <row r="541" spans="8:8" x14ac:dyDescent="0.2">
      <c r="H541" t="str">
        <f t="shared" si="8"/>
        <v/>
      </c>
    </row>
    <row r="542" spans="8:8" x14ac:dyDescent="0.2">
      <c r="H542" t="str">
        <f t="shared" si="8"/>
        <v/>
      </c>
    </row>
    <row r="543" spans="8:8" x14ac:dyDescent="0.2">
      <c r="H543" t="str">
        <f t="shared" si="8"/>
        <v/>
      </c>
    </row>
    <row r="544" spans="8:8" x14ac:dyDescent="0.2">
      <c r="H544" t="str">
        <f t="shared" si="8"/>
        <v/>
      </c>
    </row>
    <row r="545" spans="8:8" x14ac:dyDescent="0.2">
      <c r="H545" t="str">
        <f t="shared" si="8"/>
        <v/>
      </c>
    </row>
    <row r="546" spans="8:8" x14ac:dyDescent="0.2">
      <c r="H546" t="str">
        <f t="shared" si="8"/>
        <v/>
      </c>
    </row>
    <row r="547" spans="8:8" x14ac:dyDescent="0.2">
      <c r="H547" t="str">
        <f t="shared" si="8"/>
        <v/>
      </c>
    </row>
    <row r="548" spans="8:8" x14ac:dyDescent="0.2">
      <c r="H548" t="str">
        <f t="shared" si="8"/>
        <v/>
      </c>
    </row>
    <row r="549" spans="8:8" x14ac:dyDescent="0.2">
      <c r="H549" t="str">
        <f t="shared" si="8"/>
        <v/>
      </c>
    </row>
    <row r="550" spans="8:8" x14ac:dyDescent="0.2">
      <c r="H550" t="str">
        <f t="shared" si="8"/>
        <v/>
      </c>
    </row>
    <row r="551" spans="8:8" x14ac:dyDescent="0.2">
      <c r="H551" t="str">
        <f t="shared" si="8"/>
        <v/>
      </c>
    </row>
    <row r="552" spans="8:8" x14ac:dyDescent="0.2">
      <c r="H552" t="str">
        <f t="shared" si="8"/>
        <v/>
      </c>
    </row>
    <row r="553" spans="8:8" x14ac:dyDescent="0.2">
      <c r="H553" t="str">
        <f t="shared" si="8"/>
        <v/>
      </c>
    </row>
    <row r="554" spans="8:8" x14ac:dyDescent="0.2">
      <c r="H554" t="str">
        <f t="shared" si="8"/>
        <v/>
      </c>
    </row>
    <row r="555" spans="8:8" x14ac:dyDescent="0.2">
      <c r="H555" t="str">
        <f t="shared" si="8"/>
        <v/>
      </c>
    </row>
    <row r="556" spans="8:8" x14ac:dyDescent="0.2">
      <c r="H556" t="str">
        <f t="shared" si="8"/>
        <v/>
      </c>
    </row>
    <row r="557" spans="8:8" x14ac:dyDescent="0.2">
      <c r="H557" t="str">
        <f t="shared" si="8"/>
        <v/>
      </c>
    </row>
    <row r="558" spans="8:8" x14ac:dyDescent="0.2">
      <c r="H558" t="str">
        <f t="shared" si="8"/>
        <v/>
      </c>
    </row>
    <row r="559" spans="8:8" x14ac:dyDescent="0.2">
      <c r="H559" t="str">
        <f t="shared" si="8"/>
        <v/>
      </c>
    </row>
    <row r="560" spans="8:8" x14ac:dyDescent="0.2">
      <c r="H560" t="str">
        <f t="shared" si="8"/>
        <v/>
      </c>
    </row>
    <row r="561" spans="8:8" x14ac:dyDescent="0.2">
      <c r="H561" t="str">
        <f t="shared" si="8"/>
        <v/>
      </c>
    </row>
    <row r="562" spans="8:8" x14ac:dyDescent="0.2">
      <c r="H562" t="str">
        <f t="shared" si="8"/>
        <v/>
      </c>
    </row>
    <row r="563" spans="8:8" x14ac:dyDescent="0.2">
      <c r="H563" t="str">
        <f t="shared" si="8"/>
        <v/>
      </c>
    </row>
    <row r="564" spans="8:8" x14ac:dyDescent="0.2">
      <c r="H564" t="str">
        <f t="shared" si="8"/>
        <v/>
      </c>
    </row>
    <row r="565" spans="8:8" x14ac:dyDescent="0.2">
      <c r="H565" t="str">
        <f t="shared" si="8"/>
        <v/>
      </c>
    </row>
    <row r="566" spans="8:8" x14ac:dyDescent="0.2">
      <c r="H566" t="str">
        <f t="shared" si="8"/>
        <v/>
      </c>
    </row>
    <row r="567" spans="8:8" x14ac:dyDescent="0.2">
      <c r="H567" t="str">
        <f t="shared" si="8"/>
        <v/>
      </c>
    </row>
    <row r="568" spans="8:8" x14ac:dyDescent="0.2">
      <c r="H568" t="str">
        <f t="shared" si="8"/>
        <v/>
      </c>
    </row>
    <row r="569" spans="8:8" x14ac:dyDescent="0.2">
      <c r="H569" t="str">
        <f t="shared" si="8"/>
        <v/>
      </c>
    </row>
    <row r="570" spans="8:8" x14ac:dyDescent="0.2">
      <c r="H570" t="str">
        <f t="shared" si="8"/>
        <v/>
      </c>
    </row>
    <row r="571" spans="8:8" x14ac:dyDescent="0.2">
      <c r="H571" t="str">
        <f t="shared" si="8"/>
        <v/>
      </c>
    </row>
    <row r="572" spans="8:8" x14ac:dyDescent="0.2">
      <c r="H572" t="str">
        <f t="shared" si="8"/>
        <v/>
      </c>
    </row>
    <row r="573" spans="8:8" x14ac:dyDescent="0.2">
      <c r="H573" t="str">
        <f t="shared" si="8"/>
        <v/>
      </c>
    </row>
    <row r="574" spans="8:8" x14ac:dyDescent="0.2">
      <c r="H574" t="str">
        <f t="shared" si="8"/>
        <v/>
      </c>
    </row>
    <row r="575" spans="8:8" x14ac:dyDescent="0.2">
      <c r="H575" t="str">
        <f t="shared" si="8"/>
        <v/>
      </c>
    </row>
    <row r="576" spans="8:8" x14ac:dyDescent="0.2">
      <c r="H576" t="str">
        <f t="shared" si="8"/>
        <v/>
      </c>
    </row>
    <row r="577" spans="8:8" x14ac:dyDescent="0.2">
      <c r="H577" t="str">
        <f t="shared" si="8"/>
        <v/>
      </c>
    </row>
    <row r="578" spans="8:8" x14ac:dyDescent="0.2">
      <c r="H578" t="str">
        <f t="shared" ref="H578:H641" si="9">IF(COUNTIF(C578:G578,"&lt;&gt;")=0,"",AVERAGE(C578:G578))</f>
        <v/>
      </c>
    </row>
    <row r="579" spans="8:8" x14ac:dyDescent="0.2">
      <c r="H579" t="str">
        <f t="shared" si="9"/>
        <v/>
      </c>
    </row>
    <row r="580" spans="8:8" x14ac:dyDescent="0.2">
      <c r="H580" t="str">
        <f t="shared" si="9"/>
        <v/>
      </c>
    </row>
    <row r="581" spans="8:8" x14ac:dyDescent="0.2">
      <c r="H581" t="str">
        <f t="shared" si="9"/>
        <v/>
      </c>
    </row>
    <row r="582" spans="8:8" x14ac:dyDescent="0.2">
      <c r="H582" t="str">
        <f t="shared" si="9"/>
        <v/>
      </c>
    </row>
    <row r="583" spans="8:8" x14ac:dyDescent="0.2">
      <c r="H583" t="str">
        <f t="shared" si="9"/>
        <v/>
      </c>
    </row>
    <row r="584" spans="8:8" x14ac:dyDescent="0.2">
      <c r="H584" t="str">
        <f t="shared" si="9"/>
        <v/>
      </c>
    </row>
    <row r="585" spans="8:8" x14ac:dyDescent="0.2">
      <c r="H585" t="str">
        <f t="shared" si="9"/>
        <v/>
      </c>
    </row>
    <row r="586" spans="8:8" x14ac:dyDescent="0.2">
      <c r="H586" t="str">
        <f t="shared" si="9"/>
        <v/>
      </c>
    </row>
    <row r="587" spans="8:8" x14ac:dyDescent="0.2">
      <c r="H587" t="str">
        <f t="shared" si="9"/>
        <v/>
      </c>
    </row>
    <row r="588" spans="8:8" x14ac:dyDescent="0.2">
      <c r="H588" t="str">
        <f t="shared" si="9"/>
        <v/>
      </c>
    </row>
    <row r="589" spans="8:8" x14ac:dyDescent="0.2">
      <c r="H589" t="str">
        <f t="shared" si="9"/>
        <v/>
      </c>
    </row>
    <row r="590" spans="8:8" x14ac:dyDescent="0.2">
      <c r="H590" t="str">
        <f t="shared" si="9"/>
        <v/>
      </c>
    </row>
    <row r="591" spans="8:8" x14ac:dyDescent="0.2">
      <c r="H591" t="str">
        <f t="shared" si="9"/>
        <v/>
      </c>
    </row>
    <row r="592" spans="8:8" x14ac:dyDescent="0.2">
      <c r="H592" t="str">
        <f t="shared" si="9"/>
        <v/>
      </c>
    </row>
    <row r="593" spans="8:8" x14ac:dyDescent="0.2">
      <c r="H593" t="str">
        <f t="shared" si="9"/>
        <v/>
      </c>
    </row>
    <row r="594" spans="8:8" x14ac:dyDescent="0.2">
      <c r="H594" t="str">
        <f t="shared" si="9"/>
        <v/>
      </c>
    </row>
    <row r="595" spans="8:8" x14ac:dyDescent="0.2">
      <c r="H595" t="str">
        <f t="shared" si="9"/>
        <v/>
      </c>
    </row>
    <row r="596" spans="8:8" x14ac:dyDescent="0.2">
      <c r="H596" t="str">
        <f t="shared" si="9"/>
        <v/>
      </c>
    </row>
    <row r="597" spans="8:8" x14ac:dyDescent="0.2">
      <c r="H597" t="str">
        <f t="shared" si="9"/>
        <v/>
      </c>
    </row>
    <row r="598" spans="8:8" x14ac:dyDescent="0.2">
      <c r="H598" t="str">
        <f t="shared" si="9"/>
        <v/>
      </c>
    </row>
    <row r="599" spans="8:8" x14ac:dyDescent="0.2">
      <c r="H599" t="str">
        <f t="shared" si="9"/>
        <v/>
      </c>
    </row>
    <row r="600" spans="8:8" x14ac:dyDescent="0.2">
      <c r="H600" t="str">
        <f t="shared" si="9"/>
        <v/>
      </c>
    </row>
    <row r="601" spans="8:8" x14ac:dyDescent="0.2">
      <c r="H601" t="str">
        <f t="shared" si="9"/>
        <v/>
      </c>
    </row>
    <row r="602" spans="8:8" x14ac:dyDescent="0.2">
      <c r="H602" t="str">
        <f t="shared" si="9"/>
        <v/>
      </c>
    </row>
    <row r="603" spans="8:8" x14ac:dyDescent="0.2">
      <c r="H603" t="str">
        <f t="shared" si="9"/>
        <v/>
      </c>
    </row>
    <row r="604" spans="8:8" x14ac:dyDescent="0.2">
      <c r="H604" t="str">
        <f t="shared" si="9"/>
        <v/>
      </c>
    </row>
    <row r="605" spans="8:8" x14ac:dyDescent="0.2">
      <c r="H605" t="str">
        <f t="shared" si="9"/>
        <v/>
      </c>
    </row>
    <row r="606" spans="8:8" x14ac:dyDescent="0.2">
      <c r="H606" t="str">
        <f t="shared" si="9"/>
        <v/>
      </c>
    </row>
    <row r="607" spans="8:8" x14ac:dyDescent="0.2">
      <c r="H607" t="str">
        <f t="shared" si="9"/>
        <v/>
      </c>
    </row>
    <row r="608" spans="8:8" x14ac:dyDescent="0.2">
      <c r="H608" t="str">
        <f t="shared" si="9"/>
        <v/>
      </c>
    </row>
    <row r="609" spans="8:8" x14ac:dyDescent="0.2">
      <c r="H609" t="str">
        <f t="shared" si="9"/>
        <v/>
      </c>
    </row>
    <row r="610" spans="8:8" x14ac:dyDescent="0.2">
      <c r="H610" t="str">
        <f t="shared" si="9"/>
        <v/>
      </c>
    </row>
    <row r="611" spans="8:8" x14ac:dyDescent="0.2">
      <c r="H611" t="str">
        <f t="shared" si="9"/>
        <v/>
      </c>
    </row>
    <row r="612" spans="8:8" x14ac:dyDescent="0.2">
      <c r="H612" t="str">
        <f t="shared" si="9"/>
        <v/>
      </c>
    </row>
    <row r="613" spans="8:8" x14ac:dyDescent="0.2">
      <c r="H613" t="str">
        <f t="shared" si="9"/>
        <v/>
      </c>
    </row>
    <row r="614" spans="8:8" x14ac:dyDescent="0.2">
      <c r="H614" t="str">
        <f t="shared" si="9"/>
        <v/>
      </c>
    </row>
    <row r="615" spans="8:8" x14ac:dyDescent="0.2">
      <c r="H615" t="str">
        <f t="shared" si="9"/>
        <v/>
      </c>
    </row>
    <row r="616" spans="8:8" x14ac:dyDescent="0.2">
      <c r="H616" t="str">
        <f t="shared" si="9"/>
        <v/>
      </c>
    </row>
    <row r="617" spans="8:8" x14ac:dyDescent="0.2">
      <c r="H617" t="str">
        <f t="shared" si="9"/>
        <v/>
      </c>
    </row>
    <row r="618" spans="8:8" x14ac:dyDescent="0.2">
      <c r="H618" t="str">
        <f t="shared" si="9"/>
        <v/>
      </c>
    </row>
    <row r="619" spans="8:8" x14ac:dyDescent="0.2">
      <c r="H619" t="str">
        <f t="shared" si="9"/>
        <v/>
      </c>
    </row>
    <row r="620" spans="8:8" x14ac:dyDescent="0.2">
      <c r="H620" t="str">
        <f t="shared" si="9"/>
        <v/>
      </c>
    </row>
    <row r="621" spans="8:8" x14ac:dyDescent="0.2">
      <c r="H621" t="str">
        <f t="shared" si="9"/>
        <v/>
      </c>
    </row>
    <row r="622" spans="8:8" x14ac:dyDescent="0.2">
      <c r="H622" t="str">
        <f t="shared" si="9"/>
        <v/>
      </c>
    </row>
    <row r="623" spans="8:8" x14ac:dyDescent="0.2">
      <c r="H623" t="str">
        <f t="shared" si="9"/>
        <v/>
      </c>
    </row>
    <row r="624" spans="8:8" x14ac:dyDescent="0.2">
      <c r="H624" t="str">
        <f t="shared" si="9"/>
        <v/>
      </c>
    </row>
    <row r="625" spans="8:8" x14ac:dyDescent="0.2">
      <c r="H625" t="str">
        <f t="shared" si="9"/>
        <v/>
      </c>
    </row>
    <row r="626" spans="8:8" x14ac:dyDescent="0.2">
      <c r="H626" t="str">
        <f t="shared" si="9"/>
        <v/>
      </c>
    </row>
    <row r="627" spans="8:8" x14ac:dyDescent="0.2">
      <c r="H627" t="str">
        <f t="shared" si="9"/>
        <v/>
      </c>
    </row>
    <row r="628" spans="8:8" x14ac:dyDescent="0.2">
      <c r="H628" t="str">
        <f t="shared" si="9"/>
        <v/>
      </c>
    </row>
    <row r="629" spans="8:8" x14ac:dyDescent="0.2">
      <c r="H629" t="str">
        <f t="shared" si="9"/>
        <v/>
      </c>
    </row>
    <row r="630" spans="8:8" x14ac:dyDescent="0.2">
      <c r="H630" t="str">
        <f t="shared" si="9"/>
        <v/>
      </c>
    </row>
    <row r="631" spans="8:8" x14ac:dyDescent="0.2">
      <c r="H631" t="str">
        <f t="shared" si="9"/>
        <v/>
      </c>
    </row>
    <row r="632" spans="8:8" x14ac:dyDescent="0.2">
      <c r="H632" t="str">
        <f t="shared" si="9"/>
        <v/>
      </c>
    </row>
    <row r="633" spans="8:8" x14ac:dyDescent="0.2">
      <c r="H633" t="str">
        <f t="shared" si="9"/>
        <v/>
      </c>
    </row>
    <row r="634" spans="8:8" x14ac:dyDescent="0.2">
      <c r="H634" t="str">
        <f t="shared" si="9"/>
        <v/>
      </c>
    </row>
    <row r="635" spans="8:8" x14ac:dyDescent="0.2">
      <c r="H635" t="str">
        <f t="shared" si="9"/>
        <v/>
      </c>
    </row>
    <row r="636" spans="8:8" x14ac:dyDescent="0.2">
      <c r="H636" t="str">
        <f t="shared" si="9"/>
        <v/>
      </c>
    </row>
    <row r="637" spans="8:8" x14ac:dyDescent="0.2">
      <c r="H637" t="str">
        <f t="shared" si="9"/>
        <v/>
      </c>
    </row>
    <row r="638" spans="8:8" x14ac:dyDescent="0.2">
      <c r="H638" t="str">
        <f t="shared" si="9"/>
        <v/>
      </c>
    </row>
    <row r="639" spans="8:8" x14ac:dyDescent="0.2">
      <c r="H639" t="str">
        <f t="shared" si="9"/>
        <v/>
      </c>
    </row>
    <row r="640" spans="8:8" x14ac:dyDescent="0.2">
      <c r="H640" t="str">
        <f t="shared" si="9"/>
        <v/>
      </c>
    </row>
    <row r="641" spans="8:8" x14ac:dyDescent="0.2">
      <c r="H641" t="str">
        <f t="shared" si="9"/>
        <v/>
      </c>
    </row>
    <row r="642" spans="8:8" x14ac:dyDescent="0.2">
      <c r="H642" t="str">
        <f t="shared" ref="H642:H705" si="10">IF(COUNTIF(C642:G642,"&lt;&gt;")=0,"",AVERAGE(C642:G642))</f>
        <v/>
      </c>
    </row>
    <row r="643" spans="8:8" x14ac:dyDescent="0.2">
      <c r="H643" t="str">
        <f t="shared" si="10"/>
        <v/>
      </c>
    </row>
    <row r="644" spans="8:8" x14ac:dyDescent="0.2">
      <c r="H644" t="str">
        <f t="shared" si="10"/>
        <v/>
      </c>
    </row>
    <row r="645" spans="8:8" x14ac:dyDescent="0.2">
      <c r="H645" t="str">
        <f t="shared" si="10"/>
        <v/>
      </c>
    </row>
    <row r="646" spans="8:8" x14ac:dyDescent="0.2">
      <c r="H646" t="str">
        <f t="shared" si="10"/>
        <v/>
      </c>
    </row>
    <row r="647" spans="8:8" x14ac:dyDescent="0.2">
      <c r="H647" t="str">
        <f t="shared" si="10"/>
        <v/>
      </c>
    </row>
    <row r="648" spans="8:8" x14ac:dyDescent="0.2">
      <c r="H648" t="str">
        <f t="shared" si="10"/>
        <v/>
      </c>
    </row>
    <row r="649" spans="8:8" x14ac:dyDescent="0.2">
      <c r="H649" t="str">
        <f t="shared" si="10"/>
        <v/>
      </c>
    </row>
    <row r="650" spans="8:8" x14ac:dyDescent="0.2">
      <c r="H650" t="str">
        <f t="shared" si="10"/>
        <v/>
      </c>
    </row>
    <row r="651" spans="8:8" x14ac:dyDescent="0.2">
      <c r="H651" t="str">
        <f t="shared" si="10"/>
        <v/>
      </c>
    </row>
    <row r="652" spans="8:8" x14ac:dyDescent="0.2">
      <c r="H652" t="str">
        <f t="shared" si="10"/>
        <v/>
      </c>
    </row>
    <row r="653" spans="8:8" x14ac:dyDescent="0.2">
      <c r="H653" t="str">
        <f t="shared" si="10"/>
        <v/>
      </c>
    </row>
    <row r="654" spans="8:8" x14ac:dyDescent="0.2">
      <c r="H654" t="str">
        <f t="shared" si="10"/>
        <v/>
      </c>
    </row>
    <row r="655" spans="8:8" x14ac:dyDescent="0.2">
      <c r="H655" t="str">
        <f t="shared" si="10"/>
        <v/>
      </c>
    </row>
    <row r="656" spans="8:8" x14ac:dyDescent="0.2">
      <c r="H656" t="str">
        <f t="shared" si="10"/>
        <v/>
      </c>
    </row>
    <row r="657" spans="8:8" x14ac:dyDescent="0.2">
      <c r="H657" t="str">
        <f t="shared" si="10"/>
        <v/>
      </c>
    </row>
    <row r="658" spans="8:8" x14ac:dyDescent="0.2">
      <c r="H658" t="str">
        <f t="shared" si="10"/>
        <v/>
      </c>
    </row>
    <row r="659" spans="8:8" x14ac:dyDescent="0.2">
      <c r="H659" t="str">
        <f t="shared" si="10"/>
        <v/>
      </c>
    </row>
    <row r="660" spans="8:8" x14ac:dyDescent="0.2">
      <c r="H660" t="str">
        <f t="shared" si="10"/>
        <v/>
      </c>
    </row>
    <row r="661" spans="8:8" x14ac:dyDescent="0.2">
      <c r="H661" t="str">
        <f t="shared" si="10"/>
        <v/>
      </c>
    </row>
    <row r="662" spans="8:8" x14ac:dyDescent="0.2">
      <c r="H662" t="str">
        <f t="shared" si="10"/>
        <v/>
      </c>
    </row>
    <row r="663" spans="8:8" x14ac:dyDescent="0.2">
      <c r="H663" t="str">
        <f t="shared" si="10"/>
        <v/>
      </c>
    </row>
    <row r="664" spans="8:8" x14ac:dyDescent="0.2">
      <c r="H664" t="str">
        <f t="shared" si="10"/>
        <v/>
      </c>
    </row>
    <row r="665" spans="8:8" x14ac:dyDescent="0.2">
      <c r="H665" t="str">
        <f t="shared" si="10"/>
        <v/>
      </c>
    </row>
    <row r="666" spans="8:8" x14ac:dyDescent="0.2">
      <c r="H666" t="str">
        <f t="shared" si="10"/>
        <v/>
      </c>
    </row>
    <row r="667" spans="8:8" x14ac:dyDescent="0.2">
      <c r="H667" t="str">
        <f t="shared" si="10"/>
        <v/>
      </c>
    </row>
    <row r="668" spans="8:8" x14ac:dyDescent="0.2">
      <c r="H668" t="str">
        <f t="shared" si="10"/>
        <v/>
      </c>
    </row>
    <row r="669" spans="8:8" x14ac:dyDescent="0.2">
      <c r="H669" t="str">
        <f t="shared" si="10"/>
        <v/>
      </c>
    </row>
    <row r="670" spans="8:8" x14ac:dyDescent="0.2">
      <c r="H670" t="str">
        <f t="shared" si="10"/>
        <v/>
      </c>
    </row>
    <row r="671" spans="8:8" x14ac:dyDescent="0.2">
      <c r="H671" t="str">
        <f t="shared" si="10"/>
        <v/>
      </c>
    </row>
    <row r="672" spans="8:8" x14ac:dyDescent="0.2">
      <c r="H672" t="str">
        <f t="shared" si="10"/>
        <v/>
      </c>
    </row>
    <row r="673" spans="8:8" x14ac:dyDescent="0.2">
      <c r="H673" t="str">
        <f t="shared" si="10"/>
        <v/>
      </c>
    </row>
    <row r="674" spans="8:8" x14ac:dyDescent="0.2">
      <c r="H674" t="str">
        <f t="shared" si="10"/>
        <v/>
      </c>
    </row>
    <row r="675" spans="8:8" x14ac:dyDescent="0.2">
      <c r="H675" t="str">
        <f t="shared" si="10"/>
        <v/>
      </c>
    </row>
    <row r="676" spans="8:8" x14ac:dyDescent="0.2">
      <c r="H676" t="str">
        <f t="shared" si="10"/>
        <v/>
      </c>
    </row>
    <row r="677" spans="8:8" x14ac:dyDescent="0.2">
      <c r="H677" t="str">
        <f t="shared" si="10"/>
        <v/>
      </c>
    </row>
    <row r="678" spans="8:8" x14ac:dyDescent="0.2">
      <c r="H678" t="str">
        <f t="shared" si="10"/>
        <v/>
      </c>
    </row>
    <row r="679" spans="8:8" x14ac:dyDescent="0.2">
      <c r="H679" t="str">
        <f t="shared" si="10"/>
        <v/>
      </c>
    </row>
    <row r="680" spans="8:8" x14ac:dyDescent="0.2">
      <c r="H680" t="str">
        <f t="shared" si="10"/>
        <v/>
      </c>
    </row>
    <row r="681" spans="8:8" x14ac:dyDescent="0.2">
      <c r="H681" t="str">
        <f t="shared" si="10"/>
        <v/>
      </c>
    </row>
    <row r="682" spans="8:8" x14ac:dyDescent="0.2">
      <c r="H682" t="str">
        <f t="shared" si="10"/>
        <v/>
      </c>
    </row>
    <row r="683" spans="8:8" x14ac:dyDescent="0.2">
      <c r="H683" t="str">
        <f t="shared" si="10"/>
        <v/>
      </c>
    </row>
    <row r="684" spans="8:8" x14ac:dyDescent="0.2">
      <c r="H684" t="str">
        <f t="shared" si="10"/>
        <v/>
      </c>
    </row>
    <row r="685" spans="8:8" x14ac:dyDescent="0.2">
      <c r="H685" t="str">
        <f t="shared" si="10"/>
        <v/>
      </c>
    </row>
    <row r="686" spans="8:8" x14ac:dyDescent="0.2">
      <c r="H686" t="str">
        <f t="shared" si="10"/>
        <v/>
      </c>
    </row>
    <row r="687" spans="8:8" x14ac:dyDescent="0.2">
      <c r="H687" t="str">
        <f t="shared" si="10"/>
        <v/>
      </c>
    </row>
    <row r="688" spans="8:8" x14ac:dyDescent="0.2">
      <c r="H688" t="str">
        <f t="shared" si="10"/>
        <v/>
      </c>
    </row>
    <row r="689" spans="8:8" x14ac:dyDescent="0.2">
      <c r="H689" t="str">
        <f t="shared" si="10"/>
        <v/>
      </c>
    </row>
    <row r="690" spans="8:8" x14ac:dyDescent="0.2">
      <c r="H690" t="str">
        <f t="shared" si="10"/>
        <v/>
      </c>
    </row>
    <row r="691" spans="8:8" x14ac:dyDescent="0.2">
      <c r="H691" t="str">
        <f t="shared" si="10"/>
        <v/>
      </c>
    </row>
    <row r="692" spans="8:8" x14ac:dyDescent="0.2">
      <c r="H692" t="str">
        <f t="shared" si="10"/>
        <v/>
      </c>
    </row>
    <row r="693" spans="8:8" x14ac:dyDescent="0.2">
      <c r="H693" t="str">
        <f t="shared" si="10"/>
        <v/>
      </c>
    </row>
    <row r="694" spans="8:8" x14ac:dyDescent="0.2">
      <c r="H694" t="str">
        <f t="shared" si="10"/>
        <v/>
      </c>
    </row>
    <row r="695" spans="8:8" x14ac:dyDescent="0.2">
      <c r="H695" t="str">
        <f t="shared" si="10"/>
        <v/>
      </c>
    </row>
    <row r="696" spans="8:8" x14ac:dyDescent="0.2">
      <c r="H696" t="str">
        <f t="shared" si="10"/>
        <v/>
      </c>
    </row>
    <row r="697" spans="8:8" x14ac:dyDescent="0.2">
      <c r="H697" t="str">
        <f t="shared" si="10"/>
        <v/>
      </c>
    </row>
    <row r="698" spans="8:8" x14ac:dyDescent="0.2">
      <c r="H698" t="str">
        <f t="shared" si="10"/>
        <v/>
      </c>
    </row>
    <row r="699" spans="8:8" x14ac:dyDescent="0.2">
      <c r="H699" t="str">
        <f t="shared" si="10"/>
        <v/>
      </c>
    </row>
    <row r="700" spans="8:8" x14ac:dyDescent="0.2">
      <c r="H700" t="str">
        <f t="shared" si="10"/>
        <v/>
      </c>
    </row>
    <row r="701" spans="8:8" x14ac:dyDescent="0.2">
      <c r="H701" t="str">
        <f t="shared" si="10"/>
        <v/>
      </c>
    </row>
    <row r="702" spans="8:8" x14ac:dyDescent="0.2">
      <c r="H702" t="str">
        <f t="shared" si="10"/>
        <v/>
      </c>
    </row>
    <row r="703" spans="8:8" x14ac:dyDescent="0.2">
      <c r="H703" t="str">
        <f t="shared" si="10"/>
        <v/>
      </c>
    </row>
    <row r="704" spans="8:8" x14ac:dyDescent="0.2">
      <c r="H704" t="str">
        <f t="shared" si="10"/>
        <v/>
      </c>
    </row>
    <row r="705" spans="8:8" x14ac:dyDescent="0.2">
      <c r="H705" t="str">
        <f t="shared" si="10"/>
        <v/>
      </c>
    </row>
    <row r="706" spans="8:8" x14ac:dyDescent="0.2">
      <c r="H706" t="str">
        <f t="shared" ref="H706:H769" si="11">IF(COUNTIF(C706:G706,"&lt;&gt;")=0,"",AVERAGE(C706:G706))</f>
        <v/>
      </c>
    </row>
    <row r="707" spans="8:8" x14ac:dyDescent="0.2">
      <c r="H707" t="str">
        <f t="shared" si="11"/>
        <v/>
      </c>
    </row>
    <row r="708" spans="8:8" x14ac:dyDescent="0.2">
      <c r="H708" t="str">
        <f t="shared" si="11"/>
        <v/>
      </c>
    </row>
    <row r="709" spans="8:8" x14ac:dyDescent="0.2">
      <c r="H709" t="str">
        <f t="shared" si="11"/>
        <v/>
      </c>
    </row>
    <row r="710" spans="8:8" x14ac:dyDescent="0.2">
      <c r="H710" t="str">
        <f t="shared" si="11"/>
        <v/>
      </c>
    </row>
    <row r="711" spans="8:8" x14ac:dyDescent="0.2">
      <c r="H711" t="str">
        <f t="shared" si="11"/>
        <v/>
      </c>
    </row>
    <row r="712" spans="8:8" x14ac:dyDescent="0.2">
      <c r="H712" t="str">
        <f t="shared" si="11"/>
        <v/>
      </c>
    </row>
    <row r="713" spans="8:8" x14ac:dyDescent="0.2">
      <c r="H713" t="str">
        <f t="shared" si="11"/>
        <v/>
      </c>
    </row>
    <row r="714" spans="8:8" x14ac:dyDescent="0.2">
      <c r="H714" t="str">
        <f t="shared" si="11"/>
        <v/>
      </c>
    </row>
    <row r="715" spans="8:8" x14ac:dyDescent="0.2">
      <c r="H715" t="str">
        <f t="shared" si="11"/>
        <v/>
      </c>
    </row>
    <row r="716" spans="8:8" x14ac:dyDescent="0.2">
      <c r="H716" t="str">
        <f t="shared" si="11"/>
        <v/>
      </c>
    </row>
    <row r="717" spans="8:8" x14ac:dyDescent="0.2">
      <c r="H717" t="str">
        <f t="shared" si="11"/>
        <v/>
      </c>
    </row>
    <row r="718" spans="8:8" x14ac:dyDescent="0.2">
      <c r="H718" t="str">
        <f t="shared" si="11"/>
        <v/>
      </c>
    </row>
    <row r="719" spans="8:8" x14ac:dyDescent="0.2">
      <c r="H719" t="str">
        <f t="shared" si="11"/>
        <v/>
      </c>
    </row>
    <row r="720" spans="8:8" x14ac:dyDescent="0.2">
      <c r="H720" t="str">
        <f t="shared" si="11"/>
        <v/>
      </c>
    </row>
    <row r="721" spans="8:8" x14ac:dyDescent="0.2">
      <c r="H721" t="str">
        <f t="shared" si="11"/>
        <v/>
      </c>
    </row>
    <row r="722" spans="8:8" x14ac:dyDescent="0.2">
      <c r="H722" t="str">
        <f t="shared" si="11"/>
        <v/>
      </c>
    </row>
    <row r="723" spans="8:8" x14ac:dyDescent="0.2">
      <c r="H723" t="str">
        <f t="shared" si="11"/>
        <v/>
      </c>
    </row>
    <row r="724" spans="8:8" x14ac:dyDescent="0.2">
      <c r="H724" t="str">
        <f t="shared" si="11"/>
        <v/>
      </c>
    </row>
    <row r="725" spans="8:8" x14ac:dyDescent="0.2">
      <c r="H725" t="str">
        <f t="shared" si="11"/>
        <v/>
      </c>
    </row>
    <row r="726" spans="8:8" x14ac:dyDescent="0.2">
      <c r="H726" t="str">
        <f t="shared" si="11"/>
        <v/>
      </c>
    </row>
    <row r="727" spans="8:8" x14ac:dyDescent="0.2">
      <c r="H727" t="str">
        <f t="shared" si="11"/>
        <v/>
      </c>
    </row>
    <row r="728" spans="8:8" x14ac:dyDescent="0.2">
      <c r="H728" t="str">
        <f t="shared" si="11"/>
        <v/>
      </c>
    </row>
    <row r="729" spans="8:8" x14ac:dyDescent="0.2">
      <c r="H729" t="str">
        <f t="shared" si="11"/>
        <v/>
      </c>
    </row>
    <row r="730" spans="8:8" x14ac:dyDescent="0.2">
      <c r="H730" t="str">
        <f t="shared" si="11"/>
        <v/>
      </c>
    </row>
    <row r="731" spans="8:8" x14ac:dyDescent="0.2">
      <c r="H731" t="str">
        <f t="shared" si="11"/>
        <v/>
      </c>
    </row>
    <row r="732" spans="8:8" x14ac:dyDescent="0.2">
      <c r="H732" t="str">
        <f t="shared" si="11"/>
        <v/>
      </c>
    </row>
    <row r="733" spans="8:8" x14ac:dyDescent="0.2">
      <c r="H733" t="str">
        <f t="shared" si="11"/>
        <v/>
      </c>
    </row>
    <row r="734" spans="8:8" x14ac:dyDescent="0.2">
      <c r="H734" t="str">
        <f t="shared" si="11"/>
        <v/>
      </c>
    </row>
    <row r="735" spans="8:8" x14ac:dyDescent="0.2">
      <c r="H735" t="str">
        <f t="shared" si="11"/>
        <v/>
      </c>
    </row>
    <row r="736" spans="8:8" x14ac:dyDescent="0.2">
      <c r="H736" t="str">
        <f t="shared" si="11"/>
        <v/>
      </c>
    </row>
    <row r="737" spans="8:8" x14ac:dyDescent="0.2">
      <c r="H737" t="str">
        <f t="shared" si="11"/>
        <v/>
      </c>
    </row>
    <row r="738" spans="8:8" x14ac:dyDescent="0.2">
      <c r="H738" t="str">
        <f t="shared" si="11"/>
        <v/>
      </c>
    </row>
    <row r="739" spans="8:8" x14ac:dyDescent="0.2">
      <c r="H739" t="str">
        <f t="shared" si="11"/>
        <v/>
      </c>
    </row>
    <row r="740" spans="8:8" x14ac:dyDescent="0.2">
      <c r="H740" t="str">
        <f t="shared" si="11"/>
        <v/>
      </c>
    </row>
    <row r="741" spans="8:8" x14ac:dyDescent="0.2">
      <c r="H741" t="str">
        <f t="shared" si="11"/>
        <v/>
      </c>
    </row>
    <row r="742" spans="8:8" x14ac:dyDescent="0.2">
      <c r="H742" t="str">
        <f t="shared" si="11"/>
        <v/>
      </c>
    </row>
    <row r="743" spans="8:8" x14ac:dyDescent="0.2">
      <c r="H743" t="str">
        <f t="shared" si="11"/>
        <v/>
      </c>
    </row>
    <row r="744" spans="8:8" x14ac:dyDescent="0.2">
      <c r="H744" t="str">
        <f t="shared" si="11"/>
        <v/>
      </c>
    </row>
    <row r="745" spans="8:8" x14ac:dyDescent="0.2">
      <c r="H745" t="str">
        <f t="shared" si="11"/>
        <v/>
      </c>
    </row>
    <row r="746" spans="8:8" x14ac:dyDescent="0.2">
      <c r="H746" t="str">
        <f t="shared" si="11"/>
        <v/>
      </c>
    </row>
    <row r="747" spans="8:8" x14ac:dyDescent="0.2">
      <c r="H747" t="str">
        <f t="shared" si="11"/>
        <v/>
      </c>
    </row>
    <row r="748" spans="8:8" x14ac:dyDescent="0.2">
      <c r="H748" t="str">
        <f t="shared" si="11"/>
        <v/>
      </c>
    </row>
    <row r="749" spans="8:8" x14ac:dyDescent="0.2">
      <c r="H749" t="str">
        <f t="shared" si="11"/>
        <v/>
      </c>
    </row>
    <row r="750" spans="8:8" x14ac:dyDescent="0.2">
      <c r="H750" t="str">
        <f t="shared" si="11"/>
        <v/>
      </c>
    </row>
    <row r="751" spans="8:8" x14ac:dyDescent="0.2">
      <c r="H751" t="str">
        <f t="shared" si="11"/>
        <v/>
      </c>
    </row>
    <row r="752" spans="8:8" x14ac:dyDescent="0.2">
      <c r="H752" t="str">
        <f t="shared" si="11"/>
        <v/>
      </c>
    </row>
    <row r="753" spans="8:8" x14ac:dyDescent="0.2">
      <c r="H753" t="str">
        <f t="shared" si="11"/>
        <v/>
      </c>
    </row>
    <row r="754" spans="8:8" x14ac:dyDescent="0.2">
      <c r="H754" t="str">
        <f t="shared" si="11"/>
        <v/>
      </c>
    </row>
    <row r="755" spans="8:8" x14ac:dyDescent="0.2">
      <c r="H755" t="str">
        <f t="shared" si="11"/>
        <v/>
      </c>
    </row>
    <row r="756" spans="8:8" x14ac:dyDescent="0.2">
      <c r="H756" t="str">
        <f t="shared" si="11"/>
        <v/>
      </c>
    </row>
    <row r="757" spans="8:8" x14ac:dyDescent="0.2">
      <c r="H757" t="str">
        <f t="shared" si="11"/>
        <v/>
      </c>
    </row>
    <row r="758" spans="8:8" x14ac:dyDescent="0.2">
      <c r="H758" t="str">
        <f t="shared" si="11"/>
        <v/>
      </c>
    </row>
    <row r="759" spans="8:8" x14ac:dyDescent="0.2">
      <c r="H759" t="str">
        <f t="shared" si="11"/>
        <v/>
      </c>
    </row>
    <row r="760" spans="8:8" x14ac:dyDescent="0.2">
      <c r="H760" t="str">
        <f t="shared" si="11"/>
        <v/>
      </c>
    </row>
    <row r="761" spans="8:8" x14ac:dyDescent="0.2">
      <c r="H761" t="str">
        <f t="shared" si="11"/>
        <v/>
      </c>
    </row>
    <row r="762" spans="8:8" x14ac:dyDescent="0.2">
      <c r="H762" t="str">
        <f t="shared" si="11"/>
        <v/>
      </c>
    </row>
    <row r="763" spans="8:8" x14ac:dyDescent="0.2">
      <c r="H763" t="str">
        <f t="shared" si="11"/>
        <v/>
      </c>
    </row>
    <row r="764" spans="8:8" x14ac:dyDescent="0.2">
      <c r="H764" t="str">
        <f t="shared" si="11"/>
        <v/>
      </c>
    </row>
    <row r="765" spans="8:8" x14ac:dyDescent="0.2">
      <c r="H765" t="str">
        <f t="shared" si="11"/>
        <v/>
      </c>
    </row>
    <row r="766" spans="8:8" x14ac:dyDescent="0.2">
      <c r="H766" t="str">
        <f t="shared" si="11"/>
        <v/>
      </c>
    </row>
    <row r="767" spans="8:8" x14ac:dyDescent="0.2">
      <c r="H767" t="str">
        <f t="shared" si="11"/>
        <v/>
      </c>
    </row>
    <row r="768" spans="8:8" x14ac:dyDescent="0.2">
      <c r="H768" t="str">
        <f t="shared" si="11"/>
        <v/>
      </c>
    </row>
    <row r="769" spans="8:8" x14ac:dyDescent="0.2">
      <c r="H769" t="str">
        <f t="shared" si="11"/>
        <v/>
      </c>
    </row>
    <row r="770" spans="8:8" x14ac:dyDescent="0.2">
      <c r="H770" t="str">
        <f t="shared" ref="H770:H833" si="12">IF(COUNTIF(C770:G770,"&lt;&gt;")=0,"",AVERAGE(C770:G770))</f>
        <v/>
      </c>
    </row>
    <row r="771" spans="8:8" x14ac:dyDescent="0.2">
      <c r="H771" t="str">
        <f t="shared" si="12"/>
        <v/>
      </c>
    </row>
    <row r="772" spans="8:8" x14ac:dyDescent="0.2">
      <c r="H772" t="str">
        <f t="shared" si="12"/>
        <v/>
      </c>
    </row>
    <row r="773" spans="8:8" x14ac:dyDescent="0.2">
      <c r="H773" t="str">
        <f t="shared" si="12"/>
        <v/>
      </c>
    </row>
    <row r="774" spans="8:8" x14ac:dyDescent="0.2">
      <c r="H774" t="str">
        <f t="shared" si="12"/>
        <v/>
      </c>
    </row>
    <row r="775" spans="8:8" x14ac:dyDescent="0.2">
      <c r="H775" t="str">
        <f t="shared" si="12"/>
        <v/>
      </c>
    </row>
    <row r="776" spans="8:8" x14ac:dyDescent="0.2">
      <c r="H776" t="str">
        <f t="shared" si="12"/>
        <v/>
      </c>
    </row>
    <row r="777" spans="8:8" x14ac:dyDescent="0.2">
      <c r="H777" t="str">
        <f t="shared" si="12"/>
        <v/>
      </c>
    </row>
    <row r="778" spans="8:8" x14ac:dyDescent="0.2">
      <c r="H778" t="str">
        <f t="shared" si="12"/>
        <v/>
      </c>
    </row>
    <row r="779" spans="8:8" x14ac:dyDescent="0.2">
      <c r="H779" t="str">
        <f t="shared" si="12"/>
        <v/>
      </c>
    </row>
    <row r="780" spans="8:8" x14ac:dyDescent="0.2">
      <c r="H780" t="str">
        <f t="shared" si="12"/>
        <v/>
      </c>
    </row>
    <row r="781" spans="8:8" x14ac:dyDescent="0.2">
      <c r="H781" t="str">
        <f t="shared" si="12"/>
        <v/>
      </c>
    </row>
    <row r="782" spans="8:8" x14ac:dyDescent="0.2">
      <c r="H782" t="str">
        <f t="shared" si="12"/>
        <v/>
      </c>
    </row>
    <row r="783" spans="8:8" x14ac:dyDescent="0.2">
      <c r="H783" t="str">
        <f t="shared" si="12"/>
        <v/>
      </c>
    </row>
    <row r="784" spans="8:8" x14ac:dyDescent="0.2">
      <c r="H784" t="str">
        <f t="shared" si="12"/>
        <v/>
      </c>
    </row>
    <row r="785" spans="8:8" x14ac:dyDescent="0.2">
      <c r="H785" t="str">
        <f t="shared" si="12"/>
        <v/>
      </c>
    </row>
    <row r="786" spans="8:8" x14ac:dyDescent="0.2">
      <c r="H786" t="str">
        <f t="shared" si="12"/>
        <v/>
      </c>
    </row>
    <row r="787" spans="8:8" x14ac:dyDescent="0.2">
      <c r="H787" t="str">
        <f t="shared" si="12"/>
        <v/>
      </c>
    </row>
    <row r="788" spans="8:8" x14ac:dyDescent="0.2">
      <c r="H788" t="str">
        <f t="shared" si="12"/>
        <v/>
      </c>
    </row>
    <row r="789" spans="8:8" x14ac:dyDescent="0.2">
      <c r="H789" t="str">
        <f t="shared" si="12"/>
        <v/>
      </c>
    </row>
    <row r="790" spans="8:8" x14ac:dyDescent="0.2">
      <c r="H790" t="str">
        <f t="shared" si="12"/>
        <v/>
      </c>
    </row>
    <row r="791" spans="8:8" x14ac:dyDescent="0.2">
      <c r="H791" t="str">
        <f t="shared" si="12"/>
        <v/>
      </c>
    </row>
    <row r="792" spans="8:8" x14ac:dyDescent="0.2">
      <c r="H792" t="str">
        <f t="shared" si="12"/>
        <v/>
      </c>
    </row>
    <row r="793" spans="8:8" x14ac:dyDescent="0.2">
      <c r="H793" t="str">
        <f t="shared" si="12"/>
        <v/>
      </c>
    </row>
    <row r="794" spans="8:8" x14ac:dyDescent="0.2">
      <c r="H794" t="str">
        <f t="shared" si="12"/>
        <v/>
      </c>
    </row>
    <row r="795" spans="8:8" x14ac:dyDescent="0.2">
      <c r="H795" t="str">
        <f t="shared" si="12"/>
        <v/>
      </c>
    </row>
    <row r="796" spans="8:8" x14ac:dyDescent="0.2">
      <c r="H796" t="str">
        <f t="shared" si="12"/>
        <v/>
      </c>
    </row>
    <row r="797" spans="8:8" x14ac:dyDescent="0.2">
      <c r="H797" t="str">
        <f t="shared" si="12"/>
        <v/>
      </c>
    </row>
    <row r="798" spans="8:8" x14ac:dyDescent="0.2">
      <c r="H798" t="str">
        <f t="shared" si="12"/>
        <v/>
      </c>
    </row>
    <row r="799" spans="8:8" x14ac:dyDescent="0.2">
      <c r="H799" t="str">
        <f t="shared" si="12"/>
        <v/>
      </c>
    </row>
    <row r="800" spans="8:8" x14ac:dyDescent="0.2">
      <c r="H800" t="str">
        <f t="shared" si="12"/>
        <v/>
      </c>
    </row>
    <row r="801" spans="8:8" x14ac:dyDescent="0.2">
      <c r="H801" t="str">
        <f t="shared" si="12"/>
        <v/>
      </c>
    </row>
    <row r="802" spans="8:8" x14ac:dyDescent="0.2">
      <c r="H802" t="str">
        <f t="shared" si="12"/>
        <v/>
      </c>
    </row>
    <row r="803" spans="8:8" x14ac:dyDescent="0.2">
      <c r="H803" t="str">
        <f t="shared" si="12"/>
        <v/>
      </c>
    </row>
    <row r="804" spans="8:8" x14ac:dyDescent="0.2">
      <c r="H804" t="str">
        <f t="shared" si="12"/>
        <v/>
      </c>
    </row>
    <row r="805" spans="8:8" x14ac:dyDescent="0.2">
      <c r="H805" t="str">
        <f t="shared" si="12"/>
        <v/>
      </c>
    </row>
    <row r="806" spans="8:8" x14ac:dyDescent="0.2">
      <c r="H806" t="str">
        <f t="shared" si="12"/>
        <v/>
      </c>
    </row>
    <row r="807" spans="8:8" x14ac:dyDescent="0.2">
      <c r="H807" t="str">
        <f t="shared" si="12"/>
        <v/>
      </c>
    </row>
    <row r="808" spans="8:8" x14ac:dyDescent="0.2">
      <c r="H808" t="str">
        <f t="shared" si="12"/>
        <v/>
      </c>
    </row>
    <row r="809" spans="8:8" x14ac:dyDescent="0.2">
      <c r="H809" t="str">
        <f t="shared" si="12"/>
        <v/>
      </c>
    </row>
    <row r="810" spans="8:8" x14ac:dyDescent="0.2">
      <c r="H810" t="str">
        <f t="shared" si="12"/>
        <v/>
      </c>
    </row>
    <row r="811" spans="8:8" x14ac:dyDescent="0.2">
      <c r="H811" t="str">
        <f t="shared" si="12"/>
        <v/>
      </c>
    </row>
    <row r="812" spans="8:8" x14ac:dyDescent="0.2">
      <c r="H812" t="str">
        <f t="shared" si="12"/>
        <v/>
      </c>
    </row>
    <row r="813" spans="8:8" x14ac:dyDescent="0.2">
      <c r="H813" t="str">
        <f t="shared" si="12"/>
        <v/>
      </c>
    </row>
    <row r="814" spans="8:8" x14ac:dyDescent="0.2">
      <c r="H814" t="str">
        <f t="shared" si="12"/>
        <v/>
      </c>
    </row>
    <row r="815" spans="8:8" x14ac:dyDescent="0.2">
      <c r="H815" t="str">
        <f t="shared" si="12"/>
        <v/>
      </c>
    </row>
    <row r="816" spans="8:8" x14ac:dyDescent="0.2">
      <c r="H816" t="str">
        <f t="shared" si="12"/>
        <v/>
      </c>
    </row>
    <row r="817" spans="8:8" x14ac:dyDescent="0.2">
      <c r="H817" t="str">
        <f t="shared" si="12"/>
        <v/>
      </c>
    </row>
    <row r="818" spans="8:8" x14ac:dyDescent="0.2">
      <c r="H818" t="str">
        <f t="shared" si="12"/>
        <v/>
      </c>
    </row>
    <row r="819" spans="8:8" x14ac:dyDescent="0.2">
      <c r="H819" t="str">
        <f t="shared" si="12"/>
        <v/>
      </c>
    </row>
    <row r="820" spans="8:8" x14ac:dyDescent="0.2">
      <c r="H820" t="str">
        <f t="shared" si="12"/>
        <v/>
      </c>
    </row>
    <row r="821" spans="8:8" x14ac:dyDescent="0.2">
      <c r="H821" t="str">
        <f t="shared" si="12"/>
        <v/>
      </c>
    </row>
    <row r="822" spans="8:8" x14ac:dyDescent="0.2">
      <c r="H822" t="str">
        <f t="shared" si="12"/>
        <v/>
      </c>
    </row>
    <row r="823" spans="8:8" x14ac:dyDescent="0.2">
      <c r="H823" t="str">
        <f t="shared" si="12"/>
        <v/>
      </c>
    </row>
    <row r="824" spans="8:8" x14ac:dyDescent="0.2">
      <c r="H824" t="str">
        <f t="shared" si="12"/>
        <v/>
      </c>
    </row>
    <row r="825" spans="8:8" x14ac:dyDescent="0.2">
      <c r="H825" t="str">
        <f t="shared" si="12"/>
        <v/>
      </c>
    </row>
    <row r="826" spans="8:8" x14ac:dyDescent="0.2">
      <c r="H826" t="str">
        <f t="shared" si="12"/>
        <v/>
      </c>
    </row>
    <row r="827" spans="8:8" x14ac:dyDescent="0.2">
      <c r="H827" t="str">
        <f t="shared" si="12"/>
        <v/>
      </c>
    </row>
    <row r="828" spans="8:8" x14ac:dyDescent="0.2">
      <c r="H828" t="str">
        <f t="shared" si="12"/>
        <v/>
      </c>
    </row>
    <row r="829" spans="8:8" x14ac:dyDescent="0.2">
      <c r="H829" t="str">
        <f t="shared" si="12"/>
        <v/>
      </c>
    </row>
    <row r="830" spans="8:8" x14ac:dyDescent="0.2">
      <c r="H830" t="str">
        <f t="shared" si="12"/>
        <v/>
      </c>
    </row>
    <row r="831" spans="8:8" x14ac:dyDescent="0.2">
      <c r="H831" t="str">
        <f t="shared" si="12"/>
        <v/>
      </c>
    </row>
    <row r="832" spans="8:8" x14ac:dyDescent="0.2">
      <c r="H832" t="str">
        <f t="shared" si="12"/>
        <v/>
      </c>
    </row>
    <row r="833" spans="8:8" x14ac:dyDescent="0.2">
      <c r="H833" t="str">
        <f t="shared" si="12"/>
        <v/>
      </c>
    </row>
    <row r="834" spans="8:8" x14ac:dyDescent="0.2">
      <c r="H834" t="str">
        <f t="shared" ref="H834:H897" si="13">IF(COUNTIF(C834:G834,"&lt;&gt;")=0,"",AVERAGE(C834:G834))</f>
        <v/>
      </c>
    </row>
    <row r="835" spans="8:8" x14ac:dyDescent="0.2">
      <c r="H835" t="str">
        <f t="shared" si="13"/>
        <v/>
      </c>
    </row>
    <row r="836" spans="8:8" x14ac:dyDescent="0.2">
      <c r="H836" t="str">
        <f t="shared" si="13"/>
        <v/>
      </c>
    </row>
    <row r="837" spans="8:8" x14ac:dyDescent="0.2">
      <c r="H837" t="str">
        <f t="shared" si="13"/>
        <v/>
      </c>
    </row>
    <row r="838" spans="8:8" x14ac:dyDescent="0.2">
      <c r="H838" t="str">
        <f t="shared" si="13"/>
        <v/>
      </c>
    </row>
    <row r="839" spans="8:8" x14ac:dyDescent="0.2">
      <c r="H839" t="str">
        <f t="shared" si="13"/>
        <v/>
      </c>
    </row>
    <row r="840" spans="8:8" x14ac:dyDescent="0.2">
      <c r="H840" t="str">
        <f t="shared" si="13"/>
        <v/>
      </c>
    </row>
    <row r="841" spans="8:8" x14ac:dyDescent="0.2">
      <c r="H841" t="str">
        <f t="shared" si="13"/>
        <v/>
      </c>
    </row>
    <row r="842" spans="8:8" x14ac:dyDescent="0.2">
      <c r="H842" t="str">
        <f t="shared" si="13"/>
        <v/>
      </c>
    </row>
    <row r="843" spans="8:8" x14ac:dyDescent="0.2">
      <c r="H843" t="str">
        <f t="shared" si="13"/>
        <v/>
      </c>
    </row>
    <row r="844" spans="8:8" x14ac:dyDescent="0.2">
      <c r="H844" t="str">
        <f t="shared" si="13"/>
        <v/>
      </c>
    </row>
    <row r="845" spans="8:8" x14ac:dyDescent="0.2">
      <c r="H845" t="str">
        <f t="shared" si="13"/>
        <v/>
      </c>
    </row>
    <row r="846" spans="8:8" x14ac:dyDescent="0.2">
      <c r="H846" t="str">
        <f t="shared" si="13"/>
        <v/>
      </c>
    </row>
    <row r="847" spans="8:8" x14ac:dyDescent="0.2">
      <c r="H847" t="str">
        <f t="shared" si="13"/>
        <v/>
      </c>
    </row>
    <row r="848" spans="8:8" x14ac:dyDescent="0.2">
      <c r="H848" t="str">
        <f t="shared" si="13"/>
        <v/>
      </c>
    </row>
    <row r="849" spans="8:8" x14ac:dyDescent="0.2">
      <c r="H849" t="str">
        <f t="shared" si="13"/>
        <v/>
      </c>
    </row>
    <row r="850" spans="8:8" x14ac:dyDescent="0.2">
      <c r="H850" t="str">
        <f t="shared" si="13"/>
        <v/>
      </c>
    </row>
    <row r="851" spans="8:8" x14ac:dyDescent="0.2">
      <c r="H851" t="str">
        <f t="shared" si="13"/>
        <v/>
      </c>
    </row>
    <row r="852" spans="8:8" x14ac:dyDescent="0.2">
      <c r="H852" t="str">
        <f t="shared" si="13"/>
        <v/>
      </c>
    </row>
    <row r="853" spans="8:8" x14ac:dyDescent="0.2">
      <c r="H853" t="str">
        <f t="shared" si="13"/>
        <v/>
      </c>
    </row>
    <row r="854" spans="8:8" x14ac:dyDescent="0.2">
      <c r="H854" t="str">
        <f t="shared" si="13"/>
        <v/>
      </c>
    </row>
    <row r="855" spans="8:8" x14ac:dyDescent="0.2">
      <c r="H855" t="str">
        <f t="shared" si="13"/>
        <v/>
      </c>
    </row>
    <row r="856" spans="8:8" x14ac:dyDescent="0.2">
      <c r="H856" t="str">
        <f t="shared" si="13"/>
        <v/>
      </c>
    </row>
    <row r="857" spans="8:8" x14ac:dyDescent="0.2">
      <c r="H857" t="str">
        <f t="shared" si="13"/>
        <v/>
      </c>
    </row>
    <row r="858" spans="8:8" x14ac:dyDescent="0.2">
      <c r="H858" t="str">
        <f t="shared" si="13"/>
        <v/>
      </c>
    </row>
    <row r="859" spans="8:8" x14ac:dyDescent="0.2">
      <c r="H859" t="str">
        <f t="shared" si="13"/>
        <v/>
      </c>
    </row>
    <row r="860" spans="8:8" x14ac:dyDescent="0.2">
      <c r="H860" t="str">
        <f t="shared" si="13"/>
        <v/>
      </c>
    </row>
    <row r="861" spans="8:8" x14ac:dyDescent="0.2">
      <c r="H861" t="str">
        <f t="shared" si="13"/>
        <v/>
      </c>
    </row>
    <row r="862" spans="8:8" x14ac:dyDescent="0.2">
      <c r="H862" t="str">
        <f t="shared" si="13"/>
        <v/>
      </c>
    </row>
    <row r="863" spans="8:8" x14ac:dyDescent="0.2">
      <c r="H863" t="str">
        <f t="shared" si="13"/>
        <v/>
      </c>
    </row>
    <row r="864" spans="8:8" x14ac:dyDescent="0.2">
      <c r="H864" t="str">
        <f t="shared" si="13"/>
        <v/>
      </c>
    </row>
    <row r="865" spans="8:8" x14ac:dyDescent="0.2">
      <c r="H865" t="str">
        <f t="shared" si="13"/>
        <v/>
      </c>
    </row>
    <row r="866" spans="8:8" x14ac:dyDescent="0.2">
      <c r="H866" t="str">
        <f t="shared" si="13"/>
        <v/>
      </c>
    </row>
    <row r="867" spans="8:8" x14ac:dyDescent="0.2">
      <c r="H867" t="str">
        <f t="shared" si="13"/>
        <v/>
      </c>
    </row>
    <row r="868" spans="8:8" x14ac:dyDescent="0.2">
      <c r="H868" t="str">
        <f t="shared" si="13"/>
        <v/>
      </c>
    </row>
    <row r="869" spans="8:8" x14ac:dyDescent="0.2">
      <c r="H869" t="str">
        <f t="shared" si="13"/>
        <v/>
      </c>
    </row>
    <row r="870" spans="8:8" x14ac:dyDescent="0.2">
      <c r="H870" t="str">
        <f t="shared" si="13"/>
        <v/>
      </c>
    </row>
    <row r="871" spans="8:8" x14ac:dyDescent="0.2">
      <c r="H871" t="str">
        <f t="shared" si="13"/>
        <v/>
      </c>
    </row>
    <row r="872" spans="8:8" x14ac:dyDescent="0.2">
      <c r="H872" t="str">
        <f t="shared" si="13"/>
        <v/>
      </c>
    </row>
    <row r="873" spans="8:8" x14ac:dyDescent="0.2">
      <c r="H873" t="str">
        <f t="shared" si="13"/>
        <v/>
      </c>
    </row>
    <row r="874" spans="8:8" x14ac:dyDescent="0.2">
      <c r="H874" t="str">
        <f t="shared" si="13"/>
        <v/>
      </c>
    </row>
    <row r="875" spans="8:8" x14ac:dyDescent="0.2">
      <c r="H875" t="str">
        <f t="shared" si="13"/>
        <v/>
      </c>
    </row>
    <row r="876" spans="8:8" x14ac:dyDescent="0.2">
      <c r="H876" t="str">
        <f t="shared" si="13"/>
        <v/>
      </c>
    </row>
    <row r="877" spans="8:8" x14ac:dyDescent="0.2">
      <c r="H877" t="str">
        <f t="shared" si="13"/>
        <v/>
      </c>
    </row>
    <row r="878" spans="8:8" x14ac:dyDescent="0.2">
      <c r="H878" t="str">
        <f t="shared" si="13"/>
        <v/>
      </c>
    </row>
    <row r="879" spans="8:8" x14ac:dyDescent="0.2">
      <c r="H879" t="str">
        <f t="shared" si="13"/>
        <v/>
      </c>
    </row>
    <row r="880" spans="8:8" x14ac:dyDescent="0.2">
      <c r="H880" t="str">
        <f t="shared" si="13"/>
        <v/>
      </c>
    </row>
    <row r="881" spans="8:8" x14ac:dyDescent="0.2">
      <c r="H881" t="str">
        <f t="shared" si="13"/>
        <v/>
      </c>
    </row>
    <row r="882" spans="8:8" x14ac:dyDescent="0.2">
      <c r="H882" t="str">
        <f t="shared" si="13"/>
        <v/>
      </c>
    </row>
    <row r="883" spans="8:8" x14ac:dyDescent="0.2">
      <c r="H883" t="str">
        <f t="shared" si="13"/>
        <v/>
      </c>
    </row>
    <row r="884" spans="8:8" x14ac:dyDescent="0.2">
      <c r="H884" t="str">
        <f t="shared" si="13"/>
        <v/>
      </c>
    </row>
    <row r="885" spans="8:8" x14ac:dyDescent="0.2">
      <c r="H885" t="str">
        <f t="shared" si="13"/>
        <v/>
      </c>
    </row>
    <row r="886" spans="8:8" x14ac:dyDescent="0.2">
      <c r="H886" t="str">
        <f t="shared" si="13"/>
        <v/>
      </c>
    </row>
    <row r="887" spans="8:8" x14ac:dyDescent="0.2">
      <c r="H887" t="str">
        <f t="shared" si="13"/>
        <v/>
      </c>
    </row>
    <row r="888" spans="8:8" x14ac:dyDescent="0.2">
      <c r="H888" t="str">
        <f t="shared" si="13"/>
        <v/>
      </c>
    </row>
    <row r="889" spans="8:8" x14ac:dyDescent="0.2">
      <c r="H889" t="str">
        <f t="shared" si="13"/>
        <v/>
      </c>
    </row>
    <row r="890" spans="8:8" x14ac:dyDescent="0.2">
      <c r="H890" t="str">
        <f t="shared" si="13"/>
        <v/>
      </c>
    </row>
    <row r="891" spans="8:8" x14ac:dyDescent="0.2">
      <c r="H891" t="str">
        <f t="shared" si="13"/>
        <v/>
      </c>
    </row>
    <row r="892" spans="8:8" x14ac:dyDescent="0.2">
      <c r="H892" t="str">
        <f t="shared" si="13"/>
        <v/>
      </c>
    </row>
    <row r="893" spans="8:8" x14ac:dyDescent="0.2">
      <c r="H893" t="str">
        <f t="shared" si="13"/>
        <v/>
      </c>
    </row>
    <row r="894" spans="8:8" x14ac:dyDescent="0.2">
      <c r="H894" t="str">
        <f t="shared" si="13"/>
        <v/>
      </c>
    </row>
    <row r="895" spans="8:8" x14ac:dyDescent="0.2">
      <c r="H895" t="str">
        <f t="shared" si="13"/>
        <v/>
      </c>
    </row>
    <row r="896" spans="8:8" x14ac:dyDescent="0.2">
      <c r="H896" t="str">
        <f t="shared" si="13"/>
        <v/>
      </c>
    </row>
    <row r="897" spans="8:8" x14ac:dyDescent="0.2">
      <c r="H897" t="str">
        <f t="shared" si="13"/>
        <v/>
      </c>
    </row>
    <row r="898" spans="8:8" x14ac:dyDescent="0.2">
      <c r="H898" t="str">
        <f t="shared" ref="H898:H961" si="14">IF(COUNTIF(C898:G898,"&lt;&gt;")=0,"",AVERAGE(C898:G898))</f>
        <v/>
      </c>
    </row>
    <row r="899" spans="8:8" x14ac:dyDescent="0.2">
      <c r="H899" t="str">
        <f t="shared" si="14"/>
        <v/>
      </c>
    </row>
    <row r="900" spans="8:8" x14ac:dyDescent="0.2">
      <c r="H900" t="str">
        <f t="shared" si="14"/>
        <v/>
      </c>
    </row>
    <row r="901" spans="8:8" x14ac:dyDescent="0.2">
      <c r="H901" t="str">
        <f t="shared" si="14"/>
        <v/>
      </c>
    </row>
    <row r="902" spans="8:8" x14ac:dyDescent="0.2">
      <c r="H902" t="str">
        <f t="shared" si="14"/>
        <v/>
      </c>
    </row>
    <row r="903" spans="8:8" x14ac:dyDescent="0.2">
      <c r="H903" t="str">
        <f t="shared" si="14"/>
        <v/>
      </c>
    </row>
    <row r="904" spans="8:8" x14ac:dyDescent="0.2">
      <c r="H904" t="str">
        <f t="shared" si="14"/>
        <v/>
      </c>
    </row>
    <row r="905" spans="8:8" x14ac:dyDescent="0.2">
      <c r="H905" t="str">
        <f t="shared" si="14"/>
        <v/>
      </c>
    </row>
    <row r="906" spans="8:8" x14ac:dyDescent="0.2">
      <c r="H906" t="str">
        <f t="shared" si="14"/>
        <v/>
      </c>
    </row>
    <row r="907" spans="8:8" x14ac:dyDescent="0.2">
      <c r="H907" t="str">
        <f t="shared" si="14"/>
        <v/>
      </c>
    </row>
    <row r="908" spans="8:8" x14ac:dyDescent="0.2">
      <c r="H908" t="str">
        <f t="shared" si="14"/>
        <v/>
      </c>
    </row>
    <row r="909" spans="8:8" x14ac:dyDescent="0.2">
      <c r="H909" t="str">
        <f t="shared" si="14"/>
        <v/>
      </c>
    </row>
    <row r="910" spans="8:8" x14ac:dyDescent="0.2">
      <c r="H910" t="str">
        <f t="shared" si="14"/>
        <v/>
      </c>
    </row>
    <row r="911" spans="8:8" x14ac:dyDescent="0.2">
      <c r="H911" t="str">
        <f t="shared" si="14"/>
        <v/>
      </c>
    </row>
    <row r="912" spans="8:8" x14ac:dyDescent="0.2">
      <c r="H912" t="str">
        <f t="shared" si="14"/>
        <v/>
      </c>
    </row>
    <row r="913" spans="8:8" x14ac:dyDescent="0.2">
      <c r="H913" t="str">
        <f t="shared" si="14"/>
        <v/>
      </c>
    </row>
    <row r="914" spans="8:8" x14ac:dyDescent="0.2">
      <c r="H914" t="str">
        <f t="shared" si="14"/>
        <v/>
      </c>
    </row>
    <row r="915" spans="8:8" x14ac:dyDescent="0.2">
      <c r="H915" t="str">
        <f t="shared" si="14"/>
        <v/>
      </c>
    </row>
    <row r="916" spans="8:8" x14ac:dyDescent="0.2">
      <c r="H916" t="str">
        <f t="shared" si="14"/>
        <v/>
      </c>
    </row>
    <row r="917" spans="8:8" x14ac:dyDescent="0.2">
      <c r="H917" t="str">
        <f t="shared" si="14"/>
        <v/>
      </c>
    </row>
    <row r="918" spans="8:8" x14ac:dyDescent="0.2">
      <c r="H918" t="str">
        <f t="shared" si="14"/>
        <v/>
      </c>
    </row>
    <row r="919" spans="8:8" x14ac:dyDescent="0.2">
      <c r="H919" t="str">
        <f t="shared" si="14"/>
        <v/>
      </c>
    </row>
    <row r="920" spans="8:8" x14ac:dyDescent="0.2">
      <c r="H920" t="str">
        <f t="shared" si="14"/>
        <v/>
      </c>
    </row>
    <row r="921" spans="8:8" x14ac:dyDescent="0.2">
      <c r="H921" t="str">
        <f t="shared" si="14"/>
        <v/>
      </c>
    </row>
    <row r="922" spans="8:8" x14ac:dyDescent="0.2">
      <c r="H922" t="str">
        <f t="shared" si="14"/>
        <v/>
      </c>
    </row>
    <row r="923" spans="8:8" x14ac:dyDescent="0.2">
      <c r="H923" t="str">
        <f t="shared" si="14"/>
        <v/>
      </c>
    </row>
    <row r="924" spans="8:8" x14ac:dyDescent="0.2">
      <c r="H924" t="str">
        <f t="shared" si="14"/>
        <v/>
      </c>
    </row>
    <row r="925" spans="8:8" x14ac:dyDescent="0.2">
      <c r="H925" t="str">
        <f t="shared" si="14"/>
        <v/>
      </c>
    </row>
    <row r="926" spans="8:8" x14ac:dyDescent="0.2">
      <c r="H926" t="str">
        <f t="shared" si="14"/>
        <v/>
      </c>
    </row>
    <row r="927" spans="8:8" x14ac:dyDescent="0.2">
      <c r="H927" t="str">
        <f t="shared" si="14"/>
        <v/>
      </c>
    </row>
    <row r="928" spans="8:8" x14ac:dyDescent="0.2">
      <c r="H928" t="str">
        <f t="shared" si="14"/>
        <v/>
      </c>
    </row>
    <row r="929" spans="8:8" x14ac:dyDescent="0.2">
      <c r="H929" t="str">
        <f t="shared" si="14"/>
        <v/>
      </c>
    </row>
    <row r="930" spans="8:8" x14ac:dyDescent="0.2">
      <c r="H930" t="str">
        <f t="shared" si="14"/>
        <v/>
      </c>
    </row>
    <row r="931" spans="8:8" x14ac:dyDescent="0.2">
      <c r="H931" t="str">
        <f t="shared" si="14"/>
        <v/>
      </c>
    </row>
    <row r="932" spans="8:8" x14ac:dyDescent="0.2">
      <c r="H932" t="str">
        <f t="shared" si="14"/>
        <v/>
      </c>
    </row>
    <row r="933" spans="8:8" x14ac:dyDescent="0.2">
      <c r="H933" t="str">
        <f t="shared" si="14"/>
        <v/>
      </c>
    </row>
    <row r="934" spans="8:8" x14ac:dyDescent="0.2">
      <c r="H934" t="str">
        <f t="shared" si="14"/>
        <v/>
      </c>
    </row>
    <row r="935" spans="8:8" x14ac:dyDescent="0.2">
      <c r="H935" t="str">
        <f t="shared" si="14"/>
        <v/>
      </c>
    </row>
    <row r="936" spans="8:8" x14ac:dyDescent="0.2">
      <c r="H936" t="str">
        <f t="shared" si="14"/>
        <v/>
      </c>
    </row>
    <row r="937" spans="8:8" x14ac:dyDescent="0.2">
      <c r="H937" t="str">
        <f t="shared" si="14"/>
        <v/>
      </c>
    </row>
    <row r="938" spans="8:8" x14ac:dyDescent="0.2">
      <c r="H938" t="str">
        <f t="shared" si="14"/>
        <v/>
      </c>
    </row>
    <row r="939" spans="8:8" x14ac:dyDescent="0.2">
      <c r="H939" t="str">
        <f t="shared" si="14"/>
        <v/>
      </c>
    </row>
    <row r="940" spans="8:8" x14ac:dyDescent="0.2">
      <c r="H940" t="str">
        <f t="shared" si="14"/>
        <v/>
      </c>
    </row>
    <row r="941" spans="8:8" x14ac:dyDescent="0.2">
      <c r="H941" t="str">
        <f t="shared" si="14"/>
        <v/>
      </c>
    </row>
    <row r="942" spans="8:8" x14ac:dyDescent="0.2">
      <c r="H942" t="str">
        <f t="shared" si="14"/>
        <v/>
      </c>
    </row>
    <row r="943" spans="8:8" x14ac:dyDescent="0.2">
      <c r="H943" t="str">
        <f t="shared" si="14"/>
        <v/>
      </c>
    </row>
    <row r="944" spans="8:8" x14ac:dyDescent="0.2">
      <c r="H944" t="str">
        <f t="shared" si="14"/>
        <v/>
      </c>
    </row>
    <row r="945" spans="8:8" x14ac:dyDescent="0.2">
      <c r="H945" t="str">
        <f t="shared" si="14"/>
        <v/>
      </c>
    </row>
    <row r="946" spans="8:8" x14ac:dyDescent="0.2">
      <c r="H946" t="str">
        <f t="shared" si="14"/>
        <v/>
      </c>
    </row>
    <row r="947" spans="8:8" x14ac:dyDescent="0.2">
      <c r="H947" t="str">
        <f t="shared" si="14"/>
        <v/>
      </c>
    </row>
    <row r="948" spans="8:8" x14ac:dyDescent="0.2">
      <c r="H948" t="str">
        <f t="shared" si="14"/>
        <v/>
      </c>
    </row>
    <row r="949" spans="8:8" x14ac:dyDescent="0.2">
      <c r="H949" t="str">
        <f t="shared" si="14"/>
        <v/>
      </c>
    </row>
    <row r="950" spans="8:8" x14ac:dyDescent="0.2">
      <c r="H950" t="str">
        <f t="shared" si="14"/>
        <v/>
      </c>
    </row>
    <row r="951" spans="8:8" x14ac:dyDescent="0.2">
      <c r="H951" t="str">
        <f t="shared" si="14"/>
        <v/>
      </c>
    </row>
    <row r="952" spans="8:8" x14ac:dyDescent="0.2">
      <c r="H952" t="str">
        <f t="shared" si="14"/>
        <v/>
      </c>
    </row>
    <row r="953" spans="8:8" x14ac:dyDescent="0.2">
      <c r="H953" t="str">
        <f t="shared" si="14"/>
        <v/>
      </c>
    </row>
    <row r="954" spans="8:8" x14ac:dyDescent="0.2">
      <c r="H954" t="str">
        <f t="shared" si="14"/>
        <v/>
      </c>
    </row>
    <row r="955" spans="8:8" x14ac:dyDescent="0.2">
      <c r="H955" t="str">
        <f t="shared" si="14"/>
        <v/>
      </c>
    </row>
    <row r="956" spans="8:8" x14ac:dyDescent="0.2">
      <c r="H956" t="str">
        <f t="shared" si="14"/>
        <v/>
      </c>
    </row>
    <row r="957" spans="8:8" x14ac:dyDescent="0.2">
      <c r="H957" t="str">
        <f t="shared" si="14"/>
        <v/>
      </c>
    </row>
    <row r="958" spans="8:8" x14ac:dyDescent="0.2">
      <c r="H958" t="str">
        <f t="shared" si="14"/>
        <v/>
      </c>
    </row>
    <row r="959" spans="8:8" x14ac:dyDescent="0.2">
      <c r="H959" t="str">
        <f t="shared" si="14"/>
        <v/>
      </c>
    </row>
    <row r="960" spans="8:8" x14ac:dyDescent="0.2">
      <c r="H960" t="str">
        <f t="shared" si="14"/>
        <v/>
      </c>
    </row>
    <row r="961" spans="8:8" x14ac:dyDescent="0.2">
      <c r="H961" t="str">
        <f t="shared" si="14"/>
        <v/>
      </c>
    </row>
    <row r="962" spans="8:8" x14ac:dyDescent="0.2">
      <c r="H962" t="str">
        <f t="shared" ref="H962:H1025" si="15">IF(COUNTIF(C962:G962,"&lt;&gt;")=0,"",AVERAGE(C962:G962))</f>
        <v/>
      </c>
    </row>
    <row r="963" spans="8:8" x14ac:dyDescent="0.2">
      <c r="H963" t="str">
        <f t="shared" si="15"/>
        <v/>
      </c>
    </row>
    <row r="964" spans="8:8" x14ac:dyDescent="0.2">
      <c r="H964" t="str">
        <f t="shared" si="15"/>
        <v/>
      </c>
    </row>
    <row r="965" spans="8:8" x14ac:dyDescent="0.2">
      <c r="H965" t="str">
        <f t="shared" si="15"/>
        <v/>
      </c>
    </row>
    <row r="966" spans="8:8" x14ac:dyDescent="0.2">
      <c r="H966" t="str">
        <f t="shared" si="15"/>
        <v/>
      </c>
    </row>
    <row r="967" spans="8:8" x14ac:dyDescent="0.2">
      <c r="H967" t="str">
        <f t="shared" si="15"/>
        <v/>
      </c>
    </row>
    <row r="968" spans="8:8" x14ac:dyDescent="0.2">
      <c r="H968" t="str">
        <f t="shared" si="15"/>
        <v/>
      </c>
    </row>
    <row r="969" spans="8:8" x14ac:dyDescent="0.2">
      <c r="H969" t="str">
        <f t="shared" si="15"/>
        <v/>
      </c>
    </row>
    <row r="970" spans="8:8" x14ac:dyDescent="0.2">
      <c r="H970" t="str">
        <f t="shared" si="15"/>
        <v/>
      </c>
    </row>
    <row r="971" spans="8:8" x14ac:dyDescent="0.2">
      <c r="H971" t="str">
        <f t="shared" si="15"/>
        <v/>
      </c>
    </row>
    <row r="972" spans="8:8" x14ac:dyDescent="0.2">
      <c r="H972" t="str">
        <f t="shared" si="15"/>
        <v/>
      </c>
    </row>
    <row r="973" spans="8:8" x14ac:dyDescent="0.2">
      <c r="H973" t="str">
        <f t="shared" si="15"/>
        <v/>
      </c>
    </row>
    <row r="974" spans="8:8" x14ac:dyDescent="0.2">
      <c r="H974" t="str">
        <f t="shared" si="15"/>
        <v/>
      </c>
    </row>
    <row r="975" spans="8:8" x14ac:dyDescent="0.2">
      <c r="H975" t="str">
        <f t="shared" si="15"/>
        <v/>
      </c>
    </row>
    <row r="976" spans="8:8" x14ac:dyDescent="0.2">
      <c r="H976" t="str">
        <f t="shared" si="15"/>
        <v/>
      </c>
    </row>
    <row r="977" spans="8:8" x14ac:dyDescent="0.2">
      <c r="H977" t="str">
        <f t="shared" si="15"/>
        <v/>
      </c>
    </row>
    <row r="978" spans="8:8" x14ac:dyDescent="0.2">
      <c r="H978" t="str">
        <f t="shared" si="15"/>
        <v/>
      </c>
    </row>
    <row r="979" spans="8:8" x14ac:dyDescent="0.2">
      <c r="H979" t="str">
        <f t="shared" si="15"/>
        <v/>
      </c>
    </row>
    <row r="980" spans="8:8" x14ac:dyDescent="0.2">
      <c r="H980" t="str">
        <f t="shared" si="15"/>
        <v/>
      </c>
    </row>
    <row r="981" spans="8:8" x14ac:dyDescent="0.2">
      <c r="H981" t="str">
        <f t="shared" si="15"/>
        <v/>
      </c>
    </row>
    <row r="982" spans="8:8" x14ac:dyDescent="0.2">
      <c r="H982" t="str">
        <f t="shared" si="15"/>
        <v/>
      </c>
    </row>
    <row r="983" spans="8:8" x14ac:dyDescent="0.2">
      <c r="H983" t="str">
        <f t="shared" si="15"/>
        <v/>
      </c>
    </row>
    <row r="984" spans="8:8" x14ac:dyDescent="0.2">
      <c r="H984" t="str">
        <f t="shared" si="15"/>
        <v/>
      </c>
    </row>
    <row r="985" spans="8:8" x14ac:dyDescent="0.2">
      <c r="H985" t="str">
        <f t="shared" si="15"/>
        <v/>
      </c>
    </row>
    <row r="986" spans="8:8" x14ac:dyDescent="0.2">
      <c r="H986" t="str">
        <f t="shared" si="15"/>
        <v/>
      </c>
    </row>
    <row r="987" spans="8:8" x14ac:dyDescent="0.2">
      <c r="H987" t="str">
        <f t="shared" si="15"/>
        <v/>
      </c>
    </row>
    <row r="988" spans="8:8" x14ac:dyDescent="0.2">
      <c r="H988" t="str">
        <f t="shared" si="15"/>
        <v/>
      </c>
    </row>
    <row r="989" spans="8:8" x14ac:dyDescent="0.2">
      <c r="H989" t="str">
        <f t="shared" si="15"/>
        <v/>
      </c>
    </row>
    <row r="990" spans="8:8" x14ac:dyDescent="0.2">
      <c r="H990" t="str">
        <f t="shared" si="15"/>
        <v/>
      </c>
    </row>
    <row r="991" spans="8:8" x14ac:dyDescent="0.2">
      <c r="H991" t="str">
        <f t="shared" si="15"/>
        <v/>
      </c>
    </row>
    <row r="992" spans="8:8" x14ac:dyDescent="0.2">
      <c r="H992" t="str">
        <f t="shared" si="15"/>
        <v/>
      </c>
    </row>
    <row r="993" spans="8:8" x14ac:dyDescent="0.2">
      <c r="H993" t="str">
        <f t="shared" si="15"/>
        <v/>
      </c>
    </row>
    <row r="994" spans="8:8" x14ac:dyDescent="0.2">
      <c r="H994" t="str">
        <f t="shared" si="15"/>
        <v/>
      </c>
    </row>
    <row r="995" spans="8:8" x14ac:dyDescent="0.2">
      <c r="H995" t="str">
        <f t="shared" si="15"/>
        <v/>
      </c>
    </row>
    <row r="996" spans="8:8" x14ac:dyDescent="0.2">
      <c r="H996" t="str">
        <f t="shared" si="15"/>
        <v/>
      </c>
    </row>
    <row r="997" spans="8:8" x14ac:dyDescent="0.2">
      <c r="H997" t="str">
        <f t="shared" si="15"/>
        <v/>
      </c>
    </row>
    <row r="998" spans="8:8" x14ac:dyDescent="0.2">
      <c r="H998" t="str">
        <f t="shared" si="15"/>
        <v/>
      </c>
    </row>
    <row r="999" spans="8:8" x14ac:dyDescent="0.2">
      <c r="H999" t="str">
        <f t="shared" si="15"/>
        <v/>
      </c>
    </row>
    <row r="1000" spans="8:8" x14ac:dyDescent="0.2">
      <c r="H1000" t="str">
        <f t="shared" si="15"/>
        <v/>
      </c>
    </row>
    <row r="1001" spans="8:8" x14ac:dyDescent="0.2">
      <c r="H1001" t="str">
        <f t="shared" si="15"/>
        <v/>
      </c>
    </row>
  </sheetData>
  <dataValidations count="1">
    <dataValidation type="decimal" operator="greaterThanOrEqual" allowBlank="1" showInputMessage="1" showErrorMessage="1" promptTitle="Pacientes/h" prompt="Ingrese tasa (número) por día" sqref="C2:G1000" xr:uid="{00000000-0002-0000-0400-000000000000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2" t="s">
        <v>38</v>
      </c>
      <c r="B1" s="2" t="s">
        <v>39</v>
      </c>
    </row>
    <row r="2" spans="1:2" x14ac:dyDescent="0.2">
      <c r="A2" t="s">
        <v>40</v>
      </c>
      <c r="B2">
        <v>20</v>
      </c>
    </row>
    <row r="3" spans="1:2" x14ac:dyDescent="0.2">
      <c r="A3" t="s">
        <v>41</v>
      </c>
      <c r="B3">
        <v>4</v>
      </c>
    </row>
    <row r="4" spans="1:2" x14ac:dyDescent="0.2">
      <c r="A4" t="s">
        <v>42</v>
      </c>
      <c r="B4">
        <v>0.1</v>
      </c>
    </row>
    <row r="5" spans="1:2" x14ac:dyDescent="0.2">
      <c r="A5" t="s">
        <v>43</v>
      </c>
      <c r="B5">
        <v>95</v>
      </c>
    </row>
    <row r="6" spans="1:2" x14ac:dyDescent="0.2">
      <c r="A6" t="s">
        <v>44</v>
      </c>
      <c r="B6">
        <v>5</v>
      </c>
    </row>
    <row r="7" spans="1:2" x14ac:dyDescent="0.2">
      <c r="A7" t="s">
        <v>45</v>
      </c>
      <c r="B7">
        <v>1</v>
      </c>
    </row>
    <row r="8" spans="1:2" x14ac:dyDescent="0.2">
      <c r="A8" t="s">
        <v>46</v>
      </c>
      <c r="B8">
        <v>1</v>
      </c>
    </row>
    <row r="9" spans="1:2" x14ac:dyDescent="0.2">
      <c r="A9" t="s">
        <v>47</v>
      </c>
      <c r="B9">
        <v>95</v>
      </c>
    </row>
    <row r="10" spans="1:2" x14ac:dyDescent="0.2">
      <c r="A10" t="s">
        <v>48</v>
      </c>
      <c r="B10">
        <v>80</v>
      </c>
    </row>
    <row r="11" spans="1:2" x14ac:dyDescent="0.2">
      <c r="A11" t="s">
        <v>49</v>
      </c>
      <c r="B11">
        <v>80</v>
      </c>
    </row>
    <row r="12" spans="1:2" x14ac:dyDescent="0.2">
      <c r="A12" t="s">
        <v>50</v>
      </c>
      <c r="B12">
        <v>80</v>
      </c>
    </row>
    <row r="13" spans="1:2" x14ac:dyDescent="0.2">
      <c r="A13" t="s">
        <v>51</v>
      </c>
      <c r="B1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KPIs_Mensuales</vt:lpstr>
      <vt:lpstr>Documentacion</vt:lpstr>
      <vt:lpstr>Feedback_360</vt:lpstr>
      <vt:lpstr>Observacion_Directa</vt:lpstr>
      <vt:lpstr>Prod_5dias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2025-08-20T21:39:43Z</dcterms:created>
  <dcterms:modified xsi:type="dcterms:W3CDTF">2025-08-20T21:41:58Z</dcterms:modified>
</cp:coreProperties>
</file>