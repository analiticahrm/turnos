
<file path=[Content_Types].xml><?xml version="1.0" encoding="utf-8"?>
<Types xmlns="http://schemas.openxmlformats.org/package/2006/content-types">
  <Default Extension="bin" ContentType="application/vnd.openxmlformats-officedocument.spreadsheetml.printerSettings"/>
  <Default Extension="emf" ContentType="image/x-emf"/>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drawings/drawing2.xml" ContentType="application/vnd.openxmlformats-officedocument.drawing+xml"/>
  <Override PartName="/xl/comments2.xml" ContentType="application/vnd.openxmlformats-officedocument.spreadsheetml.comments+xml"/>
  <Override PartName="/xl/drawings/drawing3.xml" ContentType="application/vnd.openxmlformats-officedocument.drawing+xml"/>
  <Override PartName="/xl/comments3.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xl/persons/person.xml" ContentType="application/vnd.ms-excel.person+xml"/>
  <Override PartName="/xl/threadedComments/threadedComment2.xml" ContentType="application/vnd.ms-excel.threadedcomments+xml"/>
  <Override PartName="/xl/threadedComments/threadedComment1.xml" ContentType="application/vnd.ms-excel.threadedcomment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2"/>
  <workbookPr defaultThemeVersion="166925"/>
  <mc:AlternateContent xmlns:mc="http://schemas.openxmlformats.org/markup-compatibility/2006">
    <mc:Choice Requires="x15">
      <x15ac:absPath xmlns:x15ac="http://schemas.microsoft.com/office/spreadsheetml/2010/11/ac" url="C:\Users\leidy\OneDrive\Documentos\"/>
    </mc:Choice>
  </mc:AlternateContent>
  <xr:revisionPtr revIDLastSave="0" documentId="13_ncr:1_{305C79B5-5D5C-4601-8887-E92A3D4CDA1B}" xr6:coauthVersionLast="47" xr6:coauthVersionMax="47" xr10:uidLastSave="{00000000-0000-0000-0000-000000000000}"/>
  <bookViews>
    <workbookView xWindow="-108" yWindow="-108" windowWidth="23256" windowHeight="12456" xr2:uid="{00000000-000D-0000-FFFF-FFFF00000000}"/>
  </bookViews>
  <sheets>
    <sheet name="SEDE PRINCIPAL" sheetId="4" r:id="rId1"/>
    <sheet name="SEDE CENTRO" sheetId="8" r:id="rId2"/>
    <sheet name="AJUSTES" sheetId="12" state="hidden" r:id="rId3"/>
    <sheet name="INSTRUCCIONES" sheetId="6" r:id="rId4"/>
    <sheet name="FORMULA" sheetId="7" state="hidden" r:id="rId5"/>
    <sheet name="PRODUCCION 2025-1" sheetId="2" r:id="rId6"/>
  </sheets>
  <externalReferences>
    <externalReference r:id="rId7"/>
  </externalReferences>
  <definedNames>
    <definedName name="_xlnm._FilterDatabase" localSheetId="2" hidden="1">AJUSTES!$A$3:$P$143</definedName>
    <definedName name="_xlnm._FilterDatabase" localSheetId="5" hidden="1">'PRODUCCION 2025-1'!$B$9:$V$271</definedName>
    <definedName name="_xlnm._FilterDatabase" localSheetId="1" hidden="1">'SEDE CENTRO'!$A$5:$P$11</definedName>
    <definedName name="_xlnm._FilterDatabase" localSheetId="0" hidden="1">'SEDE PRINCIPAL'!$A$5:$S$140</definedName>
    <definedName name="Z_01E87301_5E31_4D4D_A363_9FD772814E62_.wvu.FilterData" localSheetId="5" hidden="1">'PRODUCCION 2025-1'!$B$9:$V$271</definedName>
    <definedName name="Z_152D9917_2058_4B80_A6FC_2AAA179F9E5A_.wvu.Cols" localSheetId="5" hidden="1">'PRODUCCION 2025-1'!$M:$Y</definedName>
    <definedName name="Z_152D9917_2058_4B80_A6FC_2AAA179F9E5A_.wvu.FilterData" localSheetId="5" hidden="1">'PRODUCCION 2025-1'!$B$9:$V$271</definedName>
    <definedName name="Z_152D9917_2058_4B80_A6FC_2AAA179F9E5A_.wvu.Rows" localSheetId="5" hidden="1">'PRODUCCION 2025-1'!$95:$99</definedName>
    <definedName name="Z_266619D1_4F2E_4E5E_A865_275532BC3521_.wvu.FilterData" localSheetId="5" hidden="1">'PRODUCCION 2025-1'!$B$9:$V$271</definedName>
    <definedName name="Z_2DA0B96F_4577_4376_BF99_8FB2AA710417_.wvu.Cols" localSheetId="5" hidden="1">'PRODUCCION 2025-1'!$M:$Y</definedName>
    <definedName name="Z_2DA0B96F_4577_4376_BF99_8FB2AA710417_.wvu.FilterData" localSheetId="5" hidden="1">'PRODUCCION 2025-1'!$B$9:$V$271</definedName>
    <definedName name="Z_2DA0B96F_4577_4376_BF99_8FB2AA710417_.wvu.Rows" localSheetId="5" hidden="1">'PRODUCCION 2025-1'!$95:$99</definedName>
    <definedName name="Z_2F91AF25_F73B_4BA4_9E3F_B3B4AC655538_.wvu.FilterData" localSheetId="5" hidden="1">'PRODUCCION 2025-1'!$B$9:$V$271</definedName>
    <definedName name="Z_30289657_939B_4FE9_B809_3E190577CDAE_.wvu.FilterData" localSheetId="5" hidden="1">'PRODUCCION 2025-1'!$B$9:$V$271</definedName>
    <definedName name="Z_3421B2D5_9D7B_4B68_A82A_FEF18545D43E_.wvu.FilterData" localSheetId="5" hidden="1">'PRODUCCION 2025-1'!$B$9:$V$271</definedName>
    <definedName name="Z_342B4125_EF4A_408D_BEEE_013BFDABBCCE_.wvu.FilterData" localSheetId="5" hidden="1">'PRODUCCION 2025-1'!$B$9:$V$271</definedName>
    <definedName name="Z_36C92E6F_BD57_4AC1_8D1D_9014370DA2F8_.wvu.FilterData" localSheetId="5" hidden="1">'PRODUCCION 2025-1'!$B$9:$V$271</definedName>
    <definedName name="Z_3D13C426_5EEB_4549_88D0_17BDCFDAF72F_.wvu.FilterData" localSheetId="5" hidden="1">'PRODUCCION 2025-1'!$B$9:$V$271</definedName>
    <definedName name="Z_429E3891_897B_432D_B87C_3901691BD66A_.wvu.FilterData" localSheetId="5" hidden="1">'PRODUCCION 2025-1'!$B$9:$V$271</definedName>
    <definedName name="Z_447A9A01_4AE7_4368_B2C5_E77C37ECFFE4_.wvu.FilterData" localSheetId="5" hidden="1">'PRODUCCION 2025-1'!$B$9:$V$271</definedName>
    <definedName name="Z_51FB98CF_60BD_49A2_A83A_C08709CB60ED_.wvu.FilterData" localSheetId="5" hidden="1">'PRODUCCION 2025-1'!$B$9:$V$271</definedName>
    <definedName name="Z_54E489D7_DF08_4474_A481_819FE607C8C4_.wvu.FilterData" localSheetId="5" hidden="1">'PRODUCCION 2025-1'!$B$9:$V$271</definedName>
    <definedName name="Z_5775DA56_C78E_46CB_BA38_149E61778824_.wvu.FilterData" localSheetId="5" hidden="1">'PRODUCCION 2025-1'!$B$9:$V$271</definedName>
    <definedName name="Z_5DFFBC57_8175_4B5A_9A9C_DB9DBE2F313E_.wvu.FilterData" localSheetId="5" hidden="1">'PRODUCCION 2025-1'!$B$9:$V$271</definedName>
    <definedName name="Z_66492F00_D67F_4CF0_B5BD_7F94322D6E14_.wvu.FilterData" localSheetId="5" hidden="1">'PRODUCCION 2025-1'!$B$9:$V$271</definedName>
    <definedName name="Z_67B10C0B_B111_40A1_B71E_FAF4A540BD7F_.wvu.FilterData" localSheetId="5" hidden="1">'PRODUCCION 2025-1'!$B$9:$V$271</definedName>
    <definedName name="Z_68A6B0A6_EA27_41FC_B0FF_80E917AAD985_.wvu.FilterData" localSheetId="5" hidden="1">'PRODUCCION 2025-1'!$B$9:$V$271</definedName>
    <definedName name="Z_6F251CBB_0507_4F43_9B90_0EBE50E13DF4_.wvu.FilterData" localSheetId="5" hidden="1">'PRODUCCION 2025-1'!$B$9:$V$271</definedName>
    <definedName name="Z_717689B9_7F6D_47AF_846E_A1651A0CBC5F_.wvu.FilterData" localSheetId="5" hidden="1">'PRODUCCION 2025-1'!$B$9:$V$271</definedName>
    <definedName name="Z_7257179C_EB21_4509_9B4D_3C276C9C0EE1_.wvu.FilterData" localSheetId="5" hidden="1">'PRODUCCION 2025-1'!$B$9:$V$271</definedName>
    <definedName name="Z_73E38D42_5C57_41C9_9C83_18C519603A54_.wvu.FilterData" localSheetId="5" hidden="1">'PRODUCCION 2025-1'!$B$9:$V$271</definedName>
    <definedName name="Z_7AA2D022_40B2_4BCA_A929_3BCB9ED68BAA_.wvu.FilterData" localSheetId="5" hidden="1">'PRODUCCION 2025-1'!$B$9:$V$271</definedName>
    <definedName name="Z_7D20618D_4CA7_4C50_9421_5CF0BA8F0D63_.wvu.Cols" localSheetId="5" hidden="1">'PRODUCCION 2025-1'!$M:$Y</definedName>
    <definedName name="Z_7D20618D_4CA7_4C50_9421_5CF0BA8F0D63_.wvu.FilterData" localSheetId="5" hidden="1">'PRODUCCION 2025-1'!$B$9:$V$271</definedName>
    <definedName name="Z_7D20618D_4CA7_4C50_9421_5CF0BA8F0D63_.wvu.Rows" localSheetId="5" hidden="1">'PRODUCCION 2025-1'!$95:$99</definedName>
    <definedName name="Z_7D848FF7_4D39_4D13_82FB_A7A21BA14410_.wvu.FilterData" localSheetId="5" hidden="1">'PRODUCCION 2025-1'!$B$9:$V$271</definedName>
    <definedName name="Z_8DD09031_85CB_407E_9289_071B9E7784AE_.wvu.FilterData" localSheetId="5" hidden="1">'PRODUCCION 2025-1'!$B$9:$V$271</definedName>
    <definedName name="Z_937C4867_E47A_440E_AA97_DC1CAA1F1B98_.wvu.FilterData" localSheetId="5" hidden="1">'PRODUCCION 2025-1'!$B$9:$V$271</definedName>
    <definedName name="Z_995389AB_5158_42D5_91BE_7B5CA863F2BD_.wvu.FilterData" localSheetId="5" hidden="1">'PRODUCCION 2025-1'!$B$9:$V$271</definedName>
    <definedName name="Z_9B813AA6_B258_4329_A173_A007FAD2FCCA_.wvu.FilterData" localSheetId="5" hidden="1">'PRODUCCION 2025-1'!$B$9:$V$271</definedName>
    <definedName name="Z_9C3F8FF7_60C6_42B2_9084_F97A4622AC37_.wvu.FilterData" localSheetId="5" hidden="1">'PRODUCCION 2025-1'!$B$9:$V$271</definedName>
    <definedName name="Z_9DF3A95F_0400_4E74_9245_C62CE3DAD6EA_.wvu.FilterData" localSheetId="5" hidden="1">'PRODUCCION 2025-1'!$B$9:$V$271</definedName>
    <definedName name="Z_A087C607_BDF4_42FF_9BF2_98D5ADC23F27_.wvu.FilterData" localSheetId="5" hidden="1">'PRODUCCION 2025-1'!$B$9:$V$271</definedName>
    <definedName name="Z_A27295DB_0A27_4B01_9915_942B1A521649_.wvu.FilterData" localSheetId="5" hidden="1">'PRODUCCION 2025-1'!$B$9:$V$271</definedName>
    <definedName name="Z_AE9FCD9E_A6E3_4C17_8540_E42623FAEE40_.wvu.FilterData" localSheetId="5" hidden="1">'PRODUCCION 2025-1'!$B$9:$V$271</definedName>
    <definedName name="Z_B3FE6B8C_5895_43EC_8692_618DE1CC1C99_.wvu.FilterData" localSheetId="5" hidden="1">'PRODUCCION 2025-1'!$B$9:$V$271</definedName>
    <definedName name="Z_B71F64DD_B7EB_4DB1_AE48_6B47DA3748EB_.wvu.FilterData" localSheetId="5" hidden="1">'PRODUCCION 2025-1'!$B$9:$V$271</definedName>
    <definedName name="Z_BF2E0A22_9F8A_4880_B179_F56456533300_.wvu.FilterData" localSheetId="5" hidden="1">'PRODUCCION 2025-1'!$B$9:$V$271</definedName>
    <definedName name="Z_C1220C41_2ED3_4246_AE27_09D26779C6B2_.wvu.FilterData" localSheetId="5" hidden="1">'PRODUCCION 2025-1'!$B$9:$V$271</definedName>
    <definedName name="Z_C22F9067_777C_44B6_B07C_8F2C66E1CFFB_.wvu.FilterData" localSheetId="5" hidden="1">'PRODUCCION 2025-1'!$B$9:$V$271</definedName>
    <definedName name="Z_C3321E2F_B825_4D93_9EE5_F3D053831048_.wvu.FilterData" localSheetId="5" hidden="1">'PRODUCCION 2025-1'!$B$9:$V$271</definedName>
    <definedName name="Z_C4F25047_A0BC_8C4E_81DB_6AC18FC12C0A_.wvu.Cols" localSheetId="5" hidden="1">'PRODUCCION 2025-1'!$M:$Y</definedName>
    <definedName name="Z_C4F25047_A0BC_8C4E_81DB_6AC18FC12C0A_.wvu.FilterData" localSheetId="5" hidden="1">'PRODUCCION 2025-1'!$B$9:$V$271</definedName>
    <definedName name="Z_C4F25047_A0BC_8C4E_81DB_6AC18FC12C0A_.wvu.Rows" localSheetId="5" hidden="1">'PRODUCCION 2025-1'!$95:$99</definedName>
    <definedName name="Z_C671A6CF_B5ED_4338_8B34_25770A2875CA_.wvu.FilterData" localSheetId="5" hidden="1">'PRODUCCION 2025-1'!$B$9:$V$271</definedName>
    <definedName name="Z_C69DE2B3_980E_4644_9038_EC848B2B7957_.wvu.FilterData" localSheetId="5" hidden="1">'PRODUCCION 2025-1'!$B$9:$V$271</definedName>
    <definedName name="Z_CC472912_C30D_46DB_AC57_DDC1F0B0D7C5_.wvu.FilterData" localSheetId="5" hidden="1">'PRODUCCION 2025-1'!$B$9:$V$271</definedName>
    <definedName name="Z_CC472912_C30D_46DB_AC57_DDC1F0B0D7C5_.wvu.Rows" localSheetId="5" hidden="1">'PRODUCCION 2025-1'!$95:$98</definedName>
    <definedName name="Z_CC7B3E2D_0175_4DC2_808A_702555F6B871_.wvu.FilterData" localSheetId="5" hidden="1">'PRODUCCION 2025-1'!$B$9:$V$271</definedName>
    <definedName name="Z_CE576E5E_4009_4192_8034_E4C7FCB73392_.wvu.FilterData" localSheetId="5" hidden="1">'PRODUCCION 2025-1'!$B$9:$V$271</definedName>
    <definedName name="Z_CF36489F_9341_4652_A999_4DA036DF01D8_.wvu.FilterData" localSheetId="5" hidden="1">'PRODUCCION 2025-1'!$B$9:$V$271</definedName>
    <definedName name="Z_D00482A8_6C51_48BC_ADB7_1C5872A58C41_.wvu.FilterData" localSheetId="5" hidden="1">'PRODUCCION 2025-1'!$B$9:$V$271</definedName>
    <definedName name="Z_E80A5854_72B5_4D4A_9D8C_2D5124AA8458_.wvu.Cols" localSheetId="5" hidden="1">'PRODUCCION 2025-1'!$M:$Y</definedName>
    <definedName name="Z_E80A5854_72B5_4D4A_9D8C_2D5124AA8458_.wvu.FilterData" localSheetId="5" hidden="1">'PRODUCCION 2025-1'!$B$9:$V$271</definedName>
    <definedName name="Z_E80A5854_72B5_4D4A_9D8C_2D5124AA8458_.wvu.Rows" localSheetId="5" hidden="1">'PRODUCCION 2025-1'!$95:$99</definedName>
    <definedName name="Z_EDEEF990_9B00_4F81_B736_F35F323A52F8_.wvu.FilterData" localSheetId="5" hidden="1">'PRODUCCION 2025-1'!$B$9:$V$271</definedName>
    <definedName name="Z_FBF2B902_BC93_43F6_AB11_EF068556C941_.wvu.FilterData" localSheetId="5" hidden="1">'PRODUCCION 2025-1'!$B$9:$V$271</definedName>
    <definedName name="Z_FC214081_35AE_4EA9_B5CF_6F6F882DAB7A_.wvu.FilterData" localSheetId="5" hidden="1">'PRODUCCION 2025-1'!$B$9:$V$271</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P130" i="12" l="1"/>
  <c r="P131" i="12"/>
  <c r="P132" i="12"/>
  <c r="P133" i="12"/>
  <c r="P138" i="12"/>
  <c r="N130" i="12"/>
  <c r="N131" i="12"/>
  <c r="N132" i="12"/>
  <c r="N133" i="12"/>
  <c r="N134" i="12"/>
  <c r="P134" i="12" s="1"/>
  <c r="N135" i="12"/>
  <c r="P135" i="12" s="1"/>
  <c r="N136" i="12"/>
  <c r="P136" i="12" s="1"/>
  <c r="N137" i="12"/>
  <c r="P137" i="12" s="1"/>
  <c r="N128" i="12"/>
  <c r="N129" i="12"/>
  <c r="P96" i="12"/>
  <c r="P97" i="12"/>
  <c r="P98" i="12"/>
  <c r="P99" i="12"/>
  <c r="P100" i="12"/>
  <c r="P101" i="12"/>
  <c r="P102" i="12"/>
  <c r="P103" i="12"/>
  <c r="P104" i="12"/>
  <c r="P105" i="12"/>
  <c r="P106" i="12"/>
  <c r="P107" i="12"/>
  <c r="P108" i="12"/>
  <c r="P109" i="12"/>
  <c r="P110" i="12"/>
  <c r="P111" i="12"/>
  <c r="P112" i="12"/>
  <c r="P113" i="12"/>
  <c r="P114" i="12"/>
  <c r="P115" i="12"/>
  <c r="P116" i="12"/>
  <c r="P117" i="12"/>
  <c r="P118" i="12"/>
  <c r="P119" i="12"/>
  <c r="P120" i="12"/>
  <c r="P121" i="12"/>
  <c r="P122" i="12"/>
  <c r="P123" i="12"/>
  <c r="P125" i="12"/>
  <c r="P127" i="12"/>
  <c r="P128" i="12"/>
  <c r="P129" i="12"/>
  <c r="N96" i="12"/>
  <c r="N97" i="12"/>
  <c r="N98" i="12"/>
  <c r="N99" i="12"/>
  <c r="N100" i="12"/>
  <c r="N101" i="12"/>
  <c r="N102" i="12"/>
  <c r="N103" i="12"/>
  <c r="N104" i="12"/>
  <c r="N105" i="12"/>
  <c r="N106" i="12"/>
  <c r="N107" i="12"/>
  <c r="N108" i="12"/>
  <c r="N109" i="12"/>
  <c r="N110" i="12"/>
  <c r="N111" i="12"/>
  <c r="N112" i="12"/>
  <c r="N113" i="12"/>
  <c r="N114" i="12"/>
  <c r="N115" i="12"/>
  <c r="N116" i="12"/>
  <c r="N117" i="12"/>
  <c r="N118" i="12"/>
  <c r="N119" i="12"/>
  <c r="N120" i="12"/>
  <c r="N121" i="12"/>
  <c r="N122" i="12"/>
  <c r="N123" i="12"/>
  <c r="N124" i="12"/>
  <c r="P124" i="12" s="1"/>
  <c r="N125" i="12"/>
  <c r="N126" i="12"/>
  <c r="P126" i="12" s="1"/>
  <c r="N127" i="12"/>
  <c r="H96" i="12"/>
  <c r="I96" i="12"/>
  <c r="H97" i="12"/>
  <c r="I97" i="12" s="1"/>
  <c r="H98" i="12"/>
  <c r="I98" i="12"/>
  <c r="H99" i="12"/>
  <c r="I99" i="12"/>
  <c r="H100" i="12"/>
  <c r="I100" i="12"/>
  <c r="H101" i="12"/>
  <c r="I101" i="12"/>
  <c r="H102" i="12"/>
  <c r="I102" i="12"/>
  <c r="H103" i="12"/>
  <c r="I103" i="12"/>
  <c r="H104" i="12"/>
  <c r="I104" i="12"/>
  <c r="H105" i="12"/>
  <c r="I105" i="12" s="1"/>
  <c r="H106" i="12"/>
  <c r="I106" i="12"/>
  <c r="H107" i="12"/>
  <c r="I107" i="12"/>
  <c r="H108" i="12"/>
  <c r="I108" i="12"/>
  <c r="H109" i="12"/>
  <c r="I109" i="12"/>
  <c r="H110" i="12"/>
  <c r="I110" i="12"/>
  <c r="H111" i="12"/>
  <c r="I111" i="12"/>
  <c r="H112" i="12"/>
  <c r="I112" i="12"/>
  <c r="H113" i="12"/>
  <c r="I113" i="12" s="1"/>
  <c r="H114" i="12"/>
  <c r="I114" i="12"/>
  <c r="H115" i="12"/>
  <c r="I115" i="12"/>
  <c r="H116" i="12"/>
  <c r="I116" i="12"/>
  <c r="H117" i="12"/>
  <c r="I117" i="12"/>
  <c r="H118" i="12"/>
  <c r="I118" i="12"/>
  <c r="H119" i="12"/>
  <c r="I119" i="12"/>
  <c r="H120" i="12"/>
  <c r="I120" i="12"/>
  <c r="H121" i="12"/>
  <c r="I121" i="12" s="1"/>
  <c r="H122" i="12"/>
  <c r="I122" i="12"/>
  <c r="H123" i="12"/>
  <c r="I123" i="12"/>
  <c r="H124" i="12"/>
  <c r="I124" i="12" s="1"/>
  <c r="H125" i="12"/>
  <c r="I125" i="12"/>
  <c r="H126" i="12"/>
  <c r="I126" i="12"/>
  <c r="H127" i="12"/>
  <c r="I127" i="12"/>
  <c r="H128" i="12"/>
  <c r="I128" i="12"/>
  <c r="H129" i="12"/>
  <c r="I129" i="12" s="1"/>
  <c r="P34" i="12"/>
  <c r="P35" i="12"/>
  <c r="P36" i="12"/>
  <c r="P37" i="12"/>
  <c r="P38" i="12"/>
  <c r="P39" i="12"/>
  <c r="P40" i="12"/>
  <c r="P41" i="12"/>
  <c r="P42" i="12"/>
  <c r="P43" i="12"/>
  <c r="P44" i="12"/>
  <c r="P45" i="12"/>
  <c r="P46" i="12"/>
  <c r="P47" i="12"/>
  <c r="P48" i="12"/>
  <c r="P49" i="12"/>
  <c r="P50" i="12"/>
  <c r="P51" i="12"/>
  <c r="P52" i="12"/>
  <c r="P53" i="12"/>
  <c r="P54" i="12"/>
  <c r="P55" i="12"/>
  <c r="P56" i="12"/>
  <c r="P57" i="12"/>
  <c r="P58" i="12"/>
  <c r="P59" i="12"/>
  <c r="P60" i="12"/>
  <c r="P61" i="12"/>
  <c r="P62" i="12"/>
  <c r="P63" i="12"/>
  <c r="P64" i="12"/>
  <c r="P65" i="12"/>
  <c r="P66" i="12"/>
  <c r="P67" i="12"/>
  <c r="P68" i="12"/>
  <c r="P69" i="12"/>
  <c r="P70" i="12"/>
  <c r="P71" i="12"/>
  <c r="P72" i="12"/>
  <c r="P73" i="12"/>
  <c r="P74" i="12"/>
  <c r="P75" i="12"/>
  <c r="P76" i="12"/>
  <c r="P77" i="12"/>
  <c r="P78" i="12"/>
  <c r="P79" i="12"/>
  <c r="P80" i="12"/>
  <c r="P81" i="12"/>
  <c r="P82" i="12"/>
  <c r="P83" i="12"/>
  <c r="P84" i="12"/>
  <c r="P85" i="12"/>
  <c r="P86" i="12"/>
  <c r="P87" i="12"/>
  <c r="P88" i="12"/>
  <c r="P89" i="12"/>
  <c r="P90" i="12"/>
  <c r="P91" i="12"/>
  <c r="P92" i="12"/>
  <c r="P93" i="12"/>
  <c r="P94" i="12"/>
  <c r="P95" i="12"/>
  <c r="N34" i="12"/>
  <c r="N35" i="12"/>
  <c r="N36" i="12"/>
  <c r="N37" i="12"/>
  <c r="N38" i="12"/>
  <c r="N39" i="12"/>
  <c r="N40" i="12"/>
  <c r="N41" i="12"/>
  <c r="N42" i="12"/>
  <c r="N43" i="12"/>
  <c r="N44" i="12"/>
  <c r="N45" i="12"/>
  <c r="N46" i="12"/>
  <c r="N47" i="12"/>
  <c r="N48" i="12"/>
  <c r="N49" i="12"/>
  <c r="N50" i="12"/>
  <c r="N51" i="12"/>
  <c r="N52" i="12"/>
  <c r="N53" i="12"/>
  <c r="N54" i="12"/>
  <c r="N55" i="12"/>
  <c r="N56" i="12"/>
  <c r="N57" i="12"/>
  <c r="N58" i="12"/>
  <c r="N59" i="12"/>
  <c r="N60" i="12"/>
  <c r="N61" i="12"/>
  <c r="N62" i="12"/>
  <c r="N63" i="12"/>
  <c r="N64" i="12"/>
  <c r="N65" i="12"/>
  <c r="N66" i="12"/>
  <c r="N67" i="12"/>
  <c r="N68" i="12"/>
  <c r="N69" i="12"/>
  <c r="N70" i="12"/>
  <c r="N71" i="12"/>
  <c r="N72" i="12"/>
  <c r="N73" i="12"/>
  <c r="N74" i="12"/>
  <c r="N75" i="12"/>
  <c r="N76" i="12"/>
  <c r="N77" i="12"/>
  <c r="N78" i="12"/>
  <c r="N79" i="12"/>
  <c r="N80" i="12"/>
  <c r="N81" i="12"/>
  <c r="N82" i="12"/>
  <c r="N83" i="12"/>
  <c r="N84" i="12"/>
  <c r="N85" i="12"/>
  <c r="N86" i="12"/>
  <c r="N87" i="12"/>
  <c r="N88" i="12"/>
  <c r="N89" i="12"/>
  <c r="N90" i="12"/>
  <c r="N91" i="12"/>
  <c r="N92" i="12"/>
  <c r="N93" i="12"/>
  <c r="N94" i="12"/>
  <c r="N95" i="12"/>
  <c r="H34" i="12"/>
  <c r="I34" i="12" s="1"/>
  <c r="H35" i="12"/>
  <c r="I35" i="12"/>
  <c r="H36" i="12"/>
  <c r="I36" i="12"/>
  <c r="H37" i="12"/>
  <c r="I37" i="12"/>
  <c r="H38" i="12"/>
  <c r="I38" i="12"/>
  <c r="H39" i="12"/>
  <c r="I39" i="12"/>
  <c r="H40" i="12"/>
  <c r="I40" i="12"/>
  <c r="H41" i="12"/>
  <c r="I41" i="12"/>
  <c r="H42" i="12"/>
  <c r="I42" i="12" s="1"/>
  <c r="H43" i="12"/>
  <c r="I43" i="12"/>
  <c r="H44" i="12"/>
  <c r="I44" i="12"/>
  <c r="H45" i="12"/>
  <c r="I45" i="12"/>
  <c r="H46" i="12"/>
  <c r="I46" i="12"/>
  <c r="H47" i="12"/>
  <c r="I47" i="12"/>
  <c r="H48" i="12"/>
  <c r="I48" i="12"/>
  <c r="H49" i="12"/>
  <c r="I49" i="12" s="1"/>
  <c r="H50" i="12"/>
  <c r="I50" i="12" s="1"/>
  <c r="H51" i="12"/>
  <c r="I51" i="12"/>
  <c r="H52" i="12"/>
  <c r="I52" i="12"/>
  <c r="H53" i="12"/>
  <c r="I53" i="12"/>
  <c r="H54" i="12"/>
  <c r="I54" i="12"/>
  <c r="H55" i="12"/>
  <c r="I55" i="12"/>
  <c r="H56" i="12"/>
  <c r="I56" i="12"/>
  <c r="H57" i="12"/>
  <c r="I57" i="12"/>
  <c r="H58" i="12"/>
  <c r="I58" i="12" s="1"/>
  <c r="H59" i="12"/>
  <c r="I59" i="12"/>
  <c r="H60" i="12"/>
  <c r="I60" i="12"/>
  <c r="H61" i="12"/>
  <c r="I61" i="12"/>
  <c r="H62" i="12"/>
  <c r="I62" i="12"/>
  <c r="H63" i="12"/>
  <c r="I63" i="12"/>
  <c r="H64" i="12"/>
  <c r="I64" i="12"/>
  <c r="H65" i="12"/>
  <c r="I65" i="12"/>
  <c r="H66" i="12"/>
  <c r="I66" i="12" s="1"/>
  <c r="H67" i="12"/>
  <c r="I67" i="12"/>
  <c r="H68" i="12"/>
  <c r="I68" i="12"/>
  <c r="H69" i="12"/>
  <c r="I69" i="12"/>
  <c r="H70" i="12"/>
  <c r="I70" i="12"/>
  <c r="H71" i="12"/>
  <c r="I71" i="12"/>
  <c r="H72" i="12"/>
  <c r="I72" i="12"/>
  <c r="H73" i="12"/>
  <c r="I73" i="12"/>
  <c r="H74" i="12"/>
  <c r="I74" i="12" s="1"/>
  <c r="H75" i="12"/>
  <c r="I75" i="12"/>
  <c r="H76" i="12"/>
  <c r="I76" i="12"/>
  <c r="H77" i="12"/>
  <c r="I77" i="12"/>
  <c r="H78" i="12"/>
  <c r="I78" i="12"/>
  <c r="H79" i="12"/>
  <c r="I79" i="12"/>
  <c r="H80" i="12"/>
  <c r="I80" i="12"/>
  <c r="H81" i="12"/>
  <c r="I81" i="12"/>
  <c r="H82" i="12"/>
  <c r="I82" i="12" s="1"/>
  <c r="H83" i="12"/>
  <c r="I83" i="12"/>
  <c r="H84" i="12"/>
  <c r="I84" i="12"/>
  <c r="H85" i="12"/>
  <c r="I85" i="12"/>
  <c r="H86" i="12"/>
  <c r="I86" i="12"/>
  <c r="H87" i="12"/>
  <c r="I87" i="12"/>
  <c r="H88" i="12"/>
  <c r="I88" i="12"/>
  <c r="H89" i="12"/>
  <c r="I89" i="12"/>
  <c r="H90" i="12"/>
  <c r="I90" i="12" s="1"/>
  <c r="H91" i="12"/>
  <c r="I91" i="12"/>
  <c r="H92" i="12"/>
  <c r="I92" i="12"/>
  <c r="H93" i="12"/>
  <c r="I93" i="12"/>
  <c r="H94" i="12"/>
  <c r="I94" i="12"/>
  <c r="H95" i="12"/>
  <c r="I95" i="12"/>
  <c r="P32" i="12"/>
  <c r="H32" i="12"/>
  <c r="I32" i="12" s="1"/>
  <c r="N32" i="12"/>
  <c r="N25" i="12"/>
  <c r="P25" i="12" s="1"/>
  <c r="H25" i="12"/>
  <c r="I25" i="12"/>
  <c r="N24" i="12"/>
  <c r="P24" i="12" s="1"/>
  <c r="N26" i="12"/>
  <c r="P26" i="12" s="1"/>
  <c r="N27" i="12"/>
  <c r="P27" i="12" s="1"/>
  <c r="N28" i="12"/>
  <c r="P28" i="12" s="1"/>
  <c r="N29" i="12"/>
  <c r="P29" i="12" s="1"/>
  <c r="N30" i="12"/>
  <c r="P30" i="12" s="1"/>
  <c r="N31" i="12"/>
  <c r="P31" i="12" s="1"/>
  <c r="N33" i="12"/>
  <c r="P33" i="12" s="1"/>
  <c r="N20" i="12"/>
  <c r="P20" i="12"/>
  <c r="H20" i="12"/>
  <c r="I20" i="12" s="1"/>
  <c r="N18" i="12"/>
  <c r="P18" i="12" s="1"/>
  <c r="N19" i="12"/>
  <c r="P19" i="12" s="1"/>
  <c r="N21" i="12"/>
  <c r="P21" i="12" s="1"/>
  <c r="N22" i="12"/>
  <c r="P22" i="12" s="1"/>
  <c r="N23" i="12"/>
  <c r="P23" i="12" s="1"/>
  <c r="H16" i="12"/>
  <c r="I16" i="12" s="1"/>
  <c r="H17" i="12"/>
  <c r="I17" i="12" s="1"/>
  <c r="H18" i="12"/>
  <c r="I18" i="12" s="1"/>
  <c r="H19" i="12"/>
  <c r="I19" i="12" s="1"/>
  <c r="H21" i="12"/>
  <c r="I21" i="12" s="1"/>
  <c r="H22" i="12"/>
  <c r="I22" i="12" s="1"/>
  <c r="H23" i="12"/>
  <c r="I23" i="12" s="1"/>
  <c r="H24" i="12"/>
  <c r="I24" i="12" s="1"/>
  <c r="H26" i="12"/>
  <c r="I26" i="12" s="1"/>
  <c r="H27" i="12"/>
  <c r="I27" i="12" s="1"/>
  <c r="H28" i="12"/>
  <c r="I28" i="12" s="1"/>
  <c r="H29" i="12"/>
  <c r="I29" i="12" s="1"/>
  <c r="H30" i="12"/>
  <c r="I30" i="12" s="1"/>
  <c r="H31" i="12"/>
  <c r="I31" i="12" s="1"/>
  <c r="H33" i="12"/>
  <c r="I33" i="12" s="1"/>
  <c r="H12" i="12"/>
  <c r="I12" i="12"/>
  <c r="H13" i="12"/>
  <c r="I13" i="12" s="1"/>
  <c r="H14" i="12"/>
  <c r="I14" i="12" s="1"/>
  <c r="H15" i="12"/>
  <c r="I15" i="12" s="1"/>
  <c r="N12" i="12"/>
  <c r="P12" i="12" s="1"/>
  <c r="H9" i="12"/>
  <c r="I9" i="12" s="1"/>
  <c r="N9" i="12"/>
  <c r="P9" i="12" s="1"/>
  <c r="N5" i="12"/>
  <c r="P5" i="12" s="1"/>
  <c r="N6" i="12"/>
  <c r="P6" i="12" s="1"/>
  <c r="N7" i="12"/>
  <c r="P7" i="12" s="1"/>
  <c r="N8" i="12"/>
  <c r="P8" i="12" s="1"/>
  <c r="N10" i="12"/>
  <c r="P10" i="12" s="1"/>
  <c r="N11" i="12"/>
  <c r="P11" i="12" s="1"/>
  <c r="N13" i="12"/>
  <c r="P13" i="12" s="1"/>
  <c r="N14" i="12"/>
  <c r="P14" i="12" s="1"/>
  <c r="N15" i="12"/>
  <c r="P15" i="12" s="1"/>
  <c r="N16" i="12"/>
  <c r="P16" i="12" s="1"/>
  <c r="N17" i="12"/>
  <c r="P17" i="12" s="1"/>
  <c r="H5" i="12"/>
  <c r="I5" i="12" s="1"/>
  <c r="H6" i="12"/>
  <c r="I6" i="12" s="1"/>
  <c r="H7" i="12"/>
  <c r="I7" i="12" s="1"/>
  <c r="H8" i="12"/>
  <c r="I8" i="12" s="1"/>
  <c r="H10" i="12"/>
  <c r="I10" i="12" s="1"/>
  <c r="H11" i="12"/>
  <c r="I11" i="12" s="1"/>
  <c r="N4" i="12"/>
  <c r="P4" i="12" s="1"/>
  <c r="H4" i="12"/>
  <c r="I4" i="12" s="1"/>
  <c r="N9" i="8"/>
  <c r="P9" i="8" s="1"/>
  <c r="N8" i="8"/>
  <c r="P8" i="8" s="1"/>
  <c r="N7" i="8"/>
  <c r="N6" i="8"/>
  <c r="P6" i="8" s="1"/>
  <c r="Q14" i="4"/>
  <c r="S14" i="4" s="1"/>
  <c r="Q15" i="4"/>
  <c r="S15" i="4" s="1"/>
  <c r="H131" i="4"/>
  <c r="I131" i="4" s="1"/>
  <c r="H132" i="4"/>
  <c r="I132" i="4" s="1"/>
  <c r="H133" i="4"/>
  <c r="I133" i="4" s="1"/>
  <c r="H134" i="4"/>
  <c r="I134" i="4" s="1"/>
  <c r="H130" i="4"/>
  <c r="I130" i="4" s="1"/>
  <c r="Q127" i="4"/>
  <c r="Q128" i="4"/>
  <c r="Q129" i="4"/>
  <c r="Q92" i="4"/>
  <c r="S92" i="4" s="1"/>
  <c r="Q91" i="4"/>
  <c r="S91" i="4" s="1"/>
  <c r="Q90" i="4"/>
  <c r="S90" i="4" s="1"/>
  <c r="Q89" i="4"/>
  <c r="S89" i="4" s="1"/>
  <c r="Q88" i="4"/>
  <c r="S88" i="4" s="1"/>
  <c r="H88" i="4"/>
  <c r="I88" i="4" s="1"/>
  <c r="H89" i="4"/>
  <c r="I89" i="4" s="1"/>
  <c r="H90" i="4"/>
  <c r="I90" i="4" s="1"/>
  <c r="H91" i="4"/>
  <c r="I91" i="4" s="1"/>
  <c r="H92" i="4"/>
  <c r="I92" i="4" s="1"/>
  <c r="Q82" i="4"/>
  <c r="S82" i="4" s="1"/>
  <c r="Q83" i="4"/>
  <c r="S83" i="4" s="1"/>
  <c r="Q84" i="4"/>
  <c r="S84" i="4" s="1"/>
  <c r="Q85" i="4"/>
  <c r="S85" i="4" s="1"/>
  <c r="Q86" i="4"/>
  <c r="S86" i="4" s="1"/>
  <c r="H82" i="4"/>
  <c r="I82" i="4" s="1"/>
  <c r="H83" i="4"/>
  <c r="I83" i="4" s="1"/>
  <c r="H84" i="4"/>
  <c r="I84" i="4" s="1"/>
  <c r="H85" i="4"/>
  <c r="I85" i="4" s="1"/>
  <c r="H86" i="4"/>
  <c r="I86" i="4" s="1"/>
  <c r="Q76" i="4"/>
  <c r="S76" i="4" s="1"/>
  <c r="Q77" i="4"/>
  <c r="S77" i="4" s="1"/>
  <c r="Q78" i="4"/>
  <c r="S78" i="4" s="1"/>
  <c r="Q79" i="4"/>
  <c r="S79" i="4" s="1"/>
  <c r="Q80" i="4"/>
  <c r="S80" i="4" s="1"/>
  <c r="H76" i="4"/>
  <c r="I76" i="4" s="1"/>
  <c r="H77" i="4"/>
  <c r="I77" i="4" s="1"/>
  <c r="H78" i="4"/>
  <c r="I78" i="4" s="1"/>
  <c r="H79" i="4"/>
  <c r="I79" i="4" s="1"/>
  <c r="H80" i="4"/>
  <c r="I80" i="4" s="1"/>
  <c r="Q69" i="4"/>
  <c r="S69" i="4" s="1"/>
  <c r="Q70" i="4"/>
  <c r="S70" i="4" s="1"/>
  <c r="Q71" i="4"/>
  <c r="S71" i="4" s="1"/>
  <c r="Q72" i="4"/>
  <c r="S72" i="4" s="1"/>
  <c r="Q73" i="4"/>
  <c r="S73" i="4" s="1"/>
  <c r="Q74" i="4"/>
  <c r="S74" i="4" s="1"/>
  <c r="H69" i="4"/>
  <c r="I69" i="4" s="1"/>
  <c r="H70" i="4"/>
  <c r="I70" i="4" s="1"/>
  <c r="H71" i="4"/>
  <c r="I71" i="4" s="1"/>
  <c r="H72" i="4"/>
  <c r="I72" i="4" s="1"/>
  <c r="H73" i="4"/>
  <c r="I73" i="4" s="1"/>
  <c r="H74" i="4"/>
  <c r="I74" i="4" s="1"/>
  <c r="Q63" i="4"/>
  <c r="S63" i="4" s="1"/>
  <c r="Q64" i="4"/>
  <c r="S64" i="4" s="1"/>
  <c r="Q65" i="4"/>
  <c r="S65" i="4" s="1"/>
  <c r="Q66" i="4"/>
  <c r="S66" i="4" s="1"/>
  <c r="Q67" i="4"/>
  <c r="S67" i="4" s="1"/>
  <c r="H63" i="4"/>
  <c r="I63" i="4" s="1"/>
  <c r="H64" i="4"/>
  <c r="I64" i="4" s="1"/>
  <c r="H65" i="4"/>
  <c r="I65" i="4" s="1"/>
  <c r="H66" i="4"/>
  <c r="I66" i="4" s="1"/>
  <c r="H67" i="4"/>
  <c r="I67" i="4" s="1"/>
  <c r="Q57" i="4"/>
  <c r="S57" i="4" s="1"/>
  <c r="Q58" i="4"/>
  <c r="S58" i="4" s="1"/>
  <c r="Q59" i="4"/>
  <c r="S59" i="4" s="1"/>
  <c r="Q60" i="4"/>
  <c r="S60" i="4" s="1"/>
  <c r="Q61" i="4"/>
  <c r="S61" i="4" s="1"/>
  <c r="H57" i="4"/>
  <c r="I57" i="4" s="1"/>
  <c r="H58" i="4"/>
  <c r="I58" i="4" s="1"/>
  <c r="H59" i="4"/>
  <c r="I59" i="4" s="1"/>
  <c r="H60" i="4"/>
  <c r="I60" i="4" s="1"/>
  <c r="H61" i="4"/>
  <c r="I61" i="4" s="1"/>
  <c r="S50" i="4"/>
  <c r="S51" i="4"/>
  <c r="S52" i="4"/>
  <c r="S53" i="4"/>
  <c r="S54" i="4"/>
  <c r="S55" i="4"/>
  <c r="H55" i="4"/>
  <c r="I55" i="4" s="1"/>
  <c r="H54" i="4"/>
  <c r="I54" i="4" s="1"/>
  <c r="H53" i="4"/>
  <c r="I53" i="4" s="1"/>
  <c r="H52" i="4"/>
  <c r="I52" i="4" s="1"/>
  <c r="H51" i="4"/>
  <c r="I51" i="4" s="1"/>
  <c r="Q49" i="4"/>
  <c r="S49" i="4" s="1"/>
  <c r="Q48" i="4"/>
  <c r="S48" i="4" s="1"/>
  <c r="Q47" i="4"/>
  <c r="S47" i="4" s="1"/>
  <c r="Q46" i="4"/>
  <c r="S46" i="4" s="1"/>
  <c r="Q45" i="4"/>
  <c r="S45" i="4" s="1"/>
  <c r="H49" i="4"/>
  <c r="I49" i="4" s="1"/>
  <c r="H48" i="4"/>
  <c r="I48" i="4" s="1"/>
  <c r="H47" i="4"/>
  <c r="I47" i="4" s="1"/>
  <c r="H46" i="4"/>
  <c r="I46" i="4" s="1"/>
  <c r="H45" i="4"/>
  <c r="I45" i="4" s="1"/>
  <c r="Q43" i="4"/>
  <c r="S43" i="4" s="1"/>
  <c r="Q42" i="4"/>
  <c r="S42" i="4" s="1"/>
  <c r="Q41" i="4"/>
  <c r="S41" i="4" s="1"/>
  <c r="Q40" i="4"/>
  <c r="S40" i="4" s="1"/>
  <c r="Q39" i="4"/>
  <c r="S39" i="4" s="1"/>
  <c r="Q38" i="4"/>
  <c r="S38" i="4" s="1"/>
  <c r="H39" i="4"/>
  <c r="I39" i="4" s="1"/>
  <c r="H40" i="4"/>
  <c r="I40" i="4" s="1"/>
  <c r="H41" i="4"/>
  <c r="I41" i="4" s="1"/>
  <c r="H42" i="4"/>
  <c r="I42" i="4" s="1"/>
  <c r="H43" i="4"/>
  <c r="I43" i="4" s="1"/>
  <c r="H38" i="4"/>
  <c r="I38" i="4" s="1"/>
  <c r="Q32" i="4"/>
  <c r="S32" i="4" s="1"/>
  <c r="Q33" i="4"/>
  <c r="S33" i="4" s="1"/>
  <c r="Q34" i="4"/>
  <c r="S34" i="4" s="1"/>
  <c r="Q35" i="4"/>
  <c r="S35" i="4" s="1"/>
  <c r="Q36" i="4"/>
  <c r="S36" i="4" s="1"/>
  <c r="Q37" i="4"/>
  <c r="S37" i="4" s="1"/>
  <c r="H37" i="4"/>
  <c r="I37" i="4" s="1"/>
  <c r="H36" i="4"/>
  <c r="I36" i="4" s="1"/>
  <c r="H35" i="4"/>
  <c r="I35" i="4" s="1"/>
  <c r="H34" i="4"/>
  <c r="I34" i="4" s="1"/>
  <c r="H33" i="4"/>
  <c r="I33" i="4" s="1"/>
  <c r="H32" i="4"/>
  <c r="I32" i="4" s="1"/>
  <c r="H15" i="4"/>
  <c r="I15" i="4" s="1"/>
  <c r="H7" i="4"/>
  <c r="H14" i="4"/>
  <c r="I14" i="4" s="1"/>
  <c r="H44" i="4"/>
  <c r="I44" i="4" s="1"/>
  <c r="Q44" i="4"/>
  <c r="S44" i="4" s="1"/>
  <c r="H50" i="4"/>
  <c r="I50" i="4" s="1"/>
  <c r="H56" i="4"/>
  <c r="I56" i="4" s="1"/>
  <c r="Q56" i="4"/>
  <c r="S56" i="4" s="1"/>
  <c r="H62" i="4"/>
  <c r="I62" i="4" s="1"/>
  <c r="Q62" i="4"/>
  <c r="S62" i="4" s="1"/>
  <c r="H68" i="4"/>
  <c r="I68" i="4" s="1"/>
  <c r="Q68" i="4"/>
  <c r="S68" i="4" s="1"/>
  <c r="H75" i="4"/>
  <c r="I75" i="4" s="1"/>
  <c r="Q75" i="4"/>
  <c r="S75" i="4" s="1"/>
  <c r="H81" i="4"/>
  <c r="I81" i="4" s="1"/>
  <c r="Q81" i="4"/>
  <c r="S81" i="4" s="1"/>
  <c r="H87" i="4"/>
  <c r="I87" i="4" s="1"/>
  <c r="Q87" i="4"/>
  <c r="S87" i="4" s="1"/>
  <c r="R121" i="4" l="1"/>
  <c r="N11" i="8" l="1"/>
  <c r="P11" i="8" s="1"/>
  <c r="H11" i="8"/>
  <c r="I11" i="8" s="1"/>
  <c r="N10" i="8"/>
  <c r="P10" i="8" s="1"/>
  <c r="H10" i="8"/>
  <c r="I10" i="8" s="1"/>
  <c r="H8" i="8"/>
  <c r="I8" i="8" s="1"/>
  <c r="P7" i="8"/>
  <c r="H7" i="8"/>
  <c r="I7" i="8" s="1"/>
  <c r="H6" i="8"/>
  <c r="I6" i="8" s="1"/>
  <c r="H116" i="4"/>
  <c r="I116" i="4" s="1"/>
  <c r="Q116" i="4"/>
  <c r="S116" i="4" s="1"/>
  <c r="Q126" i="4"/>
  <c r="S126" i="4" s="1"/>
  <c r="Q124" i="4"/>
  <c r="S124" i="4" s="1"/>
  <c r="Q122" i="4"/>
  <c r="S122" i="4" s="1"/>
  <c r="H122" i="4"/>
  <c r="O120" i="4"/>
  <c r="H120" i="4"/>
  <c r="I120" i="4" s="1"/>
  <c r="Q120" i="4"/>
  <c r="S120" i="4" s="1"/>
  <c r="I122" i="4" l="1"/>
  <c r="Q125" i="4" l="1"/>
  <c r="S125" i="4" s="1"/>
  <c r="H125" i="4"/>
  <c r="I125" i="4" s="1"/>
  <c r="H137" i="4"/>
  <c r="I137" i="4" s="1"/>
  <c r="H136" i="4"/>
  <c r="I136" i="4" s="1"/>
  <c r="Q137" i="4"/>
  <c r="S137" i="4" s="1"/>
  <c r="Q136" i="4"/>
  <c r="S136" i="4" s="1"/>
  <c r="H135" i="4"/>
  <c r="I135" i="4" s="1"/>
  <c r="Q123" i="4"/>
  <c r="S123" i="4" s="1"/>
  <c r="H123" i="4"/>
  <c r="I123" i="4" s="1"/>
  <c r="Q102" i="4"/>
  <c r="S102" i="4" s="1"/>
  <c r="I102" i="4"/>
  <c r="Q97" i="4"/>
  <c r="S97" i="4" s="1"/>
  <c r="I97" i="4"/>
  <c r="I105" i="4"/>
  <c r="I104" i="4"/>
  <c r="Q105" i="4"/>
  <c r="S105" i="4" s="1"/>
  <c r="Q104" i="4"/>
  <c r="S104" i="4" s="1"/>
  <c r="Q103" i="4"/>
  <c r="S103" i="4" s="1"/>
  <c r="I103" i="4"/>
  <c r="Q113" i="4"/>
  <c r="S113" i="4" s="1"/>
  <c r="I113" i="4"/>
  <c r="Q114" i="4"/>
  <c r="S114" i="4" s="1"/>
  <c r="Q112" i="4"/>
  <c r="S112" i="4" s="1"/>
  <c r="I114" i="4"/>
  <c r="I112" i="4"/>
  <c r="I111" i="4"/>
  <c r="Q110" i="4"/>
  <c r="S110" i="4" s="1"/>
  <c r="Q109" i="4"/>
  <c r="S109" i="4" s="1"/>
  <c r="I110" i="4"/>
  <c r="I109" i="4"/>
  <c r="I108" i="4"/>
  <c r="Q108" i="4"/>
  <c r="S108" i="4" s="1"/>
  <c r="Q106" i="4"/>
  <c r="Q107" i="4"/>
  <c r="S107" i="4" s="1"/>
  <c r="I107" i="4"/>
  <c r="I106" i="4"/>
  <c r="I96" i="4"/>
  <c r="I101" i="4"/>
  <c r="I100" i="4"/>
  <c r="Q101" i="4"/>
  <c r="S101" i="4" s="1"/>
  <c r="Q100" i="4"/>
  <c r="S100" i="4" s="1"/>
  <c r="Q95" i="4"/>
  <c r="S95" i="4" s="1"/>
  <c r="Q96" i="4"/>
  <c r="S96" i="4" s="1"/>
  <c r="I95" i="4"/>
  <c r="Q99" i="4" l="1"/>
  <c r="S99" i="4" s="1"/>
  <c r="Q94" i="4"/>
  <c r="S94" i="4" s="1"/>
  <c r="I99" i="4"/>
  <c r="I94" i="4"/>
  <c r="Q93" i="4"/>
  <c r="S93" i="4" s="1"/>
  <c r="I93" i="4"/>
  <c r="Q31" i="4"/>
  <c r="S31" i="4" s="1"/>
  <c r="Q135" i="4"/>
  <c r="S135" i="4" s="1"/>
  <c r="H139" i="4"/>
  <c r="I139" i="4" s="1"/>
  <c r="Q139" i="4"/>
  <c r="S139" i="4" s="1"/>
  <c r="Q111" i="4"/>
  <c r="S111" i="4" s="1"/>
  <c r="Q98" i="4"/>
  <c r="S98" i="4" s="1"/>
  <c r="S106" i="4"/>
  <c r="I98" i="4"/>
  <c r="S29" i="4"/>
  <c r="H29" i="4"/>
  <c r="I29" i="4" s="1"/>
  <c r="H28" i="4"/>
  <c r="I28" i="4" s="1"/>
  <c r="H31" i="4"/>
  <c r="I31" i="4" s="1"/>
  <c r="D2" i="7"/>
  <c r="D3" i="7"/>
  <c r="D4" i="7"/>
  <c r="D5" i="7"/>
  <c r="D6" i="7"/>
  <c r="D7" i="7"/>
  <c r="D8" i="7"/>
  <c r="D9" i="7"/>
  <c r="D10" i="7"/>
  <c r="D11" i="7"/>
  <c r="D12" i="7"/>
  <c r="D1" i="7"/>
  <c r="Q140" i="4"/>
  <c r="S140" i="4" s="1"/>
  <c r="H140" i="4"/>
  <c r="I140" i="4" s="1"/>
  <c r="Q138" i="4"/>
  <c r="S138" i="4" s="1"/>
  <c r="H138" i="4"/>
  <c r="I138" i="4" s="1"/>
  <c r="Q118" i="4"/>
  <c r="S118" i="4" s="1"/>
  <c r="H118" i="4"/>
  <c r="I118" i="4" s="1"/>
  <c r="Q117" i="4"/>
  <c r="S117" i="4" s="1"/>
  <c r="H117" i="4"/>
  <c r="I117" i="4" s="1"/>
  <c r="Q115" i="4"/>
  <c r="S115" i="4" s="1"/>
  <c r="Q6" i="4"/>
  <c r="H115" i="4"/>
  <c r="I115" i="4" s="1"/>
  <c r="Q121" i="4"/>
  <c r="S121" i="4" s="1"/>
  <c r="G121" i="4"/>
  <c r="H121" i="4" s="1"/>
  <c r="I121" i="4" s="1"/>
  <c r="Q119" i="4"/>
  <c r="S119" i="4" s="1"/>
  <c r="Q30" i="4"/>
  <c r="S30" i="4" s="1"/>
  <c r="H119" i="4"/>
  <c r="I119" i="4" s="1"/>
  <c r="H30" i="4" l="1"/>
  <c r="I30" i="4" s="1"/>
  <c r="Q28" i="4"/>
  <c r="S28" i="4" s="1"/>
  <c r="Q27" i="4"/>
  <c r="S27" i="4" s="1"/>
  <c r="H27" i="4"/>
  <c r="I27" i="4" s="1"/>
  <c r="Q26" i="4"/>
  <c r="S26" i="4" s="1"/>
  <c r="H26" i="4"/>
  <c r="I26" i="4" s="1"/>
  <c r="Q25" i="4"/>
  <c r="S25" i="4" s="1"/>
  <c r="H25" i="4"/>
  <c r="I25" i="4" s="1"/>
  <c r="Q24" i="4"/>
  <c r="S24" i="4" s="1"/>
  <c r="H24" i="4"/>
  <c r="I24" i="4" s="1"/>
  <c r="Q23" i="4"/>
  <c r="S23" i="4" s="1"/>
  <c r="H23" i="4"/>
  <c r="I23" i="4" s="1"/>
  <c r="Q22" i="4"/>
  <c r="S22" i="4" s="1"/>
  <c r="H22" i="4"/>
  <c r="I22" i="4" s="1"/>
  <c r="Q21" i="4"/>
  <c r="S21" i="4" s="1"/>
  <c r="H21" i="4"/>
  <c r="I21" i="4" s="1"/>
  <c r="Q20" i="4"/>
  <c r="S20" i="4" s="1"/>
  <c r="H20" i="4"/>
  <c r="I20" i="4" s="1"/>
  <c r="Q19" i="4"/>
  <c r="S19" i="4" s="1"/>
  <c r="H19" i="4"/>
  <c r="I19" i="4" s="1"/>
  <c r="Q18" i="4"/>
  <c r="S18" i="4" s="1"/>
  <c r="H18" i="4"/>
  <c r="I18" i="4" s="1"/>
  <c r="Q17" i="4"/>
  <c r="S17" i="4" s="1"/>
  <c r="H17" i="4"/>
  <c r="I17" i="4" s="1"/>
  <c r="Q16" i="4"/>
  <c r="S16" i="4" s="1"/>
  <c r="H16" i="4"/>
  <c r="I16" i="4" s="1"/>
  <c r="H11" i="4"/>
  <c r="I11" i="4" s="1"/>
  <c r="Q12" i="4"/>
  <c r="S12" i="4" s="1"/>
  <c r="H12" i="4"/>
  <c r="I12" i="4" s="1"/>
  <c r="S6" i="4"/>
  <c r="Q11" i="4"/>
  <c r="S11" i="4" s="1"/>
  <c r="Q10" i="4"/>
  <c r="S10" i="4" s="1"/>
  <c r="H10" i="4"/>
  <c r="I10" i="4" s="1"/>
  <c r="Q9" i="4"/>
  <c r="S9" i="4" s="1"/>
  <c r="Q8" i="4"/>
  <c r="S8" i="4" s="1"/>
  <c r="H9" i="4"/>
  <c r="I9" i="4" s="1"/>
  <c r="H8" i="4"/>
  <c r="I8" i="4" s="1"/>
  <c r="Q7" i="4" l="1"/>
  <c r="S7" i="4" s="1"/>
  <c r="I7" i="4"/>
  <c r="H6" i="4"/>
  <c r="I6" i="4" s="1"/>
  <c r="E250" i="2"/>
  <c r="F249" i="2"/>
  <c r="F250" i="2" s="1"/>
  <c r="AD243" i="2"/>
  <c r="AD244" i="2" s="1"/>
  <c r="AD245" i="2" s="1"/>
  <c r="AA239" i="2"/>
  <c r="AA240" i="2" s="1"/>
  <c r="AA241" i="2" s="1"/>
  <c r="AB238" i="2"/>
  <c r="K238" i="2"/>
  <c r="E237" i="2"/>
  <c r="F237" i="2" s="1"/>
  <c r="AC236" i="2"/>
  <c r="D231" i="2"/>
  <c r="H230" i="2"/>
  <c r="E229" i="2"/>
  <c r="F229" i="2" s="1"/>
  <c r="AA228" i="2"/>
  <c r="K228" i="2"/>
  <c r="F228" i="2"/>
  <c r="G228" i="2" s="1"/>
  <c r="H228" i="2" s="1"/>
  <c r="H229" i="2" s="1"/>
  <c r="AB226" i="2"/>
  <c r="AC226" i="2" s="1"/>
  <c r="AC227" i="2" s="1"/>
  <c r="AC228" i="2" s="1"/>
  <c r="K226" i="2"/>
  <c r="E221" i="2"/>
  <c r="F220" i="2"/>
  <c r="G220" i="2" s="1"/>
  <c r="N219" i="2"/>
  <c r="N220" i="2" s="1"/>
  <c r="E216" i="2"/>
  <c r="E217" i="2" s="1"/>
  <c r="I215" i="2"/>
  <c r="J215" i="2" s="1"/>
  <c r="K207" i="2"/>
  <c r="G207" i="2"/>
  <c r="H206" i="2"/>
  <c r="I206" i="2" s="1"/>
  <c r="J206" i="2" s="1"/>
  <c r="H205" i="2"/>
  <c r="I205" i="2" s="1"/>
  <c r="J205" i="2" s="1"/>
  <c r="J202" i="2"/>
  <c r="D200" i="2"/>
  <c r="E197" i="2"/>
  <c r="F196" i="2"/>
  <c r="F197" i="2" s="1"/>
  <c r="G190" i="2"/>
  <c r="F190" i="2"/>
  <c r="F187" i="2"/>
  <c r="G187" i="2" s="1"/>
  <c r="H186" i="2"/>
  <c r="H188" i="2" s="1"/>
  <c r="I188" i="2" s="1"/>
  <c r="J188" i="2" s="1"/>
  <c r="E186" i="2"/>
  <c r="E176" i="2"/>
  <c r="F175" i="2"/>
  <c r="G175" i="2" s="1"/>
  <c r="H175" i="2" s="1"/>
  <c r="I175" i="2" s="1"/>
  <c r="J175" i="2" s="1"/>
  <c r="F174" i="2"/>
  <c r="G174" i="2" s="1"/>
  <c r="H174" i="2" s="1"/>
  <c r="I174" i="2" s="1"/>
  <c r="J174" i="2" s="1"/>
  <c r="F173" i="2"/>
  <c r="G173" i="2" s="1"/>
  <c r="H173" i="2" s="1"/>
  <c r="I173" i="2" s="1"/>
  <c r="J173" i="2" s="1"/>
  <c r="F172" i="2"/>
  <c r="G172" i="2" s="1"/>
  <c r="H172" i="2" s="1"/>
  <c r="I172" i="2" s="1"/>
  <c r="J172" i="2" s="1"/>
  <c r="F171" i="2"/>
  <c r="G171" i="2" s="1"/>
  <c r="H171" i="2" s="1"/>
  <c r="I171" i="2" s="1"/>
  <c r="J171" i="2" s="1"/>
  <c r="F170" i="2"/>
  <c r="G170" i="2" s="1"/>
  <c r="H170" i="2" s="1"/>
  <c r="I170" i="2" s="1"/>
  <c r="J170" i="2" s="1"/>
  <c r="F169" i="2"/>
  <c r="G169" i="2" s="1"/>
  <c r="H169" i="2" s="1"/>
  <c r="I169" i="2" s="1"/>
  <c r="J169" i="2" s="1"/>
  <c r="F168" i="2"/>
  <c r="G168" i="2" s="1"/>
  <c r="H168" i="2" s="1"/>
  <c r="I168" i="2" s="1"/>
  <c r="J168" i="2" s="1"/>
  <c r="F167" i="2"/>
  <c r="G167" i="2" s="1"/>
  <c r="H167" i="2" s="1"/>
  <c r="I167" i="2" s="1"/>
  <c r="J167" i="2" s="1"/>
  <c r="F166" i="2"/>
  <c r="G166" i="2" s="1"/>
  <c r="H166" i="2" s="1"/>
  <c r="I166" i="2" s="1"/>
  <c r="J166" i="2" s="1"/>
  <c r="F165" i="2"/>
  <c r="G165" i="2" s="1"/>
  <c r="H165" i="2" s="1"/>
  <c r="I165" i="2" s="1"/>
  <c r="J165" i="2" s="1"/>
  <c r="F164" i="2"/>
  <c r="G164" i="2" s="1"/>
  <c r="H164" i="2" s="1"/>
  <c r="I164" i="2" s="1"/>
  <c r="J164" i="2" s="1"/>
  <c r="F163" i="2"/>
  <c r="G163" i="2" s="1"/>
  <c r="H163" i="2" s="1"/>
  <c r="I163" i="2" s="1"/>
  <c r="J163" i="2" s="1"/>
  <c r="F162" i="2"/>
  <c r="G162" i="2" s="1"/>
  <c r="H162" i="2" s="1"/>
  <c r="I162" i="2" s="1"/>
  <c r="J162" i="2" s="1"/>
  <c r="F161" i="2"/>
  <c r="G161" i="2" s="1"/>
  <c r="H161" i="2" s="1"/>
  <c r="I161" i="2" s="1"/>
  <c r="J161" i="2" s="1"/>
  <c r="F160" i="2"/>
  <c r="F159" i="2"/>
  <c r="G159" i="2" s="1"/>
  <c r="E151" i="2"/>
  <c r="F151" i="2" s="1"/>
  <c r="G151" i="2" s="1"/>
  <c r="H151" i="2" s="1"/>
  <c r="F150" i="2"/>
  <c r="G150" i="2" s="1"/>
  <c r="H150" i="2" s="1"/>
  <c r="E150" i="2"/>
  <c r="J149" i="2"/>
  <c r="J150" i="2" s="1"/>
  <c r="J151" i="2" s="1"/>
  <c r="K151" i="2" s="1"/>
  <c r="E149" i="2"/>
  <c r="F149" i="2" s="1"/>
  <c r="F152" i="2" s="1"/>
  <c r="K148" i="2"/>
  <c r="H142" i="2"/>
  <c r="G142" i="2"/>
  <c r="F142" i="2"/>
  <c r="E142" i="2"/>
  <c r="H141" i="2"/>
  <c r="G141" i="2"/>
  <c r="F141" i="2"/>
  <c r="E141" i="2"/>
  <c r="I140" i="2"/>
  <c r="I139" i="2"/>
  <c r="H137" i="2"/>
  <c r="I137" i="2" s="1"/>
  <c r="H136" i="2"/>
  <c r="I136" i="2" s="1"/>
  <c r="M128" i="2"/>
  <c r="G128" i="2"/>
  <c r="F128" i="2"/>
  <c r="E128" i="2"/>
  <c r="H127" i="2"/>
  <c r="I127" i="2" s="1"/>
  <c r="H126" i="2"/>
  <c r="I126" i="2" s="1"/>
  <c r="H125" i="2"/>
  <c r="H124" i="2"/>
  <c r="I124" i="2" s="1"/>
  <c r="P122" i="2"/>
  <c r="N122" i="2"/>
  <c r="N121" i="2"/>
  <c r="K119" i="2"/>
  <c r="E113" i="2"/>
  <c r="G112" i="2"/>
  <c r="F111" i="2"/>
  <c r="G111" i="2" s="1"/>
  <c r="H111" i="2" s="1"/>
  <c r="F110" i="2"/>
  <c r="J108" i="2"/>
  <c r="G108" i="2"/>
  <c r="E99" i="2"/>
  <c r="H98" i="2"/>
  <c r="I98" i="2" s="1"/>
  <c r="G98" i="2"/>
  <c r="H97" i="2"/>
  <c r="I97" i="2" s="1"/>
  <c r="G97" i="2"/>
  <c r="F96" i="2"/>
  <c r="H96" i="2" s="1"/>
  <c r="E95" i="2"/>
  <c r="F94" i="2"/>
  <c r="F99" i="2" s="1"/>
  <c r="J78" i="2"/>
  <c r="G77" i="2"/>
  <c r="G76" i="2"/>
  <c r="G78" i="2" s="1"/>
  <c r="H78" i="2" s="1"/>
  <c r="F72" i="2"/>
  <c r="G72" i="2" s="1"/>
  <c r="H72" i="2" s="1"/>
  <c r="J72" i="2" s="1"/>
  <c r="F71" i="2"/>
  <c r="G71" i="2" s="1"/>
  <c r="O70" i="2"/>
  <c r="O69" i="2"/>
  <c r="N62" i="2"/>
  <c r="L62" i="2"/>
  <c r="F62" i="2"/>
  <c r="E62" i="2"/>
  <c r="G61" i="2"/>
  <c r="H61" i="2" s="1"/>
  <c r="P60" i="2"/>
  <c r="Z59" i="2"/>
  <c r="E58" i="2"/>
  <c r="K62" i="2" s="1"/>
  <c r="AA56" i="2"/>
  <c r="AB56" i="2" s="1"/>
  <c r="F48" i="2"/>
  <c r="I47" i="2"/>
  <c r="I46" i="2"/>
  <c r="J46" i="2" s="1"/>
  <c r="E46" i="2"/>
  <c r="G46" i="2" s="1"/>
  <c r="G48" i="2" s="1"/>
  <c r="I48" i="2" s="1"/>
  <c r="K48" i="2" s="1"/>
  <c r="N45" i="2"/>
  <c r="P45" i="2" s="1"/>
  <c r="E43" i="2"/>
  <c r="J35" i="2"/>
  <c r="P33" i="2"/>
  <c r="E33" i="2"/>
  <c r="E32" i="2"/>
  <c r="E34" i="2" s="1"/>
  <c r="K30" i="2"/>
  <c r="P31" i="2" s="1"/>
  <c r="R31" i="2" s="1"/>
  <c r="H29" i="2"/>
  <c r="U28" i="2"/>
  <c r="V28" i="2" s="1"/>
  <c r="V29" i="2" s="1"/>
  <c r="R24" i="2"/>
  <c r="R25" i="2" s="1"/>
  <c r="S25" i="2" s="1"/>
  <c r="T25" i="2" s="1"/>
  <c r="T23" i="2"/>
  <c r="U23" i="2" s="1"/>
  <c r="V23" i="2" s="1"/>
  <c r="S23" i="2"/>
  <c r="E23" i="2"/>
  <c r="F23" i="2" s="1"/>
  <c r="F22" i="2"/>
  <c r="G22" i="2" s="1"/>
  <c r="H21" i="2"/>
  <c r="F21" i="2"/>
  <c r="G21" i="2" s="1"/>
  <c r="R20" i="2"/>
  <c r="R21" i="2" s="1"/>
  <c r="H20" i="2"/>
  <c r="F20" i="2"/>
  <c r="G20" i="2" s="1"/>
  <c r="I19" i="2"/>
  <c r="H19" i="2"/>
  <c r="F19" i="2"/>
  <c r="G19" i="2" s="1"/>
  <c r="I18" i="2"/>
  <c r="H18" i="2" s="1"/>
  <c r="F18" i="2"/>
  <c r="G18" i="2" s="1"/>
  <c r="H17" i="2"/>
  <c r="F17" i="2"/>
  <c r="G17" i="2" s="1"/>
  <c r="H16" i="2"/>
  <c r="F16" i="2"/>
  <c r="G16" i="2" s="1"/>
  <c r="H15" i="2"/>
  <c r="F15" i="2"/>
  <c r="G15" i="2" s="1"/>
  <c r="R14" i="2"/>
  <c r="T14" i="2" s="1"/>
  <c r="T15" i="2" s="1"/>
  <c r="T16" i="2" s="1"/>
  <c r="I14" i="2"/>
  <c r="H14" i="2" s="1"/>
  <c r="F14" i="2"/>
  <c r="G14" i="2" s="1"/>
  <c r="U13" i="2"/>
  <c r="V13" i="2" s="1"/>
  <c r="X13" i="2" s="1"/>
  <c r="E238" i="2" l="1"/>
  <c r="I216" i="2"/>
  <c r="E29" i="2"/>
  <c r="G73" i="2"/>
  <c r="G74" i="2" s="1"/>
  <c r="G249" i="2"/>
  <c r="G250" i="2" s="1"/>
  <c r="H207" i="2"/>
  <c r="I207" i="2" s="1"/>
  <c r="J207" i="2" s="1"/>
  <c r="G96" i="2"/>
  <c r="H128" i="2"/>
  <c r="G196" i="2"/>
  <c r="H196" i="2" s="1"/>
  <c r="G62" i="2"/>
  <c r="F221" i="2"/>
  <c r="F113" i="2"/>
  <c r="G110" i="2"/>
  <c r="G23" i="2"/>
  <c r="U15" i="2"/>
  <c r="V15" i="2" s="1"/>
  <c r="F32" i="2"/>
  <c r="G32" i="2" s="1"/>
  <c r="I32" i="2" s="1"/>
  <c r="I30" i="2" s="1"/>
  <c r="J30" i="2" s="1"/>
  <c r="G94" i="2"/>
  <c r="G99" i="2" s="1"/>
  <c r="I141" i="2"/>
  <c r="I142" i="2"/>
  <c r="J142" i="2" s="1"/>
  <c r="J139" i="2"/>
  <c r="J141" i="2" s="1"/>
  <c r="F176" i="2"/>
  <c r="G160" i="2"/>
  <c r="H160" i="2" s="1"/>
  <c r="I160" i="2" s="1"/>
  <c r="J160" i="2" s="1"/>
  <c r="U18" i="2"/>
  <c r="V18" i="2" s="1"/>
  <c r="S21" i="2"/>
  <c r="T21" i="2" s="1"/>
  <c r="U21" i="2" s="1"/>
  <c r="N22" i="2"/>
  <c r="I22" i="2"/>
  <c r="H22" i="2" s="1"/>
  <c r="I61" i="2"/>
  <c r="I62" i="2" s="1"/>
  <c r="H62" i="2"/>
  <c r="E188" i="2"/>
  <c r="F186" i="2"/>
  <c r="H71" i="2"/>
  <c r="E152" i="2"/>
  <c r="F238" i="2"/>
  <c r="G237" i="2"/>
  <c r="AA245" i="2" s="1"/>
  <c r="AA246" i="2" s="1"/>
  <c r="G149" i="2"/>
  <c r="N221" i="2"/>
  <c r="I222" i="2"/>
  <c r="I219" i="2"/>
  <c r="E42" i="2"/>
  <c r="F73" i="2"/>
  <c r="H95" i="2"/>
  <c r="G95" i="2"/>
  <c r="H159" i="2"/>
  <c r="F194" i="2"/>
  <c r="G194" i="2" s="1"/>
  <c r="G197" i="2"/>
  <c r="H220" i="2"/>
  <c r="H221" i="2" s="1"/>
  <c r="H222" i="2" s="1"/>
  <c r="G221" i="2"/>
  <c r="E48" i="2"/>
  <c r="H94" i="2"/>
  <c r="AE226" i="2"/>
  <c r="AF226" i="2" s="1"/>
  <c r="AG226" i="2" s="1"/>
  <c r="F33" i="2"/>
  <c r="G33" i="2" s="1"/>
  <c r="I96" i="2"/>
  <c r="H249" i="2"/>
  <c r="I125" i="2"/>
  <c r="AE243" i="2"/>
  <c r="G229" i="2"/>
  <c r="E88" i="2" l="1"/>
  <c r="E89" i="2" s="1"/>
  <c r="J32" i="2"/>
  <c r="G176" i="2"/>
  <c r="G113" i="2"/>
  <c r="H110" i="2"/>
  <c r="H113" i="2" s="1"/>
  <c r="H114" i="2" s="1"/>
  <c r="I23" i="2"/>
  <c r="H23" i="2" s="1"/>
  <c r="H99" i="2"/>
  <c r="J95" i="2" s="1"/>
  <c r="K95" i="2" s="1"/>
  <c r="M95" i="2" s="1"/>
  <c r="J91" i="2"/>
  <c r="J93" i="2" s="1"/>
  <c r="AA230" i="2"/>
  <c r="AF228" i="2"/>
  <c r="AF229" i="2" s="1"/>
  <c r="I230" i="2"/>
  <c r="I159" i="2"/>
  <c r="J159" i="2" s="1"/>
  <c r="H176" i="2"/>
  <c r="I176" i="2" s="1"/>
  <c r="I95" i="2"/>
  <c r="H149" i="2"/>
  <c r="G152" i="2"/>
  <c r="H152" i="2" s="1"/>
  <c r="J33" i="2"/>
  <c r="J34" i="2" s="1"/>
  <c r="F43" i="2" s="1"/>
  <c r="I33" i="2"/>
  <c r="I29" i="2" s="1"/>
  <c r="G29" i="2"/>
  <c r="G186" i="2"/>
  <c r="F188" i="2"/>
  <c r="J71" i="2"/>
  <c r="J73" i="2" s="1"/>
  <c r="K73" i="2" s="1"/>
  <c r="H73" i="2"/>
  <c r="F29" i="2"/>
  <c r="F34" i="2"/>
  <c r="G34" i="2" s="1"/>
  <c r="I128" i="2"/>
  <c r="L125" i="2" s="1"/>
  <c r="G238" i="2"/>
  <c r="Z237" i="2"/>
  <c r="Z238" i="2" s="1"/>
  <c r="AA238" i="2" s="1"/>
  <c r="J22" i="2" l="1"/>
  <c r="K22" i="2" s="1"/>
  <c r="N23" i="2"/>
  <c r="I186" i="2"/>
  <c r="G188" i="2"/>
  <c r="J176" i="2"/>
  <c r="P159" i="2"/>
  <c r="J124" i="2"/>
  <c r="K124" i="2" s="1"/>
  <c r="L127" i="2"/>
  <c r="L128" i="2"/>
  <c r="L126" i="2"/>
  <c r="L124" i="2"/>
  <c r="N124" i="2" s="1"/>
  <c r="J97" i="2"/>
  <c r="K97" i="2" s="1"/>
  <c r="M97" i="2" s="1"/>
  <c r="H100" i="2"/>
  <c r="J98" i="2"/>
  <c r="K98" i="2" s="1"/>
  <c r="M98" i="2" s="1"/>
  <c r="J96" i="2"/>
  <c r="K96" i="2" s="1"/>
  <c r="M96" i="2" s="1"/>
  <c r="I34" i="2"/>
  <c r="J29" i="2" s="1"/>
  <c r="H30" i="2"/>
  <c r="G30" i="2" s="1"/>
  <c r="K21" i="2" l="1"/>
  <c r="M99" i="2"/>
  <c r="M100" i="2" s="1"/>
  <c r="N125" i="2"/>
  <c r="O124" i="2"/>
  <c r="N126" i="2" l="1"/>
  <c r="O125" i="2"/>
  <c r="O126" i="2" l="1"/>
  <c r="N127" i="2"/>
  <c r="O127" i="2" s="1"/>
  <c r="N128" i="2" l="1"/>
  <c r="O128" i="2"/>
</calcChain>
</file>

<file path=xl/comments1.xml><?xml version="1.0" encoding="utf-8"?>
<comments xmlns="http://schemas.openxmlformats.org/spreadsheetml/2006/main" xmlns:mc="http://schemas.openxmlformats.org/markup-compatibility/2006" xmlns:xr="http://schemas.microsoft.com/office/spreadsheetml/2014/revision" mc:Ignorable="xr">
  <authors>
    <author>APOYO TALENTO HUMANO</author>
    <author>tc={0C14F765-05CF-45FC-A95A-3AEB632277E5}</author>
    <author>LIDER GETION HUMANA</author>
  </authors>
  <commentList>
    <comment ref="G5" authorId="0" shapeId="0" xr:uid="{61C57188-D5B3-4FAC-BD4E-77C33C63760C}">
      <text>
        <r>
          <rPr>
            <b/>
            <sz val="9"/>
            <color indexed="81"/>
            <rFont val="Tahoma"/>
            <family val="2"/>
          </rPr>
          <t>APOYO TALENTO HUMANO:</t>
        </r>
        <r>
          <rPr>
            <sz val="9"/>
            <color indexed="81"/>
            <rFont val="Tahoma"/>
            <family val="2"/>
          </rPr>
          <t xml:space="preserve">
Cuantas consultas realizan en 1 hora</t>
        </r>
      </text>
    </comment>
    <comment ref="E128" authorId="1" shapeId="0" xr:uid="{0C14F765-05CF-45FC-A95A-3AEB632277E5}">
      <text>
        <r>
          <rPr>
            <sz val="11"/>
            <color theme="1"/>
            <rFont val="Calibri"/>
            <family val="2"/>
            <scheme val="minor"/>
          </rPr>
          <t>[Comentario encadenado]
Su versión de Excel le permite leer este comentario encadenado; sin embargo, las ediciones que se apliquen se quitarán si el archivo se abre en una versión más reciente de Excel. Más información: https://go.microsoft.com/fwlink/?linkid=870924
Comentario:
    MODULOS</t>
        </r>
      </text>
    </comment>
    <comment ref="I128" authorId="2" shapeId="0" xr:uid="{80B9A66D-DF48-4BF0-9968-91E7D08F0686}">
      <text>
        <r>
          <rPr>
            <b/>
            <sz val="9"/>
            <color indexed="81"/>
            <rFont val="Tahoma"/>
            <family val="2"/>
          </rPr>
          <t>LIDER GETION HUMANA:</t>
        </r>
        <r>
          <rPr>
            <sz val="9"/>
            <color indexed="81"/>
            <rFont val="Tahoma"/>
            <family val="2"/>
          </rPr>
          <t xml:space="preserve">
DIAS OFERTA
</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APOYO TALENTO HUMANO</author>
    <author>Melbi Henández S</author>
    <author>tc={B9F5DFC8-8FC0-4042-88F8-81156A333A8A}</author>
    <author>LIDER GETION HUMANA</author>
  </authors>
  <commentList>
    <comment ref="G3" authorId="0" shapeId="0" xr:uid="{E407EDDD-882E-4298-8185-847F3489000C}">
      <text>
        <r>
          <rPr>
            <b/>
            <sz val="9"/>
            <color indexed="81"/>
            <rFont val="Tahoma"/>
            <family val="2"/>
          </rPr>
          <t>APOYO TALENTO HUMANO:</t>
        </r>
        <r>
          <rPr>
            <sz val="9"/>
            <color indexed="81"/>
            <rFont val="Tahoma"/>
            <family val="2"/>
          </rPr>
          <t xml:space="preserve">
Cuantas consultas realizan en 1 hora</t>
        </r>
      </text>
    </comment>
    <comment ref="B13" authorId="1" shapeId="0" xr:uid="{C7C336EA-05F3-4E70-BA51-FA1AC3D3F39C}">
      <text>
        <r>
          <rPr>
            <b/>
            <sz val="9"/>
            <color indexed="81"/>
            <rFont val="Tahoma"/>
            <family val="2"/>
          </rPr>
          <t>Melbi Henández S:</t>
        </r>
        <r>
          <rPr>
            <sz val="9"/>
            <color indexed="81"/>
            <rFont val="Tahoma"/>
            <family val="2"/>
          </rPr>
          <t xml:space="preserve">
Al mes de junio se hizo cierre temporal del servicio por insuficiencia de Talento Humano
</t>
        </r>
      </text>
    </comment>
    <comment ref="E131" authorId="2" shapeId="0" xr:uid="{B9F5DFC8-8FC0-4042-88F8-81156A333A8A}">
      <text>
        <r>
          <rPr>
            <sz val="11"/>
            <color theme="1"/>
            <rFont val="Calibri"/>
            <family val="2"/>
            <scheme val="minor"/>
          </rPr>
          <t>[Comentario encadenado]
Su versión de Excel le permite leer este comentario encadenado; sin embargo, las ediciones que se apliquen se quitarán si el archivo se abre en una versión más reciente de Excel. Más información: https://go.microsoft.com/fwlink/?linkid=870924
Comentario:
    MODULOS</t>
        </r>
      </text>
    </comment>
    <comment ref="I131" authorId="3" shapeId="0" xr:uid="{3B67F5DF-732D-4132-ADBB-29B8C2BBB5D6}">
      <text>
        <r>
          <rPr>
            <b/>
            <sz val="9"/>
            <color indexed="81"/>
            <rFont val="Tahoma"/>
            <family val="2"/>
          </rPr>
          <t>LIDER GETION HUMANA:</t>
        </r>
        <r>
          <rPr>
            <sz val="9"/>
            <color indexed="81"/>
            <rFont val="Tahoma"/>
            <family val="2"/>
          </rPr>
          <t xml:space="preserve">
DIAS OFERTA
</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USUARIO</author>
  </authors>
  <commentList>
    <comment ref="C130" authorId="0" shapeId="0" xr:uid="{00000000-0006-0000-0300-000001000000}">
      <text>
        <r>
          <rPr>
            <b/>
            <sz val="9"/>
            <color indexed="81"/>
            <rFont val="Tahoma"/>
            <family val="2"/>
          </rPr>
          <t>USUARIO:</t>
        </r>
        <r>
          <rPr>
            <sz val="9"/>
            <color indexed="81"/>
            <rFont val="Tahoma"/>
            <family val="2"/>
          </rPr>
          <t xml:space="preserve">
pendiente tex
</t>
        </r>
      </text>
    </comment>
    <comment ref="C190" authorId="0" shapeId="0" xr:uid="{00000000-0006-0000-0300-000002000000}">
      <text>
        <r>
          <rPr>
            <b/>
            <sz val="9"/>
            <color indexed="81"/>
            <rFont val="Tahoma"/>
            <family val="2"/>
          </rPr>
          <t>USUARIO:</t>
        </r>
        <r>
          <rPr>
            <sz val="9"/>
            <color indexed="81"/>
            <rFont val="Tahoma"/>
            <family val="2"/>
          </rPr>
          <t xml:space="preserve">
texto 
</t>
        </r>
      </text>
    </comment>
  </commentList>
</comments>
</file>

<file path=xl/sharedStrings.xml><?xml version="1.0" encoding="utf-8"?>
<sst xmlns="http://schemas.openxmlformats.org/spreadsheetml/2006/main" count="1356" uniqueCount="424">
  <si>
    <t>Consulta externa general</t>
  </si>
  <si>
    <t>MEDICINA GENERAL</t>
  </si>
  <si>
    <t>ENFERMERÍA</t>
  </si>
  <si>
    <t>ODONTOLOGÍA GENERAL</t>
  </si>
  <si>
    <t>PSICOLOGÍA</t>
  </si>
  <si>
    <t>NUTRICIÓN Y DIETÉTICA</t>
  </si>
  <si>
    <t>Servicio Consulta externa especializada</t>
  </si>
  <si>
    <t>MEDICINA FÍSICA Y REHABILITACIÓN</t>
  </si>
  <si>
    <t>NEUROCIRUGÍA</t>
  </si>
  <si>
    <t>CARDIOLOGÍA</t>
  </si>
  <si>
    <t>MEDICINA FAMILIAR</t>
  </si>
  <si>
    <t>OFTALMOLOGÍA</t>
  </si>
  <si>
    <t>OTORRINOLARINGOLOGÍA</t>
  </si>
  <si>
    <t>PSIQUIATRÍA</t>
  </si>
  <si>
    <t>ANESTESIA</t>
  </si>
  <si>
    <t>CIRUGÍA GENERAL</t>
  </si>
  <si>
    <t>GASTROENTEROLOGÍA</t>
  </si>
  <si>
    <t>GINECOBSTETRICIA</t>
  </si>
  <si>
    <t>MEDICINA INTERNA</t>
  </si>
  <si>
    <t>ORTOPEDIA Y/O TRAUMATOLOGÍA</t>
  </si>
  <si>
    <t>PEDIATRÍA</t>
  </si>
  <si>
    <t>UROLOGÍA</t>
  </si>
  <si>
    <t>Servicio de cirugia</t>
  </si>
  <si>
    <t>CIRUGÍA OFTALMOLÓGICA</t>
  </si>
  <si>
    <t>CIRUGÍA OTORRINOLARINGOLOGÍA</t>
  </si>
  <si>
    <t>CIRUGÍA GINECOLÓGICA</t>
  </si>
  <si>
    <t>CIRUGÍA ORTOPÉDICA</t>
  </si>
  <si>
    <t>CIRUGÍA UROLÓGICA</t>
  </si>
  <si>
    <t>Servicio de cuidado intensivo adultos</t>
  </si>
  <si>
    <t>CUIDADO INTENSIVO ADULTOS</t>
  </si>
  <si>
    <t>Servicio de cuidado intermedio adulto</t>
  </si>
  <si>
    <t>CUIDADO INTERMEDIO ADULTOS</t>
  </si>
  <si>
    <t>Servicio de farmaceutico</t>
  </si>
  <si>
    <t>SERVICIO FARMACÉUTICO</t>
  </si>
  <si>
    <t>Servicio de hospitalizacion</t>
  </si>
  <si>
    <t>HOSPITALIZACIÓN ADULTOS</t>
  </si>
  <si>
    <t>HOSPITALIZACIÓN PEDIÁTRICA</t>
  </si>
  <si>
    <t>Servicio de diagnostico cardiovascular</t>
  </si>
  <si>
    <t>DIAGNÓSTICO VASCULAR</t>
  </si>
  <si>
    <t xml:space="preserve">Servicio de imágenes diagnósticas
Métodos diagnosticos con imágenes obtenidas mediante equipos generadores de radiaciones ionizantes
</t>
  </si>
  <si>
    <t>IMÁGENES DIAGNOSTICAS - IONIZANTES</t>
  </si>
  <si>
    <t>Servicio de imágenes diagnósticas
Métodos diagnosticos con imágenes obtenidas mediante equipos generadores de radiaciones no ionizantes</t>
  </si>
  <si>
    <t>IMÁGENES DIAGNOSTICAS - NO IONIZANTES</t>
  </si>
  <si>
    <t>Servicio de terapias</t>
  </si>
  <si>
    <t>TERAPIA RESPIRATORIA</t>
  </si>
  <si>
    <t>FISIOTERAPIA</t>
  </si>
  <si>
    <t>FONOAUDIOLOGÍA Y/O TERAPIA DEL LENGUAJE</t>
  </si>
  <si>
    <t>servicio de gestión pre transfusional</t>
  </si>
  <si>
    <t>GESTION PRE-TRANSFUSIONAL</t>
  </si>
  <si>
    <t>Servicio de laboratorio clínico</t>
  </si>
  <si>
    <t>LABORATORIO CLÍNICO</t>
  </si>
  <si>
    <t>Servicio de toma de muestras de laboratorio clinico</t>
  </si>
  <si>
    <t>TOMA DE MUESTRAS DE LABORATORIO CLÍNICO</t>
  </si>
  <si>
    <t>Servicio de transporte asistencial</t>
  </si>
  <si>
    <t>TRANSPORTE ASISTENCIAL BASICO</t>
  </si>
  <si>
    <t>TRANSPORTE ASISTENCIAL MEDICALIZADO</t>
  </si>
  <si>
    <t>Servicio de Urgencias</t>
  </si>
  <si>
    <t>URGENCIAS</t>
  </si>
  <si>
    <t>Servicio de Vacunacion</t>
  </si>
  <si>
    <t>VACUNACIÓN</t>
  </si>
  <si>
    <t>Servicio para la atencion del parto</t>
  </si>
  <si>
    <t>ATENCIÓN DEL PARTO</t>
  </si>
  <si>
    <t>Servicio de toma de muestras de cuello uterino y ginecologicas</t>
  </si>
  <si>
    <t>TOMA DE MUESTRAS DE CUELLO UTERINO Y GINECOLÓGICAS</t>
  </si>
  <si>
    <t xml:space="preserve">DERMATOLOGIA </t>
  </si>
  <si>
    <t xml:space="preserve">MEDICINA DEL DOLOR Y CUIDADOS PALEATIVOS </t>
  </si>
  <si>
    <t xml:space="preserve">CIRUGIA  DERMATOLOGIA </t>
  </si>
  <si>
    <t xml:space="preserve">Ambulatorio </t>
  </si>
  <si>
    <t>Baja</t>
  </si>
  <si>
    <t xml:space="preserve">Ambulatorio, Intramural </t>
  </si>
  <si>
    <t>Ambulatorio, Hospitalario</t>
  </si>
  <si>
    <t xml:space="preserve">Media </t>
  </si>
  <si>
    <t>Ambulatorio</t>
  </si>
  <si>
    <t>Intramural</t>
  </si>
  <si>
    <t xml:space="preserve">Ambulatorio, hospitalario </t>
  </si>
  <si>
    <t>Media, Alta</t>
  </si>
  <si>
    <t>Media</t>
  </si>
  <si>
    <t>Ambulatorio, Hospitalario, Intramural</t>
  </si>
  <si>
    <t>Hospitalario</t>
  </si>
  <si>
    <t xml:space="preserve">Alta </t>
  </si>
  <si>
    <t>Intramural, Domiciliaria</t>
  </si>
  <si>
    <t xml:space="preserve">Ambulatorio, Hospitalario, Intramural </t>
  </si>
  <si>
    <t>Ambulatoria, Intramural</t>
  </si>
  <si>
    <t>Sin Complejidad</t>
  </si>
  <si>
    <t>Ambulatorio, Hospitalario, Intramural , domiciliario</t>
  </si>
  <si>
    <t>Extramural</t>
  </si>
  <si>
    <t>intramural</t>
  </si>
  <si>
    <t xml:space="preserve">Sin Complejidad </t>
  </si>
  <si>
    <t xml:space="preserve">NEUROLOGÍA </t>
  </si>
  <si>
    <t xml:space="preserve">Servicios en el transitorio </t>
  </si>
  <si>
    <t xml:space="preserve">Servicios en el REPS Original </t>
  </si>
  <si>
    <t xml:space="preserve">Servicios pendientes por aprobación de la SDS </t>
  </si>
  <si>
    <t>INSTRUCCIONES</t>
  </si>
  <si>
    <t xml:space="preserve">En el documento denominado CRONOGRAMA PROYECCIÓN PPTO 2023 en la Hoja denominada PRODUCCIÓN 2023, se debe diligenciar desde cada una de las unidades funcionales, las actividades a ejecutar de acuerdo a la capacidad instalada. En el análisis se tendrá en cuenta la producción de los años 2019, 2021 y 2022; el año 2020 no se tendrá en cuenta dada la situación de pandemia que no presenta datos uniformes. 
Se deja como guía el análisis del  presupuesto propuesto para la vigencia 2022 en rojo, usted deberá registrar en la columna 2022 la información que corresponda para dicha   vigencia consultando los datos registrados en la plataforma SIHO-2193, si la actividad o area funcional no se registra en la plataforma SIHO, deberá -----------------------------------------------------------y la tabla automáticamente totalizara  y promediara las actividades a ejecutar en la vigencia 2023. 
</t>
  </si>
  <si>
    <t>Una vez obtenido el dato, deberá dirigirse al documento Excel denominado PRESUPUESTO 2022 donde debe registrar los resultados (TOTAL MES )en la hoja y celda indicada en el cronograma.</t>
  </si>
  <si>
    <t xml:space="preserve">CONSULTA EXTERNA </t>
  </si>
  <si>
    <t>PASO 1</t>
  </si>
  <si>
    <t xml:space="preserve">
</t>
  </si>
  <si>
    <r>
      <rPr>
        <b/>
        <sz val="10"/>
        <color theme="9" tint="-0.499984740745262"/>
        <rFont val="Arial"/>
        <family val="2"/>
      </rPr>
      <t xml:space="preserve">Para la realización de las actividades de consulta externa en el año 2023 se requiere:
10 médicos generales: 3 médicos de planta 164 horas/ mes y 7 médicos de empresa temporal de 192 horas/mes cada uno.
16 médicos especialistas: 1.503 horas/ mes, 18.043 horas/año
1 auxiliar de consultorio: 164 horas/mes
 3 odontólogas: 576 horas/mes 6.912 horas/año
2 auxiliares de odontología:384 horas/mes, 4.608 horas/año
Para cumplir la actividades de enfermería se requiere:
4 Profesionales de enfermería con 192 horas mes/cu
5 Auxiliares de enfermeria: 2 de planta 180 horas/mes cada una  y 3 por empresa temporal de 192 horas /mes cada una
</t>
    </r>
    <r>
      <rPr>
        <sz val="10"/>
        <color theme="1"/>
        <rFont val="Arial"/>
        <family val="2"/>
      </rPr>
      <t xml:space="preserve"> 
En cuanto al recuso de médicos especialistas se requieren: 
16 médicos especialistas: 1.503 horas/ mes, 18.043 horas/año
Medicina interna: proyectando el nuumero de horas a diciembre para el año 2023 se proyectaran 4.707 consultas para 1.569 horas/año, 131 horas mes con </t>
    </r>
    <r>
      <rPr>
        <b/>
        <sz val="10"/>
        <color theme="9" tint="-0.499984740745262"/>
        <rFont val="Arial"/>
        <family val="2"/>
      </rPr>
      <t>2 medicos internistas</t>
    </r>
    <r>
      <rPr>
        <sz val="10"/>
        <color theme="1"/>
        <rFont val="Arial"/>
        <family val="2"/>
      </rPr>
      <t xml:space="preserve">
Ginecobstetricia: 4.376 consultas al año con 1,459 horas año, 122 horas/mes   4 horas ginecologo  de lunes a viernes y 12 horas ginecologos los martes
Cirugia general: 2.618 consultas año que corresponden a 1569 horas año 122 horas/mes, 4 horas cirujano de lunes a viernes 
Pediatría:5.456 consultas al año que corresponden a 1819 horas año y 152 horas /pediatra al mes  8 horas/dia le lunes a sábado.
Ortopedia: 5.117 consultas al año corresponde a 1.706 consultas al año 142 horas ortopedia/mes lunes a sábado
Gatroenterología: 2.188 consultas al año para 729/horas año y 61 horas/mes de lunes a  1 profesional en gastroenterología
Anestesia: 1.398 consultas al año,para 729/horas año y 39 horas/mes una vez por semana
Cardiolología adultos: 4214 actividades proyectadas para 1.405 horas año, 117/horas mes dos veces por semana
Cardiología Pedíatrica: 20  horas/mes 240 horas año para 480 consultas 
Neurocirugía: 2880 consultas al año, para realizar 960 horas año 80 horas/mes
Otorrinolaringología:1.800 consultas año para 600 horas/año y 50 / mes; 
Psiquiatría: 3.600 consultas en 1.800 horas año, 150 horas siquiatría/mes
Urología: se proyectan 2160 consultas al año en 720 horas año, 60 horas/urologia mes
Medicina Familiar:3.703 consultas en 1234 horas /año y 103 consultas horas mes sin demanda insatisfecha.
Oftalmología: se proyectan para todo el año 5.117 consultas en 1.706 horas año para 142 horas/mes
</t>
    </r>
  </si>
  <si>
    <t>ACTIVIDADES</t>
  </si>
  <si>
    <t>2022 A SEPTIEMBRE</t>
  </si>
  <si>
    <t>PROYECCION CIERRE  ULTIMO TRIMESTRE2022</t>
  </si>
  <si>
    <t xml:space="preserve">TOTAL </t>
  </si>
  <si>
    <t>VIGENCIA 2023</t>
  </si>
  <si>
    <t>Número de dosis de biológico aplicadas</t>
  </si>
  <si>
    <t>OBLIGATORIO</t>
  </si>
  <si>
    <t>MEDICOS 10</t>
  </si>
  <si>
    <t>Número de controles de enfermería (Atención prenatal / crecimiento y desarrollo)</t>
  </si>
  <si>
    <t>Otros controles de enfermería de PyP (diferentes a atención prenatal -crecimiento y desarrollo)</t>
  </si>
  <si>
    <t>Número de consultas de medicina general electivas</t>
  </si>
  <si>
    <t>CAPACIDAD I</t>
  </si>
  <si>
    <t xml:space="preserve">Número total de consultas de medicina especializada </t>
  </si>
  <si>
    <t xml:space="preserve">DEMANDA </t>
  </si>
  <si>
    <t>CONSULTORIOS</t>
  </si>
  <si>
    <t>Otras consultas electivas realizadas por profesionales diferentes a médico, enfermero u odontólogo (Incluye Psicología, Nutricionista, Optometría y otras)</t>
  </si>
  <si>
    <t>HORAS</t>
  </si>
  <si>
    <t>Número total de consultas de odontología realizadas (valoración)</t>
  </si>
  <si>
    <t>DEMANDA Y CAPACIDAD</t>
  </si>
  <si>
    <t>Resolución 3280  medicina</t>
  </si>
  <si>
    <t>TOTAL MES</t>
  </si>
  <si>
    <t>Otros Curaciones, inyectología, electrocardiogramas.</t>
  </si>
  <si>
    <t>Fuentes:  Sitema de informacion institucional DINAMICA GERENCIA- Decreto 2193</t>
  </si>
  <si>
    <t>CONSULTA URGENCIAS</t>
  </si>
  <si>
    <t>Para realizar la proyección de producción de la vigencia 2023 se evaluo el comportamiento  histórico de la producción del  2022, donde se pondera la ejecucion del cuarto trimestre, en la medida que no ha culminado la vigencia. Como resultado promediado el número de actividades por este centro de costos a realizar es de 38.181  durante el año, con un promedio de 3.182 actividades mensuales, correspondientes al 91% de la capacidad instalada de la institucion, toda vez que la institucion cuenta con un talento humano conformado por 14 profesionales de medicina general contratados para esta unidad funcional 12 medicos por temporal 1 medicos de planta con 2.674 horas mes con capacidad de atencion de 1.3 pacientes hora para un total de actividades de 3.420 con un aumento del 7.5% con respaldo de   medicina especializada por 267 horas mes y 3.204 horas año ( Cirugia, ortopedia, medicina interna, gineco-obstetrica, pediatria, urologia, neurocirugia, oftamologia, otorrinolaringologia, psiquiatria, gastroenterologia, cardiologia) dentro de las cuales se garantiza atencion inmediata por servicio de medicina interna asi mismo contamos con 7 Jefes de enfermeria, 12 auxiliares dia.</t>
  </si>
  <si>
    <t xml:space="preserve">medicos generales </t>
  </si>
  <si>
    <t>CONSULTA MED G E INTERCONSUL</t>
  </si>
  <si>
    <t xml:space="preserve">ACTIVIDADES </t>
  </si>
  <si>
    <t>Número de consultas de medicina general urgentes</t>
  </si>
  <si>
    <t>Consultas de medicina especializada urgentes realizadas</t>
  </si>
  <si>
    <t>Fuentes: Resolución 2193 año 2022.Dinamica gerencial - Modulo admisiones  - Reportes - estadistico de ingresos</t>
  </si>
  <si>
    <t>OBSERVACION Y PROCEDIMIENTOS URGENCIAS</t>
  </si>
  <si>
    <t>Para realizar la proyección de la vigencia 2023 se realizo un previo análisis del histórico de la producción del año 2022 donde como resultado ponderado el numero de actividades por este centro de costos es de 7860 actividades año con promedio de 655 actividades mes, para el año 2023 teniendo en cuenta que contamos con 12 camillas como capacidad instalada proyectamos 17.280 actividades con una optimizacion del servicio del 54.5 % para el cual se requieren se requiren un talento humano conformado por 4 medicos para el servicio de observacion 2 contratados por temporal y 2 de planta , dos por cada turno de 12 horas dia y noche, 8 enfemeras ,una por cada turno de 12 horas, 12 auxiliares de enfermeria , 2 por cada turno de 12 horas  de dia y de noche.</t>
  </si>
  <si>
    <t>CAPACIDAD INSTALADA AÑO</t>
  </si>
  <si>
    <t>CAPACIDAD INSTALADA MES</t>
  </si>
  <si>
    <t xml:space="preserve">De los de urgencias. </t>
  </si>
  <si>
    <t>Días de cama de observación</t>
  </si>
  <si>
    <t>Otros procedimientos menores (suturas, inmovilización con yeso, reanimación, cateterismo vesical, lavado de oídos, extracción de cuerpo extraño, lavado ocular, reducción de articulaciones menores, paracentesis)</t>
  </si>
  <si>
    <t>Fuentes: Resolución 2193 año 2022.Dinamica gerencial - Modulo admisiones  - Reportes - estadistico de injgresos.</t>
  </si>
  <si>
    <t>HOSPITALIZACION GENERAL</t>
  </si>
  <si>
    <t>Para la realizacion de este centro de costos , se tomo como base la produccion de dias de cama ocupados para el año 2021 donde se obtuvo un total de  dias  de  21.185  , con  58 camas habilitadas para un porcentaje ocupacional del 100%.  En el año 2022 los dias de cama ocupados reflejan un numero de 22.871 dias para un porcentaje ocupacional del 108 % con  58 camas habilitadas y una capacidad de expansion dada la sobreocupacion  Hospitalaria de 12 camillas ubicadas en el servicio de observacion. Se proyecta para el 2023 un total de dias de cama ocupados mensual de 1588  Para un 90 % de ocupacion de nuestra capacidad instalada.      
Se  requiere  para estas  actividades de 4 medicos generales con 192 horas por medico al mes , 1 medico internista  4 horas , 1 medico cirujano general 4  horas , un medico ortopedista 4  horas , un pediatra 4  horas ,una terapeuta fisica 4 horas dia , un terapeuta respiratorio 4 horas dia , 1 fonoaudiologo 3 horas dia.                                                   Dado el  aumento de 4 camas en el servicio de hospitalización adulto desde julio de 2022 , se evidencio  un cambió en el comportamiento de 5 a 11 pacientes con dependencia de cuidados y un cambio en el promedio de medicamentos por pacientes, de 7 a 10, sumado a la duración promedio de ronda médica diaria  de 4 horas en la mañana,    Se proyecta aumentar 6 horas de profesional de enfermería todas las mañanas para fortalecer la oportunidad en la administración de medicamentos, verificar formulación, entrega de medicamentos y devolución. En lo concerniente a auxiliares de enfermería, para responder el incremento de pacientes con dependencia de cuidado, se proyecta aumentar un turno de 12 horas día.  Con la actual capacidad instalada se requieren:  9 profesionales de enfermería (1620 horas mes) en turnos de 192 horas mensuales,  17 auxiliares de enfermería (3240 hora/mes) con turnos de 192 horas.</t>
  </si>
  <si>
    <t xml:space="preserve">CAPACIDAD INSTALADA AÑO </t>
  </si>
  <si>
    <t>Capacidad instalada.</t>
  </si>
  <si>
    <t>PROYECCION CIERRE 2022</t>
  </si>
  <si>
    <t>TOTAL</t>
  </si>
  <si>
    <t>PROMEDIO AÑO</t>
  </si>
  <si>
    <t xml:space="preserve">PPTO 2023 MES </t>
  </si>
  <si>
    <t>Días de cama de Hospitalización</t>
  </si>
  <si>
    <t>Fuente de informacón:  Resolución 2193 año 2022.  Dinamica gerencial - Modulo admisiones  - Reportes - estadistico de egresos.</t>
  </si>
  <si>
    <t xml:space="preserve">UNIDAD CUIDADO INTENSIVO </t>
  </si>
  <si>
    <t>El centro de  costos del servicio de unidad de cuidados intensivos se habilitó por pandemia en el mes de agosto del año 2020, con 6 camas de cuidado intensivo y 4 de cuidado intermedio;  debido a la pandemia por covid-19 se amplio nuestra capacidad isntalada a 17 camas de cuidado intensivo y  5 de cuidado intermedio para un total de 22 camas, con un índice ocupacional para el año 2021  en unidad de cuidado intensivo del 43,7% y en la unidad de cuidado intermedio del 50,5%, en la vigencia 2022 de lo que va corrido del año por solicitud de la secretaria de salud de boyacá de ajusto la capacidad instalada quedando con 10 camas de cuidado intensivo y 3 camas de cuidado intermedio manteniendo un  porcentaje de ocupacion en unida de cuidado intensivo e intermedio del 67.6% hasta el mes de septiembre  del año   2022.</t>
  </si>
  <si>
    <t>En el centro de costos de la unidad de cuidado intensivo se proyecta para el año 2023 como una unidad polivalente, con  1 una capacidad instalada de 10 camas de cuidado intensivo y 3 camas de cuidado intermedio.  Para el año 2023 se proyecta una ocupación del 70% dado el comportamiento de la presente vigencia, para ello los días camas ocupados al año son de 3.276 con un promedio de  273 días estancia ocupado mes. Se requiere de medico intensivista las 24 horas ,5 medico general, 2  por turno de 12 horas. 8 Enfermeras 2  por turno de 12 horas y 12 Auxiliares de enfermeria ,4 por cada turno de 12 horas, 2 terapeutas respiratorias 12 horas día c/u,1 terapeuta fisica 8 horas día, 1 fonoaudilogo (@) 2 horas dia.</t>
  </si>
  <si>
    <t xml:space="preserve">CAPACIDAD INSTALADA GIRO CAMA MES </t>
  </si>
  <si>
    <t>Días de cama de Cuidado intensivo</t>
  </si>
  <si>
    <t>Días de cama de Cuidado intermedio</t>
  </si>
  <si>
    <t>Fuente: Resolución 2193 años 2017, 2018 y 2019 Anexo 1</t>
  </si>
  <si>
    <t>IMÁGENES DIAGNOSTICAS</t>
  </si>
  <si>
    <t xml:space="preserve">Para  realizar  la proyeccion  de la vigencia 2023 se realizó análisis del comportamiento de produccion de la presente vigencia y  la meta propuesta, la cual correspondia a la realizacion de 30.384 estudios  año y un promedio mes 2.532 actividades,  teniendo en cuenta el tercer trimestre de la vigencia en la que hemos ejecutado 28.908  estudios ,donde se proyecta  para el ultimo trimestre de la presente vigencia    la realizacion de 9095  imagenes diagnosticas,  TAC,RX , MAMOGRAFIA, ECOGRAFIA, logrando superar la meta con un cierre de 38003,  donde como resultado  el número de actividades teniendo en cuenta la capacidad instalada  por este centro de costos a realizar en la vigencia 2023 es de 40.422  durante el año con un promedio mensual  de  3.369 actividades. </t>
  </si>
  <si>
    <t>Para la realización de estas actividades en el  centro de costos de imagenes diagnosticas se requiere de 2 medicos especialistas en radiologia  y  6 tecnologos  teniendo  la necesidad de apoyar el servicio de Ortopedia ya que se han incrementado las cirugias  por esta especialidad que requiere la  toma de imagenes con el Arco en C , asi mismo se requieren  dos  transcriptores , y un auxiliar de enfermeria para apoyar atencion de pacientes con estudios  de Tomografia  contrastados  y algunas tareas administrativas.</t>
  </si>
  <si>
    <t>CAPACIDAD I MES</t>
  </si>
  <si>
    <t xml:space="preserve">PROMEDIO </t>
  </si>
  <si>
    <t>Número de imágenes diagnósticas</t>
  </si>
  <si>
    <t xml:space="preserve"> TAC.  </t>
  </si>
  <si>
    <t>MAMOGRAFIA</t>
  </si>
  <si>
    <t>ECOGRAFIA</t>
  </si>
  <si>
    <t>RX</t>
  </si>
  <si>
    <t xml:space="preserve">TOTAL, ACTIVIDADES </t>
  </si>
  <si>
    <t>AÑO</t>
  </si>
  <si>
    <t>MES</t>
  </si>
  <si>
    <t xml:space="preserve">Fuentes:   Decreto 2193 /Sitema de informacion institucional DINAMICA GERENCIA-Modulo de Historia Clinica- informes - reportes generados.
</t>
  </si>
  <si>
    <t>LABORATORIO CLÍNICO.</t>
  </si>
  <si>
    <t>Para calcular la proyección de producción de la vigencia 2023 se realizó análisis de la producción del año 2022, dado el crecimiendo significativo de la producción de este servicio durante la vigencia 2022. En la medida que la vigencia 2022 no ha terminado, se generó ponderación según el comportamiento de los tres trimestres que han transcurrido a la fecha, para asignar las actividades totales de la presente vigencia.
Teniendo en cuenta que los exámenes con corte a 30 de septiembre de 2022 fueron 187.860, por lo que se realiza proyección a diciembre 2022, con 250.480 estudios de laboratorio clínico. De gases arteriales se toma como promedio mensual de 275 muestras y con proyección a diciembre de 2022 seria 3300. Para el año 2023 se realizarán 6. 784 estudios POCT (Point of care Test), que corresponden a examenes realizados en el punto de atención del paciente.  La capacidad instalada del área de laboratorio clínico corresponde a 25.000 estudios por mes y la proyección para la vigencia 2023 se ajustara al 90% de la capacidad instalada, teniendo en cuenta que durante la presente vigencia se realizaron inversiones que generaron ampliación de los servicios ofrecidos,  logrando una producción sobre el 141 % de lo proyectado para esta vigencia.
7Para desarrollar estas actividades es necesario contar con 7 auxiliares de laboratorio (1344 horas mes) , 8 Bacteriólogos  (1.536 horas mes) y 1 Bacteriólogo coordinador de laboratorio (192 horas mes).</t>
  </si>
  <si>
    <t>PROMEDIO PARA AÑO 2023</t>
  </si>
  <si>
    <t xml:space="preserve">Actividades </t>
  </si>
  <si>
    <t>Gases arteriales</t>
  </si>
  <si>
    <t>ACTIVIDADES POCT</t>
  </si>
  <si>
    <t>Fuente: Sistema de información  Institucional DINAMICA GERENCIA - Decreto 2193 años  2022  Anexo 1 Certificación de informacion lider Unidad Funciona.</t>
  </si>
  <si>
    <t>SALAS CIRUGÍA</t>
  </si>
  <si>
    <t>Para realizar la proyección de producción de la vigencia 2023 se realizó análisis de la producción de los tres primeros trimestres del año 2022 y proyeccion del ultimo trimestre , en donde se tienen como resultado la suma total de   4.961 procedimientos durante la vigencia, con un promedio de 413 procedimientos mes.</t>
  </si>
  <si>
    <t>Con el fin de lograr la eficacia / eficiencia de al menos el 90% en este servicio según los análisis previos; 
teniendo en cuenta la disposición de dos salas de cirugía, en el año 2023 se deberán practicar aproximadamente 6 procedimientos por día, en cada una de las salas de cirugía, es decir, 12 procedimientos quirúrgicos/día en estas dos salas, 450 mensuales, equivalentes a 5.400 procedimientos quirúrgicos por año,  teniendo en cuenta que gran parte de las cirugías realizadas corresponden a grupos quirúrgico entre 7 y 10 en lo que cabe aclarar que en dichos grupos el tiempo promedio de ejecución oscila entre 45 a 75 minutos. 
Sin embargo la tendencia será aumentar los grupos quirúrgicos entre el 11 y el 13, además de los grupos del 20 al 23 
Cabe resaltar que el Hospital Regional de Moniquirá ha dado pie a la apertura de nuevos servicios asi como se ha ampliado la complejidad de los procedimientos quirúrgicos realizados, por ejemplo cirugías laparoscópicas, reemplazos articulares, cirugía de columna, urología, piso pélvico y neurocirugía; en este contexto se proyecta al 2023 con respecto al personal, que presta una ocupación básica en salas de cirugía entre cirugía programada y urgencias como: cirugía general con 4 horas dia, 80 horas mes, 960 horas año. Ortopedia y traumatología con 4 horas día, 80 horas mes, 960 horas año. Ginecología y obstetricia general con 4 horas dia, 80 horas mes, 960 horas año, oftalmología 24 horas mes, 288 año. Urología 18 horas mes, 288 horas año, Neurocirugia ,  16 horas mes, 192 horas año. Además se requieren 2 anestesiólogos de dia y uno de noche  para un total de 36 horas dia , 1080 horas mes, 12960 horas año ,4 Médicos generales como ayudantes quirúrgicos de los cuales dos son de planta, 1 ayudante quirúrgico por sala de cirugía para un total de 24 horas dia, 576 horas mes,  6912 horas año. 5 instrumentadoras quirúrgicas , 3 instrumentadoras por dia,  para un total de 36 horas dia, 864 horas mes, 10368 año.  distribuidas cada una en una sala quirúrgica (No 2), una instrumentadora exclusiva para esterilización  , 3 Enfermeras, una por turno de 12 horas dia, 9 auxiliares de enfermeria  3 en turno de dia  , una para cada sala de cirugía  y una en recuperación y 2 en turno de noche, 2 auxiliares  para el area de esterilización</t>
  </si>
  <si>
    <t>capacidad</t>
  </si>
  <si>
    <t>proyeccion 2023</t>
  </si>
  <si>
    <t xml:space="preserve">SALAS DE CIRUGÍA </t>
  </si>
  <si>
    <t>TRIMESTRE 1 2022</t>
  </si>
  <si>
    <t>TRIMESTRE 2 2022</t>
  </si>
  <si>
    <t>TRIMESTRE   3 2022</t>
  </si>
  <si>
    <t xml:space="preserve">PROYECCIÓN TRIMESTR FINAL </t>
  </si>
  <si>
    <t>Actividades GRUPO QX 2-6</t>
  </si>
  <si>
    <t>Actividades GRUPO QX 7-10</t>
  </si>
  <si>
    <t>Actividades GRUPO QX 11-13</t>
  </si>
  <si>
    <t>Actividades GRUPO QX 20-23</t>
  </si>
  <si>
    <t>Fuente de informacón: Decreto 2193 año 2022 anexo 1</t>
  </si>
  <si>
    <t>SALAS PARTOS</t>
  </si>
  <si>
    <t>descripcion de ingresos 75 actividades</t>
  </si>
  <si>
    <t>Se realizó análisis de la producción del año 2022, donde se analizaron los meses de enero a septiembre con un  total  de 612 partos vaginales y cesareas   con una  proyeccion del ultimo trimestre de 203  partos para un total de 815  en la institucion para la vigencia 2022 equivalente a 68  partos vaginales y cesarea por mes. Para realizar la proyección de producción de la vigencia 2023 dado  nuestra baja tasa de natalidad de nuetsra region  aproximadante el 52% de nuestra produccion  se a notado que el 48% de nuestra poblacion atendida pertenencen al sur de santander  quien nos aporta el aumento de las actividades proyectadas este servicio de 68  a  75 actividades por mes, llegando a una proyeccion de 81 actividades mes.                                                                                                                                                                                               Para el adecuado cumplimiento de actividades proyectadas se requiere 4 medicos especialistas  en jornadas de 24 horas para desempeñar las siguientes actividades  respuestas de interconsultas ginecologicas y obstetricas, revista medica diaria, realizacion de procedimientos quirurgicos programados y de urgencias, realizacion de ecografias ginecobstetricas  al igual que jornadas de 50 horas exclusivas para consulta externa, colposcopias y ecografias. 4 medicos uno por cada turno de 12 horas de dia y de noche, 4 Enfermeras , por cada turno de dia y de noche, 8 auxiliares de Enfermeria , una por cada turno de 12 horas. dado que contamos con el servicion de unidad basica neonatal en el servicio  la cual nos ha beneficiado   disminuyendo las remisiones de  neonatos a otro nivel de complejidad de 5 a 1 por mes .</t>
  </si>
  <si>
    <t>SALA DE PARTOS</t>
  </si>
  <si>
    <t xml:space="preserve">Actividades Parto vaginal </t>
  </si>
  <si>
    <t>Actividades Parto cesaria</t>
  </si>
  <si>
    <t xml:space="preserve">Fuente de informacón: Fuente:   RUAF                          </t>
  </si>
  <si>
    <t>TERAPIAS</t>
  </si>
  <si>
    <t xml:space="preserve">Para realizar la proyección de producción de la vigencia 2023 se realizó análisis de produccion de la presente vigencia  donde como resultado ponderado el número de terapias  a realizar  durante la vigencia 2023 es  de 35.713  sesiones  durante el año, con un promedio mensual de 2976  actividades . </t>
  </si>
  <si>
    <t xml:space="preserve">Para el cumplimiento de las activiades de esta area  se requieren 4 fisioterapeutas fisicas y 1 terapeuta  respiratoria 1 Fonoaudiologa </t>
  </si>
  <si>
    <t xml:space="preserve">TOTAL MES </t>
  </si>
  <si>
    <t>Número de sesiones de terapias realizadas repiratorias.</t>
  </si>
  <si>
    <t>Actividades terapia fisica.</t>
  </si>
  <si>
    <t xml:space="preserve">Terapias Fonoaudiologia. </t>
  </si>
  <si>
    <t xml:space="preserve">TOTAL. </t>
  </si>
  <si>
    <t xml:space="preserve">FARMACIA </t>
  </si>
  <si>
    <t xml:space="preserve">Fuentes : Decreto 2193/ Sistema de informacion institucional DINAMICA GERENCIA- modulo de historia clinica - Informes - Reportes generados. </t>
  </si>
  <si>
    <t>Los costos proyectados en medicamentos y dispositivos médicos se basan en la programación de cada una de las actividades en las diferentes unidades funcionales dada la transversalidad del servicio farmacéutico. Esta proyección se fundamenta en la ocupación hospitalaria, el costo día cama por paciente, proyección de giro cama, capacidad instalada y complejidad de la prestación de nuestros servicios, generándose así un número especifico de ordenes médicas que dependerán del gasto de los diferentes subgrupos de material medicoquirúrgico y subgrupos terapéuticos de medicamentos para un total de 15800 órdenes médicas mensuales , basados en los días estancia de los pacientes en los diferentes servicios.
Un ejemplo de ello, es el cálculo realizado por el costo del paciente atendido en UCI, quien se identifica el cálculo de sedantes, vasopresores, electrolítos, oxígeno entre otros, para proyectar el valor en medicamentos por paciente costo dia cama, su estancia en 10 días, con un giro cama de 3 y ocupación hospitalaria de la unidad del 70%.  En el servicio de cirugía se realizó una revisión del promedio de cirugía realizadas, calculando el costo de cada una de ellas y las proyectadas por el líder del área, identificando el total de medicamentos y dispositivos médicos necesarios en cada una de ellas.
Para dar cumplimiento a nuestra capacidad instalada, requerimos de 1 Químico Farmacéutico, 3 Regentes de Farmacia y 7 Auxiliares de Servicio Farmacéutico. Con este personal se dará cumplimiento al cubrimiento de dos áreas nuevas del servicio como lo serán la unidad de reempaque de sólidos orales no estériles y gestión de los dispositivos médicos y odontológicos anexo al servicio farmacéutico.</t>
  </si>
  <si>
    <t>VALOR  AÑO</t>
  </si>
  <si>
    <t xml:space="preserve">MES </t>
  </si>
  <si>
    <t>DIA</t>
  </si>
  <si>
    <t>CONSULTA EXTERNA</t>
  </si>
  <si>
    <t>UNIDAD CUIDADO INTENSIVO</t>
  </si>
  <si>
    <t>LABORATORIO CLINICO</t>
  </si>
  <si>
    <t>SALAS CIRUGIA</t>
  </si>
  <si>
    <t>LABORATORIO PATOLOGÍA Y CITOLOGÍAS</t>
  </si>
  <si>
    <t>AMBULANCIA Y OTROS</t>
  </si>
  <si>
    <t>PIC</t>
  </si>
  <si>
    <t>GASTROENTEROLOGIA</t>
  </si>
  <si>
    <t>CARDIOLOGIA</t>
  </si>
  <si>
    <r>
      <rPr>
        <b/>
        <sz val="11"/>
        <color theme="1"/>
        <rFont val="Calibri"/>
        <family val="2"/>
        <scheme val="minor"/>
      </rPr>
      <t xml:space="preserve">Fuentes: 1) </t>
    </r>
    <r>
      <rPr>
        <sz val="11"/>
        <color theme="1"/>
        <rFont val="Calibri"/>
        <family val="2"/>
        <scheme val="minor"/>
      </rPr>
      <t xml:space="preserve">Sistema de Informaciòn institucional Dinamica Generancial SYAC, Ruta acceso: Módulo Inventarios-Informes-Suministros a pacientes-fechas-filtros; </t>
    </r>
    <r>
      <rPr>
        <b/>
        <sz val="11"/>
        <color theme="1"/>
        <rFont val="Calibri"/>
        <family val="2"/>
        <scheme val="minor"/>
      </rPr>
      <t>2)</t>
    </r>
    <r>
      <rPr>
        <sz val="11"/>
        <color theme="1"/>
        <rFont val="Calibri"/>
        <family val="2"/>
        <scheme val="minor"/>
      </rPr>
      <t xml:space="preserve"> Formato de Control de despacho de órdenes Mèdicas Mensuales</t>
    </r>
  </si>
  <si>
    <t>De acuerdo al comportamiento de muestras para estudios de anatomía patológica en  la vigencia 2022, se generaron 4236 especímenes,  distribuidos en 2316 citologías  citologías, 1200 muestras de estudios de endoscopia digestiva y 720 de procedimientos quirúrgicos, teniendo en cuenta el crecimiento que se pretende alcanzar en los servicios donde se generan muestras para este tipo de estudios, se proyecta 6792 estudios anuales, distribuidas en 3840 citologías que corresponde a la población objeto, 1800 estudios de estudios de endoscopia digestiva alta y baja y 1152 de procedimientos quirurgicos proporcional al 8% que se proyecta el aumento de procedimientos quirurgicos.</t>
  </si>
  <si>
    <t>PROYECCION 2023</t>
  </si>
  <si>
    <t>Número de estudios de patología</t>
  </si>
  <si>
    <t>Actividades de la resolución 3280 citologías.</t>
  </si>
  <si>
    <t xml:space="preserve"> AMBULANCIA Y OTROS</t>
  </si>
  <si>
    <t xml:space="preserve">Para realizar la proyección de la vigencia 2023 se realizo analisis de producción del año 2022 se proyectan 1464 actividades debido al daño del tomógrafo lo cual aumento el numero de las remisiones en los 3 trimestres para el año en curso ya se cuenta con nuevo tomógrafo adquirido con recursos propios el cual permite la disminución de los traslados puesto que en un alto numero son debio a no contar con el mismo dado esto para el año 2023 se proyectan1095 actividades con una disminucion del 25% no obstante pese a que contamos con multiples especialidades y ayudas diagnosticas preveemos Se requieren 4 auxiliares de enfermeria ,1 medico disponible para ambulancia medicalizada, 4 conductores de ambulancia y 1 jefe de referencia teniendo en cuenta que contamos con multiples especialidades lo cual aumenta nuestro nivel de resolutividad preveemos una disminucion gradual del  remisones se generan por estudios de iamgenes diagnosticas aunque auemnta el nivel de reso,utuvidad revvemeos por alto riegso de patologias se remitiran pacientes a nivel superior se incluira yjefe de contrareferencia. </t>
  </si>
  <si>
    <t xml:space="preserve">AMBULANCIA </t>
  </si>
  <si>
    <t>Actividades</t>
  </si>
  <si>
    <t>Fuentes: Resolución 2193 año 2022.Dinamica gerencial -bitacora remisiones HRM</t>
  </si>
  <si>
    <t>PROGRAMA DE SALUD FAMILIAR</t>
  </si>
  <si>
    <r>
      <rPr>
        <sz val="10"/>
        <rFont val="Arial"/>
        <family val="2"/>
      </rPr>
      <t>El programa de salud familiar se implementó desde agosto de  2021, que integra la atención intramural con la extramural en el marco del plan de intervenciones colectivas contando con  recursos propios y los contratados con el municipio y el departamento. Según actividades contempladas se realizaron en el año 2021 un total de 230 talleres. En el año  2022 se proyecta culminar el año con 153 talleres teniendo en cuenta actividades contratadas. Para el año 2023 se proyecta teniendo en cuenta el promedio de lo ejecutado en los años 2019,  2021 y 2022  un total de 199 talleres.  En relación a las visitas domiciliarias de caracterización, seguimiento y gestión del riesgo se proyecta culminar el año 2022 con un total 1027 visitas. Se contó para la ejecucion de actividades con 3 agentes de salud familiar, 1 enfermera, 1 psicologia y medio tiempo de medico familiar.  Además de la supervisión y apoyo de profesional en enfermeria en la Coordinación  y con  auxiliar de enfermeria para apoyo en  SIBACOM Plus. Para el año 2023 se proyecta ampliar el recurso humano con la contratación de 13  agentes de salud familiar que serán asignadas a territorio rural para dar cobertura al 100% de las veredas (30) para un total de 3567 hogares según caracterización  aportada por el municipio.</t>
    </r>
    <r>
      <rPr>
        <sz val="10"/>
        <color rgb="FFFF0000"/>
        <rFont val="Arial"/>
        <family val="2"/>
      </rPr>
      <t xml:space="preserve"> </t>
    </r>
    <r>
      <rPr>
        <sz val="10"/>
        <rFont val="Arial"/>
        <family val="2"/>
      </rPr>
      <t>Se proyecta para año 2023 un total de 7134 visitas de caracterización, plan de cuidado familiar y gestión del riesgo en salud con base en la ampliación del recurso humano y la cobertura de hogares esperada, motivo por el cual no se realizó por promedio.</t>
    </r>
  </si>
  <si>
    <t>WILDY</t>
  </si>
  <si>
    <t>3567 FAMILIAS</t>
  </si>
  <si>
    <t>Número de visitas domiciliarias e institucionales -PIC-</t>
  </si>
  <si>
    <t>Número de sesiones de talleres colectivos -PIC-</t>
  </si>
  <si>
    <t>Para la vigencia del año 2023 con base en la prevalencia e incidencia de las patologías gastro intestinal de nuestra poblacion (endoscopias vías digestivas altas, ligaduras de varices y esclerosis, endoscopias de vías digestivas bajas, colonoscopias, biopsias) se estima la realización de 250 procedimiento mensulaes con un rendimiento de la capacidad instalada del 78% y un total de 3.840 actividades al año. Para la realizacion de estas actividades se  requiere de gastroenterologo de lunes a viernes, dos auxiliares de enfermeria turno de 8 horas de lunes a viernes.</t>
  </si>
  <si>
    <t>CAPACIDAD</t>
  </si>
  <si>
    <t xml:space="preserve">SOPORTE </t>
  </si>
  <si>
    <t xml:space="preserve">COLONOS </t>
  </si>
  <si>
    <t>ENDO</t>
  </si>
  <si>
    <t>CONSUL</t>
  </si>
  <si>
    <t>HORAS MEDICO</t>
  </si>
  <si>
    <t xml:space="preserve">Actividades procedimientos </t>
  </si>
  <si>
    <t xml:space="preserve">estudios </t>
  </si>
  <si>
    <t xml:space="preserve">al año </t>
  </si>
  <si>
    <t xml:space="preserve">Fuentes: Decreto 2193 / Sitema de informacion institucional DINAMICA GERENCIAL - Modulo de historia clinica-Informes -Reportes generados </t>
  </si>
  <si>
    <t xml:space="preserve">OFTALMOLOGÍA.   </t>
  </si>
  <si>
    <t xml:space="preserve">Para la proyeccion de la vigencia  2023, se realizo analisis del comportamiento de esta unidad  con base la produccion de la vigencia 2022, donde como resultado segun el comportamiento y la proyeccion de cierre se tiene un total de 6.835 actividades, para la vigencia 2023 y con el estudio de la capcidad instalada de la intitucion se proyectan 240 horas de especialista mes con un rendimiento de 3 paciente por hora en consulta y  1 hora por Procedimiento , y un incremento en el servicio del 11% para un total de actividades durante la vigencia 2023 de 7.584 año y 632 actividades mes.   Para la realizacion de estas actividades se  requiere 2 Espeecialistas oftalmologos con jornadas de  dias a semanales. </t>
  </si>
  <si>
    <t xml:space="preserve">PROMEDIO MES </t>
  </si>
  <si>
    <t>Procedimientos Q.</t>
  </si>
  <si>
    <t xml:space="preserve">AÑO </t>
  </si>
  <si>
    <t xml:space="preserve">FISIATRÍA </t>
  </si>
  <si>
    <t xml:space="preserve">Para la proyeccion de la vigencia  2023, se realizo analisis del comportamiento de esta unidad  con base la produccion de la vigencia 2022, donde como resultado segun el comportamiento y la proyeccion de cierre se tiene un total de 4.208 actividades, para la vigencia 2023 y con el estudio de la capcidad instalada de la intitucion se proyectan 240 horas de especialista mes con un rendimiento de 2 paciente por hora , y un incremento en el servicio del 37% para un total de actividades durante la vigencia 2023 de 5.760 año y 480 actividades mes.   Para la realizacion de estas actividades se  requiere 2 Espeecialistas de Fisiatria con un total de 20 turnos mes. </t>
  </si>
  <si>
    <t>Para la vigencia del año 2023 con base en la prevalencia de riesgo de patologia cardiovascular en poblacion adulta y pediatrica  se estima la realización de 400 actividades mensuales   teniendo en cuenta el comportamiento de la vigencia 2022 en la que se han realizado 1.778 ecocardiogramas transtoracicos, 765 estudios holter, y 1.150 consultas . con una proyeccion  4800 procedimientos al año. Se requiere para el servicio garantizar la prestacion del servicio de lunes a sabado , en los que se realizaran consultas de medicina especializada en cardiologia,  ecocardiogramas  TT, Holter. y pruebas de esfuerzos.</t>
  </si>
  <si>
    <t>PROYECCION DE CIERRE</t>
  </si>
  <si>
    <t xml:space="preserve">Fuentes:  Decreto 2193/ Sitema de informacion institucional DINAMICA GERENCIAL- Modulo de Hicstoria Clinica -Informes -Reportes generados </t>
  </si>
  <si>
    <t>INGRESOS CONVENIOS DOCENCIA-SERVICIO</t>
  </si>
  <si>
    <t xml:space="preserve">En el marco del fortalecimiento institucional para el año 2022 se dio continuidad al Convenio docente Servicio con la Universidad de Boyacá y la Universidad Pedagógica y Tecnológica de Colombia (UPTC) contando con profesionales en formación en  pregrado de enfermería, medicina,  bacteriología, psicología y  en formación posgraduada en medicina familiar, contando con la presencia para últimos meses de la vigencia 2022 de residentes de Medicina Familiar de la Universidad Nacional Autónoma de México. Como parte de contraprestación de Convenio Docencia Servicio con la UPTC se contemplan cursos sin cotos alguno en seminarios, talleres, simposios, diplomados, así como las asesorías en investigaciones científicas. En relación a la contraprestación por Convenio docencia servicio con Universidad de Boyacá se recibió un ingreso de $22.783.333 correspondiente al 20% del equivalente mensual del valor de la matricula del periodo académico por cada estudiante que realice rotación en la ESE. Se realiza en la actualidad estudio de suficiencia para establecer asignación de cupos de estudiantes que permita evaluar la posibilidad de dar apertura a nuevos convenios como parte de la proyección para el año 2023.  </t>
  </si>
  <si>
    <t>CUOTAS MODERADORAS Y COPAGOS</t>
  </si>
  <si>
    <t xml:space="preserve"> </t>
  </si>
  <si>
    <t>Para el año 2021 y según el comportamiento de la presente vigencia, se proyecta un valor aproximado de $95.400.000 anuales por concepto de recaudos de cuotas moderadoras y copagos con un valor mensual de $7.950.000 calculados con base en el recaudo efectivo a octubre de 2020 promediado a 12 meses esta puede tener variaciones teniendo en cuenta la habilitación de nuevos servicios.</t>
  </si>
  <si>
    <t>ARRENDAMIENTOS</t>
  </si>
  <si>
    <t xml:space="preserve">Para el año 2021 se realizarán los estudios pertinentes para la demolición del hospital antiguo inmueble que actualmente se encuentra subutilizado por el orden de $8.000.000,00 referentes a vigilancia, gasto que se pretende reducir y a cambio de esto buscar un ingreso por un valor total de $1.500.000,00 por concepto de arrendamiento del terreno, se aclara que la demolición de la infraestructura se debe a la antigüedad de la construcción y la imposibilidad de remodelación.  </t>
  </si>
  <si>
    <t>GRUPO
SERVICIO</t>
  </si>
  <si>
    <t>SERVICIOS HABILIATADOS</t>
  </si>
  <si>
    <t>MODALIDAD</t>
  </si>
  <si>
    <t>COMPLEJIDAD</t>
  </si>
  <si>
    <t>Ambulatorio, Intramural</t>
  </si>
  <si>
    <r>
      <t xml:space="preserve">Para la  ejecución de  todas las actividades del centro de costos de consulta externa, se analizó la capacidad instalada proyectada para el año 2022, contando con 11 consultorios cuya utilización se proyectó a 12 horas diarias por  6 días a la semana con un rendimiento de 3 consultas en cada hora, para un total de 468 consultas al día que al llevarlas a 6  días se proyectan 2,376 consultas semanales, lo que llevado a 52 semanas al año se tiene una capacidad instalada para realizar  123.512 consultas de medicina general y especializada
</t>
    </r>
    <r>
      <rPr>
        <b/>
        <sz val="10"/>
        <color theme="9" tint="-0.499984740745262"/>
        <rFont val="Arial"/>
        <family val="2"/>
      </rPr>
      <t>Para el año 2023 se proyecta una capacidad instalada en infraestructura de 15 consultorios y un recurso humano de 10 profesionales en medicina general   y 16 profesionales en medicina especializada.</t>
    </r>
    <r>
      <rPr>
        <sz val="10"/>
        <color theme="1"/>
        <rFont val="Arial"/>
        <family val="2"/>
      </rPr>
      <t xml:space="preserve">
Por lo tanto para 2023 se proyectan 15 consultorios con una ocupación 100% de 12 horas día c/u por 6 días a la semana, para un total de oferta diaria de 180 horas, 4.320 horas/mes y 51.840 horas al año para una oferta de recurso humano entre medicina general y medicina especializada de 155.960 consultas.
Se establece como meta para realizar las actividades correspondientes a la resolución 3280 de 2018 para el 2023 es 17.540 que corresponden al 80% de la población, por lo tanto, se proyecta una oferta de 4 médicos para realizar 731 horas/ mensuales para llevar a cabo 1.462 actividades/mes las cuales se desarrollarán en 2.5 consultorios de 12 horas.
</t>
    </r>
    <r>
      <rPr>
        <b/>
        <sz val="10"/>
        <color theme="9" tint="-0.499984740745262"/>
        <rFont val="Arial"/>
        <family val="2"/>
      </rPr>
      <t>Para la consulta de medicina general proyecta que 6 médicos generales realicen 187 horas/mes promedio cada uno, teniendo una oferta de 1.122 horas por mes, por lo que se deben realizar 3.336 consultas mes (3 consultas/hora) que, proyectadas a un año, se deben realizar 40.392 consultas de medicina general, en 7.5 consultorios de 12 horas.</t>
    </r>
    <r>
      <rPr>
        <sz val="10"/>
        <color theme="1"/>
        <rFont val="Arial"/>
        <family val="2"/>
      </rPr>
      <t xml:space="preserve">
Para la consulta especializada se proyecta para el año 2023 una capacidad instalada de 5 consultorios 12/horas día c para un total de 60 horas /día, 2016 mes y 24.192 horas año; se realizan 3 consultas hora es decir 72.576 consultas año ofertadas con un talento humano de 16 especialidades. Sin embargo, debido a que las diferentes especialidades tienen una intensidad horaria diferente se realiza una proyección de la demanda espontánea para las diferentes especialidades a diciembre a 2022 por lo que se presupuestan 54.140 consultas para el año 2023.
</t>
    </r>
    <r>
      <rPr>
        <b/>
        <sz val="10"/>
        <color theme="9" tint="-0.499984740745262"/>
        <rFont val="Arial"/>
        <family val="2"/>
      </rPr>
      <t>Odontología:</t>
    </r>
    <r>
      <rPr>
        <sz val="10"/>
        <color theme="1"/>
        <rFont val="Arial"/>
        <family val="2"/>
      </rPr>
      <t xml:space="preserve"> Cuenta con una capacidad instalada en infraestructura de 2 unidades odontológicas y </t>
    </r>
    <r>
      <rPr>
        <b/>
        <sz val="10"/>
        <color theme="9" tint="-0.499984740745262"/>
        <rFont val="Arial"/>
        <family val="2"/>
      </rPr>
      <t>un recurso humano de 3 odontólogas, con una utilización de 12 horas diarias cada una para 24 horas/día, 576 horas/mes y 6912 horas/año.</t>
    </r>
    <r>
      <rPr>
        <sz val="10"/>
        <color theme="1"/>
        <rFont val="Arial"/>
        <family val="2"/>
      </rPr>
      <t xml:space="preserve"> Diariamente se realizan 72 consultas por lo que se proyectan para el año 2023, 20736 consultas.
</t>
    </r>
    <r>
      <rPr>
        <b/>
        <sz val="10"/>
        <color theme="9" tint="-0.499984740745262"/>
        <rFont val="Arial"/>
        <family val="2"/>
      </rPr>
      <t>Actividades de enfermería:</t>
    </r>
    <r>
      <rPr>
        <sz val="10"/>
        <color theme="1"/>
        <rFont val="Arial"/>
        <family val="2"/>
      </rPr>
      <t xml:space="preserve"> capacidad instalada 3 consultorios 12 horas cada uno para actividadaes de vacunacion y Resolución 3280; 
Dosis de biológico aplicadas: Proyectadas a diciembre del presente año  18802 dosis. Para el año 2023 se proyectan 16000 dosis aplicadas,  teniendo en cuenta estado actual de pandemia, recomendaciones de vacunación Covid- 19 actuales, población objeto a ser vacunada para Covid -19 y  con cálculo de metas establecidas para vacunación PAI regular por parte de Secretaria Salud departamental 
Controles de enfermería (Atención prenatal / crecimiento y desarrollo):proyectadas a diciembre de 2022 1456 actividades. Teniendo en cuenta el no cumplimiento de metas para actividades de resolución 3280, para el año 2023 se proyectan 7372 que corresponden al  80% de la población objeto en curso de vida de primera infancia e infancia.  
Otros controles de enfermería de PyP (Diferentes a atención prenatal - Crecimiento y desarrollo): proyectadas a diciembre de 2022 un total de 1694. Teniendo en cuenta el no cumplimiento de metas para actividades de resolución  3280, para el año 2023 se proyectan 7872 actividades que corresponden al  80% de la población objeto. Para el cumplimiento de las anteriores actividades de enfermería se requiere una capacidad instalada de 4 consultorios asi: 2 para consulta de actividades de promoción, prevensión y cuidados de enfermería, 1 para vacunación PAI regular y Covid y 1 consultorio para procedimientos menores.
En relación a las actividades correspondientes a Resolución 3280 asignadas para medicina general proyectadas a diciembre de  2022 un total de 3918 actividades; de igual forma teniendo en cuenta el incumplimiento en metas para el  año 2023 se proyecta un total de  17540 actividades que corresponden al  80% de la población objeto. 
Para la proyección de los servicios de Nutrición y Psicología se analizó la producción  de la vigencia de enero a septiembres con un total de 5196 actividades con una proyeccion para el ultimo trimestre de 1.732 y  un   cierre de la vigencia 2022  de 6.928  y una proyeccion para el periodo 2023 de 11.976 actividades anuales que corresponden a 998 actividades mes. 
</t>
    </r>
  </si>
  <si>
    <t>MEDICINA GENERAL (3280)</t>
  </si>
  <si>
    <t>CONSULT.</t>
  </si>
  <si>
    <t>HR. DISP./ CONSULT.</t>
  </si>
  <si>
    <t>OFERTA / HR.</t>
  </si>
  <si>
    <t>T. OFERTA /HR.</t>
  </si>
  <si>
    <t>T. OFERTA /HR. MES</t>
  </si>
  <si>
    <t>LUNES A SABADO</t>
  </si>
  <si>
    <t>DÍAS</t>
  </si>
  <si>
    <t>CAPACIDAD INSTALADA FÍSICA</t>
  </si>
  <si>
    <t>CAPACIDAD INSTALADA T.H.</t>
  </si>
  <si>
    <t>T. PERS.</t>
  </si>
  <si>
    <t>HR. LAB. / MES</t>
  </si>
  <si>
    <t>HR. CONTR. / MES</t>
  </si>
  <si>
    <t>T. HR. LAB / MES</t>
  </si>
  <si>
    <t>ESTANDAR / HR.</t>
  </si>
  <si>
    <t>LUNES A VIERNES</t>
  </si>
  <si>
    <t>TODO EL MES</t>
  </si>
  <si>
    <t>T. OFERTA /ACTV. MES</t>
  </si>
  <si>
    <t>CARDIOLOGÍA (consultas)</t>
  </si>
  <si>
    <t>Para diligenciar la matriz debe tener en cuenta la descripción de cada columna</t>
  </si>
  <si>
    <t xml:space="preserve">Señala el número total de infraestructura con la que cuenta la institución para cada uno de los servicios habilitados.  Por ejemplo: Si se cuenta con 5 consultorios para medicina general, registre 5. </t>
  </si>
  <si>
    <t xml:space="preserve">Corresponde al tiempo en horas disponible por cada tipo de infraestructura y servicio. Por
ejemplo: Si el consultorio de medicina genera está disponible de las 7am a 7pm, son 12
horas al día, por lo que en la columna se registra 12.  </t>
  </si>
  <si>
    <t>Registra el estándar de tiempo de atención por hora requerido o utilizado. Por ejemplo: Consulta Medicina General 3 por hora. En el caso de procedimientos quirúrgicos, intervencionistas o no cruentos, se debe estimar el tiempo promedio utilizado por procedimiento, por ejemplo: En el servicio de hemodinamia, el promedio por estudio es de 30 minutos, es decir el estándar por hora
sería 2 por hora.
En el caso de servicios de internación, favor no registre ningún dato</t>
  </si>
  <si>
    <t>Corresponde a la multiplicación de la cantidad de infraestructura (Consultorio, salas, unidades, etc) por las horas diarias de atención y el estándar de tiempo establecido para cada servicio. Por ejemplo: Si se cuenta con un consultorio de medicina general disponible 4 horas, con un estándar de tiempo de 3, la oferta disponible de infraestructura sería:1*4*3 = 12 horas.</t>
  </si>
  <si>
    <t>Corresponde a la multiplicación de total oferta disponible en horas por los días mes disponibles del servicio. Es decir, si se encuentra todo el mes disponible, se multiplica por 30, si funciona de lunes a a viernes 22, o de lunes a sábado 25. En el ejemplo anterior, con una disponibilidad de 30 días mes, sería 12 *30.</t>
  </si>
  <si>
    <t>Corresponde al total del talento humano de la especialidad o perfil seleccionado que EJECUTA LA ACTIVIDAD. Por ejemplo: 5 profesionales de medicina general, se registra 5.</t>
  </si>
  <si>
    <t xml:space="preserve">Corresponde a las horas mes contratadas por cada profesional, en el caso de disponer de más de un profesional con diferentes horas contratadas, cálcule el promedio y registre ese valor en la casilla.
Por ejemplo: En el servicio de consulta se pueden tener 2 profesionales, uno de 180 horas y otro de 120 horas, por lo que se registra en la casilla 150 horas. 
</t>
  </si>
  <si>
    <t xml:space="preserve">Hace referencia las horas mes trabajadas por cada profesional, en el caso de disponer de más de un profesional con diferentes horas contratadas, cálcule el promedio y registre ese valor en la casilla.
Por ejemplo: En el servicio de consulta se pueden tener 2 profesionales, uno de 100 horas y otro de 120 horas, por lo que se registra en la casilla 110 horas.  </t>
  </si>
  <si>
    <t>Corresponde al cálculo de las horas trabajadas por mes, lo cual se obtiene multiplicando Horas laboradas por personal mes por el Nº Total de personal. En el ejemplo:  5 *110 = 550.</t>
  </si>
  <si>
    <t xml:space="preserve">Hace referencia al estándar de tiempo definido por la institución para la realización de la actividad o servicio. Por ejemplo: En el servicio de consulta de medicina general es 3 consultas por hora. 
En el caso de procedimientos quirúrgicos, intervencionistas o no cruentos, se debe estimar el tiempo promedio utilizado por procedimiento, por ejemplo: En el servicio de hemodinamia, el promedio por estudio es de 30 minutos, es decir el estándar por hora sería 2 por hora. En el caso de servicios de internación, favor no registre ningún dato, se calculará según datos suministrados.
</t>
  </si>
  <si>
    <t>Corresponde al cálculo del total horas laboradas mes por el estándar de atención por hora. En el ejemplo sería, 550*3 = 1650</t>
  </si>
  <si>
    <t>PROF. ATENCIÓN</t>
  </si>
  <si>
    <t>Médico General</t>
  </si>
  <si>
    <t>Médico Especialista Medicina Interna</t>
  </si>
  <si>
    <t>ME Pediatría</t>
  </si>
  <si>
    <t>ME Ginecología y Obstetricia</t>
  </si>
  <si>
    <t>ME Cirugía General</t>
  </si>
  <si>
    <t>ME Ortopedia</t>
  </si>
  <si>
    <t>ME Anestesia</t>
  </si>
  <si>
    <t>ME Medicina Crítica</t>
  </si>
  <si>
    <t>ME Psiquiatría</t>
  </si>
  <si>
    <t>ME Urología</t>
  </si>
  <si>
    <t>Otra Especialidad</t>
  </si>
  <si>
    <t>Odontólogo General</t>
  </si>
  <si>
    <t>COD.</t>
  </si>
  <si>
    <t>Enfermero profesional</t>
  </si>
  <si>
    <t xml:space="preserve">Psicólogo </t>
  </si>
  <si>
    <t>Nutricionista</t>
  </si>
  <si>
    <t>Fisiatra</t>
  </si>
  <si>
    <t>Cardiologo</t>
  </si>
  <si>
    <t>Neurocirujano</t>
  </si>
  <si>
    <t>Neurologo</t>
  </si>
  <si>
    <t>ME Familiar</t>
  </si>
  <si>
    <t>ME Oftalmología</t>
  </si>
  <si>
    <t>Otorrino</t>
  </si>
  <si>
    <t>Psiquiatra</t>
  </si>
  <si>
    <t>ME Gatroenterologo</t>
  </si>
  <si>
    <t>ME Internista</t>
  </si>
  <si>
    <t>ME Dermatología</t>
  </si>
  <si>
    <t>ME Otorrino</t>
  </si>
  <si>
    <t>Tecnologo RX</t>
  </si>
  <si>
    <t>ME Radiología</t>
  </si>
  <si>
    <t>Terp. Resp.</t>
  </si>
  <si>
    <t>Fisioterapeuta</t>
  </si>
  <si>
    <t>Fonoaudiologo</t>
  </si>
  <si>
    <t>Bacteriología</t>
  </si>
  <si>
    <t>Tripulación</t>
  </si>
  <si>
    <t>Escribir número que corresponda según listado bajo la matriz</t>
  </si>
  <si>
    <t>TENIENDO EN CUENTA QUE LOS MÉDICOS DE CUIDADO CRITICO SE APOYAN EN ESPECIALISTAS DE MEDICINA INTERNA Y CIRUGIA GENERAL PARA CUBRI LAS NOCHES</t>
  </si>
  <si>
    <t>Terapia Ocupacional</t>
  </si>
  <si>
    <t>Aux Enfermeria</t>
  </si>
  <si>
    <t>Profesional Enfermeria</t>
  </si>
  <si>
    <t>Domiciliaria</t>
  </si>
  <si>
    <t>Quimico Farmaceutico</t>
  </si>
  <si>
    <t>Regente</t>
  </si>
  <si>
    <t>Aux Farmacia</t>
  </si>
  <si>
    <t>TERAPIA OCUPACIONAL</t>
  </si>
  <si>
    <t>Cirujano Vascular</t>
  </si>
  <si>
    <t>demanda</t>
  </si>
  <si>
    <t>riesgos en la atención</t>
  </si>
  <si>
    <t xml:space="preserve"> Intramural, Ambulatorio</t>
  </si>
  <si>
    <t>CARDIOLOGÍA PEDIÁTRICA</t>
  </si>
  <si>
    <t>CIRUGÍA PLÁSTICA Y ESTÉTICA</t>
  </si>
  <si>
    <t>CIRUGIA VASCULAR</t>
  </si>
  <si>
    <t>CIRUGÍA VASCULAR Y ANGIOLÓGICA</t>
  </si>
  <si>
    <t>media</t>
  </si>
  <si>
    <t>media,alta</t>
  </si>
  <si>
    <t>sin complejidad</t>
  </si>
  <si>
    <t>ENFERMERÍA  (procedimientos menores)</t>
  </si>
  <si>
    <t>Profesional enfermería</t>
  </si>
  <si>
    <t>Odontólogo</t>
  </si>
  <si>
    <t>Psicólogo</t>
  </si>
  <si>
    <t>Med Fisiatra</t>
  </si>
  <si>
    <t>Med Neurólogo</t>
  </si>
  <si>
    <t>Med Neurocirujano</t>
  </si>
  <si>
    <t>Cirujano Plástico</t>
  </si>
  <si>
    <t>Med Cardiólogo Pediátrico</t>
  </si>
  <si>
    <t>Med Cardiólogo</t>
  </si>
  <si>
    <t>Med Familiar</t>
  </si>
  <si>
    <t>Med Oftalmologo</t>
  </si>
  <si>
    <t>Méd Otorrinolaringologo</t>
  </si>
  <si>
    <t>Med Anestesiólogo</t>
  </si>
  <si>
    <t>Cirujano General</t>
  </si>
  <si>
    <t>Med Gastroenterólogo</t>
  </si>
  <si>
    <t>Med Ginecología y Obstetricia</t>
  </si>
  <si>
    <t>Med Internista</t>
  </si>
  <si>
    <t>Med Ortopedista</t>
  </si>
  <si>
    <t>Med Pediatra</t>
  </si>
  <si>
    <t>Med Dermatólogo</t>
  </si>
  <si>
    <t>Med Urólogo</t>
  </si>
  <si>
    <t>Med esp cuidados paleativos - dolor</t>
  </si>
  <si>
    <t>Med Otorrinolaringologo</t>
  </si>
  <si>
    <t>Otra especialidad</t>
  </si>
  <si>
    <t>Aux enfermería</t>
  </si>
  <si>
    <t>Enfermero</t>
  </si>
  <si>
    <t>-</t>
  </si>
  <si>
    <t>Medico General</t>
  </si>
  <si>
    <t>Instrumentador</t>
  </si>
  <si>
    <t xml:space="preserve">Anestesiologo </t>
  </si>
  <si>
    <t>Radiologia (ocasional)</t>
  </si>
  <si>
    <t>Aux. Enfermeria</t>
  </si>
  <si>
    <t>Conductor</t>
  </si>
  <si>
    <t>Auxliar Enfermeria</t>
  </si>
  <si>
    <t xml:space="preserve">Higienista </t>
  </si>
  <si>
    <t xml:space="preserve">2 UNIDADES </t>
  </si>
  <si>
    <t xml:space="preserve">ENFERMERÍA  </t>
  </si>
  <si>
    <t>Sala de Procedimientos  MEDICINA FÍSICA Y REHABILITACIÓN</t>
  </si>
  <si>
    <t xml:space="preserve">Sala de Procedimientos  NEUROLOGÍA </t>
  </si>
  <si>
    <t>Sala de Procedmientos  OTORRINOLARINGOLOGÍA</t>
  </si>
  <si>
    <t>Sala de Procedmientos GASTROENTOROLOGÍA</t>
  </si>
  <si>
    <t xml:space="preserve">Sala de Procedimientos MEDICINA DEL DOLOR Y CUIDADOS PALEATIVOS </t>
  </si>
  <si>
    <t>Total de personal permitido por normativa</t>
  </si>
  <si>
    <t>Total de personal actual</t>
  </si>
  <si>
    <t>NÚMERO DE ESTUDIANTES ACTUALES</t>
  </si>
  <si>
    <t>SERVICIOS HABILITADOS</t>
  </si>
  <si>
    <t>NÚMERO DE ESTUDIANTES PERMITIDO POR NORMA (Por consultorio o unidad de trabajo)</t>
  </si>
  <si>
    <t xml:space="preserve">MEDICINA DEL DOLOR Y CUIDADOS PALiATIVOS </t>
  </si>
  <si>
    <t>2 residentes (de primera o segunda especialidad), en roles de observador, ayudante o incluso operador principal según el nivel de formación.
1 interno o estudiante de pregrado de medicina u odontología.
1 estudiante de enfermería.
1 estudiante de instrumentación quirúrgica (IQ).</t>
  </si>
  <si>
    <t>TIPO PERSONAL DE FORMACIÓN</t>
  </si>
  <si>
    <t>MÉDICO INTERNO</t>
  </si>
  <si>
    <t>ESTUDIANTE NUTRICIÓN</t>
  </si>
  <si>
    <t>NA</t>
  </si>
  <si>
    <t>MÉDICO RESIDENTE</t>
  </si>
  <si>
    <t xml:space="preserve"> MÉDICO INTERNO</t>
  </si>
  <si>
    <t>2 residentes (de primera o segunda especialidad), en roles de observador, ayudante o incluso operador principal según el nivel de formación.</t>
  </si>
  <si>
    <t>ESTUDIANTE REGENCIA FARMACIA</t>
  </si>
  <si>
    <t>Estudiantes de pregrado (no interno): Máximo un (1) estudiante por cada tres (3) camas.
Estudiantes de internado: Máximo un (1) interno por cada seis (6) camas.
Estudiante de especializaciones médicas y quirúrgicas (Residente): Máximo un (1) residente por cada
diez (10) camas para Medicina Interna, Cirugía General, Gineco-obstetricia, Pediatría y Ortopedia</t>
  </si>
  <si>
    <t xml:space="preserve"> (1) estudiante por cada tres (3) camas</t>
  </si>
  <si>
    <t>ENFERMERO INTERNO</t>
  </si>
  <si>
    <t>ESTUDIANTE BACTERIOLOGÍA</t>
  </si>
  <si>
    <t>ESTUDIANTE ENFERMERÍA</t>
  </si>
  <si>
    <t>INTERNO ENFERMERÍA</t>
  </si>
  <si>
    <t>ESTUDIANTE PSICOLOGÍA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</si>
</sst>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7">
    <numFmt numFmtId="41" formatCode="_-* #,##0_-;\-* #,##0_-;_-* &quot;-&quot;_-;_-@_-"/>
    <numFmt numFmtId="44" formatCode="_-&quot;$&quot;\ * #,##0.00_-;\-&quot;$&quot;\ * #,##0.00_-;_-&quot;$&quot;\ * &quot;-&quot;??_-;_-@_-"/>
    <numFmt numFmtId="43" formatCode="_-* #,##0.00_-;\-* #,##0.00_-;_-* &quot;-&quot;??_-;_-@_-"/>
    <numFmt numFmtId="164" formatCode="_-* #,##0_-;\-* #,##0_-;_-* &quot;-&quot;??_-;_-@_-"/>
    <numFmt numFmtId="165" formatCode="0.000"/>
    <numFmt numFmtId="166" formatCode="_(* #,##0_);_(* \(#,##0\);_(* &quot;-&quot;??_);_(@_)"/>
    <numFmt numFmtId="167" formatCode="_-&quot;$&quot;\ * #,##0_-;\-&quot;$&quot;\ * #,##0_-;_-&quot;$&quot;\ * &quot;-&quot;??_-;_-@_-"/>
  </numFmts>
  <fonts count="61" x14ac:knownFonts="1">
    <font>
      <sz val="11"/>
      <color theme="1"/>
      <name val="Calibri"/>
      <family val="2"/>
      <scheme val="minor"/>
    </font>
    <font>
      <sz val="11"/>
      <color theme="1"/>
      <name val="Century Gothic"/>
      <family val="2"/>
    </font>
    <font>
      <sz val="11"/>
      <color theme="1"/>
      <name val="Century Gothic"/>
      <family val="2"/>
    </font>
    <font>
      <sz val="11"/>
      <color rgb="FFFF0000"/>
      <name val="Calibri"/>
      <family val="2"/>
      <scheme val="minor"/>
    </font>
    <font>
      <b/>
      <sz val="12"/>
      <color theme="1"/>
      <name val="Calibri"/>
      <family val="2"/>
      <scheme val="minor"/>
    </font>
    <font>
      <sz val="11"/>
      <color theme="1"/>
      <name val="Calibri"/>
      <family val="2"/>
      <scheme val="minor"/>
    </font>
    <font>
      <b/>
      <sz val="11"/>
      <color theme="1"/>
      <name val="Calibri"/>
      <family val="2"/>
      <scheme val="minor"/>
    </font>
    <font>
      <sz val="11"/>
      <color theme="0"/>
      <name val="Calibri"/>
      <family val="2"/>
      <scheme val="minor"/>
    </font>
    <font>
      <sz val="20"/>
      <color theme="1"/>
      <name val="Calibri"/>
      <family val="2"/>
      <scheme val="minor"/>
    </font>
    <font>
      <sz val="10"/>
      <color theme="1"/>
      <name val="Arial"/>
      <family val="2"/>
    </font>
    <font>
      <sz val="9"/>
      <color theme="1"/>
      <name val="Arial"/>
      <family val="2"/>
    </font>
    <font>
      <sz val="14"/>
      <color theme="1"/>
      <name val="Calibri"/>
      <family val="2"/>
      <scheme val="minor"/>
    </font>
    <font>
      <b/>
      <sz val="28"/>
      <color theme="1"/>
      <name val="Calibri"/>
      <family val="2"/>
      <scheme val="minor"/>
    </font>
    <font>
      <sz val="26"/>
      <color theme="1"/>
      <name val="Calibri"/>
      <family val="2"/>
      <scheme val="minor"/>
    </font>
    <font>
      <b/>
      <sz val="10"/>
      <color theme="9" tint="-0.499984740745262"/>
      <name val="Arial"/>
      <family val="2"/>
    </font>
    <font>
      <sz val="10"/>
      <color rgb="FFFF0000"/>
      <name val="Arial"/>
      <family val="2"/>
    </font>
    <font>
      <b/>
      <sz val="8"/>
      <color theme="1"/>
      <name val="Arial"/>
      <family val="2"/>
    </font>
    <font>
      <b/>
      <sz val="9"/>
      <color theme="1"/>
      <name val="Calibri"/>
      <family val="2"/>
      <scheme val="minor"/>
    </font>
    <font>
      <sz val="8"/>
      <color theme="1"/>
      <name val="Arial"/>
      <family val="2"/>
    </font>
    <font>
      <sz val="9"/>
      <color theme="1"/>
      <name val="Calibri"/>
      <family val="2"/>
      <scheme val="minor"/>
    </font>
    <font>
      <sz val="9"/>
      <color rgb="FFFF0000"/>
      <name val="Calibri"/>
      <family val="2"/>
      <scheme val="minor"/>
    </font>
    <font>
      <sz val="8"/>
      <color rgb="FF000000"/>
      <name val="Arial"/>
      <family val="2"/>
    </font>
    <font>
      <b/>
      <sz val="8"/>
      <color rgb="FF000000"/>
      <name val="Arial"/>
      <family val="2"/>
    </font>
    <font>
      <i/>
      <sz val="8"/>
      <color theme="1"/>
      <name val="Arial"/>
      <family val="2"/>
    </font>
    <font>
      <b/>
      <sz val="10"/>
      <color theme="1"/>
      <name val="Arial"/>
      <family val="2"/>
    </font>
    <font>
      <sz val="10"/>
      <color theme="0"/>
      <name val="Arial"/>
      <family val="2"/>
    </font>
    <font>
      <sz val="9"/>
      <color theme="0"/>
      <name val="Calibri"/>
      <family val="2"/>
      <scheme val="minor"/>
    </font>
    <font>
      <b/>
      <sz val="9"/>
      <color theme="1"/>
      <name val="Arial"/>
      <family val="2"/>
    </font>
    <font>
      <b/>
      <sz val="9"/>
      <color rgb="FF000000"/>
      <name val="Arial"/>
      <family val="2"/>
    </font>
    <font>
      <sz val="10"/>
      <name val="Arial"/>
      <family val="2"/>
    </font>
    <font>
      <sz val="9"/>
      <color theme="1"/>
      <name val="Times New Roman"/>
      <family val="1"/>
    </font>
    <font>
      <i/>
      <sz val="11"/>
      <color theme="1"/>
      <name val="Calibri"/>
      <family val="2"/>
      <scheme val="minor"/>
    </font>
    <font>
      <sz val="9"/>
      <color rgb="FF000000"/>
      <name val="Arial"/>
      <family val="2"/>
    </font>
    <font>
      <b/>
      <sz val="10"/>
      <color rgb="FFFF0000"/>
      <name val="Arial"/>
      <family val="2"/>
    </font>
    <font>
      <sz val="11"/>
      <color rgb="FFFFFF00"/>
      <name val="Calibri"/>
      <family val="2"/>
      <scheme val="minor"/>
    </font>
    <font>
      <sz val="10"/>
      <color theme="1"/>
      <name val="Calibri"/>
      <family val="2"/>
      <scheme val="minor"/>
    </font>
    <font>
      <b/>
      <sz val="8"/>
      <color rgb="FF000000"/>
      <name val="Calibri"/>
      <family val="2"/>
      <scheme val="minor"/>
    </font>
    <font>
      <sz val="8"/>
      <color rgb="FF000000"/>
      <name val="Calibri"/>
      <family val="2"/>
      <scheme val="minor"/>
    </font>
    <font>
      <sz val="10"/>
      <color rgb="FF000000"/>
      <name val="Calibri"/>
      <family val="2"/>
      <scheme val="minor"/>
    </font>
    <font>
      <b/>
      <i/>
      <sz val="8"/>
      <color theme="1"/>
      <name val="Arial"/>
      <family val="2"/>
    </font>
    <font>
      <sz val="11"/>
      <name val="Calibri"/>
      <family val="2"/>
      <scheme val="minor"/>
    </font>
    <font>
      <b/>
      <sz val="10"/>
      <color rgb="FF000000"/>
      <name val="Arial"/>
      <family val="2"/>
    </font>
    <font>
      <b/>
      <sz val="10"/>
      <color theme="1"/>
      <name val="Calibri"/>
      <family val="2"/>
      <scheme val="minor"/>
    </font>
    <font>
      <sz val="10"/>
      <color rgb="FF000000"/>
      <name val="Arial"/>
      <family val="2"/>
    </font>
    <font>
      <sz val="12"/>
      <color theme="1"/>
      <name val="Calibri"/>
      <family val="2"/>
      <scheme val="minor"/>
    </font>
    <font>
      <b/>
      <sz val="8"/>
      <name val="Arial"/>
      <family val="2"/>
    </font>
    <font>
      <sz val="12"/>
      <color rgb="FF000000"/>
      <name val="Calibri"/>
      <family val="2"/>
      <scheme val="minor"/>
    </font>
    <font>
      <b/>
      <sz val="12"/>
      <color rgb="FF000000"/>
      <name val="Calibri"/>
      <family val="2"/>
      <scheme val="minor"/>
    </font>
    <font>
      <b/>
      <sz val="8"/>
      <color theme="1"/>
      <name val="Calibri"/>
      <family val="2"/>
      <scheme val="minor"/>
    </font>
    <font>
      <sz val="10"/>
      <color theme="6" tint="-0.249977111117893"/>
      <name val="Arial"/>
      <family val="2"/>
    </font>
    <font>
      <b/>
      <sz val="9"/>
      <color indexed="81"/>
      <name val="Tahoma"/>
      <family val="2"/>
    </font>
    <font>
      <sz val="9"/>
      <color indexed="81"/>
      <name val="Tahoma"/>
      <family val="2"/>
    </font>
    <font>
      <sz val="11"/>
      <color theme="1"/>
      <name val="Century Gothic"/>
      <family val="2"/>
    </font>
    <font>
      <b/>
      <sz val="11"/>
      <name val="Century Gothic"/>
      <family val="2"/>
    </font>
    <font>
      <b/>
      <sz val="12"/>
      <color theme="1"/>
      <name val="Century Gothic"/>
      <family val="2"/>
    </font>
    <font>
      <b/>
      <sz val="16"/>
      <color theme="1"/>
      <name val="Century Gothic"/>
      <family val="2"/>
    </font>
    <font>
      <b/>
      <sz val="14"/>
      <color theme="1"/>
      <name val="Century Gothic"/>
      <family val="2"/>
    </font>
    <font>
      <b/>
      <sz val="8"/>
      <color theme="1"/>
      <name val="Century Gothic"/>
      <family val="2"/>
    </font>
    <font>
      <sz val="11"/>
      <color rgb="FF222222"/>
      <name val="Arial"/>
      <family val="2"/>
    </font>
    <font>
      <sz val="11"/>
      <name val="Century Gothic"/>
      <family val="2"/>
    </font>
    <font>
      <sz val="11"/>
      <color rgb="FFFF0000"/>
      <name val="Century Gothic"/>
      <family val="2"/>
    </font>
  </fonts>
  <fills count="22">
    <fill>
      <patternFill patternType="none"/>
    </fill>
    <fill>
      <patternFill patternType="gray125"/>
    </fill>
    <fill>
      <patternFill patternType="solid">
        <fgColor theme="9" tint="0.79998168889431442"/>
        <bgColor indexed="64"/>
      </patternFill>
    </fill>
    <fill>
      <patternFill patternType="solid">
        <fgColor rgb="FF92D050"/>
        <bgColor indexed="64"/>
      </patternFill>
    </fill>
    <fill>
      <patternFill patternType="solid">
        <fgColor theme="5" tint="0.39997558519241921"/>
        <bgColor indexed="64"/>
      </patternFill>
    </fill>
    <fill>
      <patternFill patternType="solid">
        <fgColor rgb="FFFFC000"/>
        <bgColor indexed="64"/>
      </patternFill>
    </fill>
    <fill>
      <patternFill patternType="solid">
        <fgColor theme="0"/>
        <bgColor indexed="64"/>
      </patternFill>
    </fill>
    <fill>
      <patternFill patternType="solid">
        <fgColor rgb="FF66FFFF"/>
        <bgColor indexed="64"/>
      </patternFill>
    </fill>
    <fill>
      <patternFill patternType="solid">
        <fgColor theme="0" tint="-0.14999847407452621"/>
        <bgColor indexed="64"/>
      </patternFill>
    </fill>
    <fill>
      <patternFill patternType="solid">
        <fgColor rgb="FF8AA7E2"/>
        <bgColor indexed="64"/>
      </patternFill>
    </fill>
    <fill>
      <patternFill patternType="solid">
        <fgColor rgb="FFFFFF00"/>
        <bgColor indexed="64"/>
      </patternFill>
    </fill>
    <fill>
      <patternFill patternType="solid">
        <fgColor theme="5" tint="0.59999389629810485"/>
        <bgColor indexed="64"/>
      </patternFill>
    </fill>
    <fill>
      <patternFill patternType="solid">
        <fgColor theme="9" tint="0.39997558519241921"/>
        <bgColor indexed="64"/>
      </patternFill>
    </fill>
    <fill>
      <patternFill patternType="solid">
        <fgColor theme="2"/>
        <bgColor indexed="64"/>
      </patternFill>
    </fill>
    <fill>
      <patternFill patternType="solid">
        <fgColor rgb="FF00B0F0"/>
        <bgColor indexed="64"/>
      </patternFill>
    </fill>
    <fill>
      <patternFill patternType="solid">
        <fgColor rgb="FFFFFFFF"/>
        <bgColor indexed="64"/>
      </patternFill>
    </fill>
    <fill>
      <patternFill patternType="solid">
        <fgColor theme="4" tint="0.39997558519241921"/>
        <bgColor indexed="64"/>
      </patternFill>
    </fill>
    <fill>
      <patternFill patternType="solid">
        <fgColor theme="7" tint="0.59999389629810485"/>
        <bgColor indexed="64"/>
      </patternFill>
    </fill>
    <fill>
      <patternFill patternType="solid">
        <fgColor theme="9" tint="0.59999389629810485"/>
        <bgColor indexed="64"/>
      </patternFill>
    </fill>
    <fill>
      <patternFill patternType="solid">
        <fgColor theme="8" tint="0.59999389629810485"/>
        <bgColor indexed="64"/>
      </patternFill>
    </fill>
    <fill>
      <patternFill patternType="solid">
        <fgColor rgb="FFFF0000"/>
        <bgColor indexed="64"/>
      </patternFill>
    </fill>
    <fill>
      <patternFill patternType="solid">
        <fgColor theme="7" tint="0.39997558519241921"/>
        <bgColor indexed="64"/>
      </patternFill>
    </fill>
  </fills>
  <borders count="51">
    <border>
      <left/>
      <right/>
      <top/>
      <bottom/>
      <diagonal/>
    </border>
    <border>
      <left style="thin">
        <color indexed="64"/>
      </left>
      <right style="thin">
        <color indexed="64"/>
      </right>
      <top style="thin">
        <color indexed="64"/>
      </top>
      <bottom style="thin">
        <color indexed="64"/>
      </bottom>
      <diagonal/>
    </border>
    <border>
      <left style="medium">
        <color indexed="64"/>
      </left>
      <right style="medium">
        <color indexed="64"/>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style="medium">
        <color indexed="64"/>
      </right>
      <top/>
      <bottom/>
      <diagonal/>
    </border>
    <border>
      <left/>
      <right style="medium">
        <color indexed="64"/>
      </right>
      <top/>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medium">
        <color indexed="64"/>
      </right>
      <top style="medium">
        <color indexed="64"/>
      </top>
      <bottom style="medium">
        <color indexed="64"/>
      </bottom>
      <diagonal/>
    </border>
    <border>
      <left style="medium">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medium">
        <color indexed="64"/>
      </left>
      <right style="medium">
        <color indexed="64"/>
      </right>
      <top style="thin">
        <color indexed="64"/>
      </top>
      <bottom style="thin">
        <color indexed="64"/>
      </bottom>
      <diagonal/>
    </border>
    <border>
      <left style="medium">
        <color indexed="64"/>
      </left>
      <right style="medium">
        <color indexed="64"/>
      </right>
      <top/>
      <bottom style="thin">
        <color indexed="64"/>
      </bottom>
      <diagonal/>
    </border>
    <border>
      <left style="medium">
        <color indexed="64"/>
      </left>
      <right/>
      <top style="medium">
        <color indexed="64"/>
      </top>
      <bottom/>
      <diagonal/>
    </border>
    <border>
      <left style="medium">
        <color indexed="64"/>
      </left>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medium">
        <color indexed="64"/>
      </left>
      <right style="thin">
        <color indexed="64"/>
      </right>
      <top style="thin">
        <color indexed="64"/>
      </top>
      <bottom style="medium">
        <color indexed="64"/>
      </bottom>
      <diagonal/>
    </border>
    <border>
      <left style="thin">
        <color indexed="64"/>
      </left>
      <right/>
      <top style="thin">
        <color indexed="64"/>
      </top>
      <bottom style="medium">
        <color indexed="64"/>
      </bottom>
      <diagonal/>
    </border>
    <border>
      <left style="medium">
        <color indexed="64"/>
      </left>
      <right style="medium">
        <color indexed="64"/>
      </right>
      <top style="thin">
        <color indexed="64"/>
      </top>
      <bottom style="medium">
        <color indexed="64"/>
      </bottom>
      <diagonal/>
    </border>
    <border>
      <left/>
      <right style="thin">
        <color indexed="64"/>
      </right>
      <top style="medium">
        <color indexed="64"/>
      </top>
      <bottom style="medium">
        <color indexed="64"/>
      </bottom>
      <diagonal/>
    </border>
    <border>
      <left style="thin">
        <color indexed="64"/>
      </left>
      <right/>
      <top style="medium">
        <color indexed="64"/>
      </top>
      <bottom style="medium">
        <color indexed="64"/>
      </bottom>
      <diagonal/>
    </border>
    <border>
      <left style="medium">
        <color indexed="64"/>
      </left>
      <right style="medium">
        <color indexed="64"/>
      </right>
      <top/>
      <bottom style="medium">
        <color indexed="64"/>
      </bottom>
      <diagonal/>
    </border>
    <border>
      <left style="medium">
        <color indexed="64"/>
      </left>
      <right style="medium">
        <color indexed="64"/>
      </right>
      <top style="medium">
        <color indexed="64"/>
      </top>
      <bottom style="thin">
        <color indexed="64"/>
      </bottom>
      <diagonal/>
    </border>
    <border>
      <left style="thin">
        <color indexed="64"/>
      </left>
      <right style="medium">
        <color indexed="64"/>
      </right>
      <top style="thin">
        <color indexed="64"/>
      </top>
      <bottom style="thin">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thin">
        <color indexed="64"/>
      </left>
      <right style="medium">
        <color indexed="64"/>
      </right>
      <top style="medium">
        <color indexed="64"/>
      </top>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right/>
      <top style="thin">
        <color indexed="64"/>
      </top>
      <bottom/>
      <diagonal/>
    </border>
    <border>
      <left/>
      <right/>
      <top style="thin">
        <color indexed="64"/>
      </top>
      <bottom style="medium">
        <color indexed="64"/>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style="medium">
        <color indexed="64"/>
      </left>
      <right style="thin">
        <color indexed="64"/>
      </right>
      <top style="thin">
        <color indexed="64"/>
      </top>
      <bottom/>
      <diagonal/>
    </border>
    <border>
      <left style="thin">
        <color indexed="64"/>
      </left>
      <right style="thin">
        <color indexed="64"/>
      </right>
      <top style="thin">
        <color indexed="64"/>
      </top>
      <bottom/>
      <diagonal/>
    </border>
    <border>
      <left/>
      <right style="thin">
        <color indexed="64"/>
      </right>
      <top style="thin">
        <color indexed="64"/>
      </top>
      <bottom style="medium">
        <color indexed="64"/>
      </bottom>
      <diagonal/>
    </border>
    <border>
      <left/>
      <right style="thin">
        <color indexed="64"/>
      </right>
      <top style="medium">
        <color indexed="64"/>
      </top>
      <bottom style="thin">
        <color indexed="64"/>
      </bottom>
      <diagonal/>
    </border>
    <border>
      <left style="medium">
        <color indexed="64"/>
      </left>
      <right/>
      <top style="medium">
        <color indexed="64"/>
      </top>
      <bottom style="thin">
        <color indexed="64"/>
      </bottom>
      <diagonal/>
    </border>
    <border>
      <left/>
      <right style="medium">
        <color indexed="64"/>
      </right>
      <top style="medium">
        <color indexed="64"/>
      </top>
      <bottom style="thin">
        <color indexed="64"/>
      </bottom>
      <diagonal/>
    </border>
    <border>
      <left style="medium">
        <color indexed="64"/>
      </left>
      <right/>
      <top style="thin">
        <color indexed="64"/>
      </top>
      <bottom style="thin">
        <color indexed="64"/>
      </bottom>
      <diagonal/>
    </border>
    <border>
      <left/>
      <right style="medium">
        <color indexed="64"/>
      </right>
      <top style="thin">
        <color indexed="64"/>
      </top>
      <bottom style="thin">
        <color indexed="64"/>
      </bottom>
      <diagonal/>
    </border>
    <border>
      <left style="medium">
        <color indexed="64"/>
      </left>
      <right/>
      <top style="thin">
        <color indexed="64"/>
      </top>
      <bottom style="medium">
        <color indexed="64"/>
      </bottom>
      <diagonal/>
    </border>
    <border>
      <left/>
      <right style="medium">
        <color indexed="64"/>
      </right>
      <top style="thin">
        <color indexed="64"/>
      </top>
      <bottom style="medium">
        <color indexed="64"/>
      </bottom>
      <diagonal/>
    </border>
    <border>
      <left style="thin">
        <color indexed="64"/>
      </left>
      <right style="medium">
        <color indexed="64"/>
      </right>
      <top/>
      <bottom style="medium">
        <color indexed="64"/>
      </bottom>
      <diagonal/>
    </border>
    <border>
      <left style="medium">
        <color indexed="64"/>
      </left>
      <right style="thin">
        <color indexed="64"/>
      </right>
      <top/>
      <bottom style="thin">
        <color indexed="64"/>
      </bottom>
      <diagonal/>
    </border>
    <border>
      <left style="thin">
        <color indexed="64"/>
      </left>
      <right style="medium">
        <color indexed="64"/>
      </right>
      <top/>
      <bottom style="thin">
        <color indexed="64"/>
      </bottom>
      <diagonal/>
    </border>
    <border>
      <left style="thin">
        <color indexed="64"/>
      </left>
      <right/>
      <top/>
      <bottom style="thin">
        <color indexed="64"/>
      </bottom>
      <diagonal/>
    </border>
  </borders>
  <cellStyleXfs count="6">
    <xf numFmtId="0" fontId="0" fillId="0" borderId="0"/>
    <xf numFmtId="43" fontId="5" fillId="0" borderId="0" applyFont="0" applyFill="0" applyBorder="0" applyAlignment="0" applyProtection="0"/>
    <xf numFmtId="9" fontId="5" fillId="0" borderId="0" applyFont="0" applyFill="0" applyBorder="0" applyAlignment="0" applyProtection="0"/>
    <xf numFmtId="43" fontId="5" fillId="0" borderId="0" applyFont="0" applyFill="0" applyBorder="0" applyAlignment="0" applyProtection="0"/>
    <xf numFmtId="43" fontId="29" fillId="0" borderId="0" applyFont="0" applyFill="0" applyBorder="0" applyAlignment="0" applyProtection="0"/>
    <xf numFmtId="44" fontId="5" fillId="0" borderId="0" applyFont="0" applyFill="0" applyBorder="0" applyAlignment="0" applyProtection="0"/>
  </cellStyleXfs>
  <cellXfs count="600">
    <xf numFmtId="0" fontId="0" fillId="0" borderId="0" xfId="0"/>
    <xf numFmtId="0" fontId="0" fillId="0" borderId="1" xfId="0" applyBorder="1"/>
    <xf numFmtId="0" fontId="0" fillId="0" borderId="1" xfId="0" applyBorder="1" applyAlignment="1">
      <alignment wrapText="1"/>
    </xf>
    <xf numFmtId="0" fontId="0" fillId="0" borderId="1" xfId="0" applyBorder="1" applyAlignment="1">
      <alignment horizontal="left" vertical="center"/>
    </xf>
    <xf numFmtId="0" fontId="0" fillId="0" borderId="2" xfId="0" applyBorder="1"/>
    <xf numFmtId="0" fontId="0" fillId="0" borderId="3" xfId="0" applyBorder="1"/>
    <xf numFmtId="0" fontId="0" fillId="0" borderId="4" xfId="0" applyBorder="1"/>
    <xf numFmtId="0" fontId="8" fillId="0" borderId="5" xfId="0" applyFont="1" applyBorder="1"/>
    <xf numFmtId="0" fontId="9" fillId="0" borderId="0" xfId="0" applyFont="1" applyAlignment="1">
      <alignment vertical="center" wrapText="1"/>
    </xf>
    <xf numFmtId="0" fontId="0" fillId="0" borderId="6" xfId="0" applyBorder="1"/>
    <xf numFmtId="0" fontId="9" fillId="0" borderId="0" xfId="0" applyFont="1" applyAlignment="1">
      <alignment horizontal="left" vertical="center"/>
    </xf>
    <xf numFmtId="43" fontId="10" fillId="0" borderId="0" xfId="3" applyFont="1" applyFill="1" applyBorder="1" applyAlignment="1">
      <alignment horizontal="left" vertical="center" wrapText="1"/>
    </xf>
    <xf numFmtId="164" fontId="0" fillId="0" borderId="0" xfId="3" applyNumberFormat="1" applyFont="1" applyFill="1" applyBorder="1"/>
    <xf numFmtId="0" fontId="0" fillId="0" borderId="5" xfId="0" applyBorder="1"/>
    <xf numFmtId="0" fontId="6" fillId="0" borderId="3" xfId="0" applyFont="1" applyBorder="1"/>
    <xf numFmtId="43" fontId="10" fillId="0" borderId="3" xfId="3" applyFont="1" applyFill="1" applyBorder="1" applyAlignment="1">
      <alignment horizontal="left" vertical="center" wrapText="1"/>
    </xf>
    <xf numFmtId="0" fontId="15" fillId="0" borderId="0" xfId="0" applyFont="1" applyAlignment="1">
      <alignment horizontal="left" vertical="top" wrapText="1"/>
    </xf>
    <xf numFmtId="0" fontId="9" fillId="0" borderId="0" xfId="0" applyFont="1" applyAlignment="1">
      <alignment vertical="top"/>
    </xf>
    <xf numFmtId="0" fontId="9" fillId="0" borderId="0" xfId="2" applyNumberFormat="1" applyFont="1" applyBorder="1" applyAlignment="1">
      <alignment horizontal="left" vertical="top" wrapText="1"/>
    </xf>
    <xf numFmtId="164" fontId="0" fillId="0" borderId="0" xfId="0" applyNumberFormat="1"/>
    <xf numFmtId="0" fontId="16" fillId="9" borderId="7" xfId="0" applyFont="1" applyFill="1" applyBorder="1" applyAlignment="1">
      <alignment horizontal="center" vertical="center"/>
    </xf>
    <xf numFmtId="43" fontId="17" fillId="9" borderId="8" xfId="3" applyFont="1" applyFill="1" applyBorder="1" applyAlignment="1">
      <alignment horizontal="center" vertical="center" wrapText="1"/>
    </xf>
    <xf numFmtId="43" fontId="17" fillId="9" borderId="9" xfId="3" applyFont="1" applyFill="1" applyBorder="1" applyAlignment="1">
      <alignment horizontal="center" vertical="center"/>
    </xf>
    <xf numFmtId="43" fontId="17" fillId="9" borderId="10" xfId="3" applyFont="1" applyFill="1" applyBorder="1" applyAlignment="1">
      <alignment horizontal="center" vertical="center"/>
    </xf>
    <xf numFmtId="9" fontId="0" fillId="0" borderId="0" xfId="2" applyFont="1"/>
    <xf numFmtId="0" fontId="0" fillId="9" borderId="0" xfId="0" applyFill="1"/>
    <xf numFmtId="0" fontId="0" fillId="10" borderId="0" xfId="0" applyFill="1"/>
    <xf numFmtId="1" fontId="0" fillId="9" borderId="0" xfId="0" applyNumberFormat="1" applyFill="1"/>
    <xf numFmtId="1" fontId="0" fillId="0" borderId="0" xfId="0" applyNumberFormat="1"/>
    <xf numFmtId="0" fontId="18" fillId="0" borderId="11" xfId="0" applyFont="1" applyBorder="1" applyAlignment="1">
      <alignment vertical="center"/>
    </xf>
    <xf numFmtId="164" fontId="19" fillId="11" borderId="12" xfId="3" applyNumberFormat="1" applyFont="1" applyFill="1" applyBorder="1"/>
    <xf numFmtId="164" fontId="19" fillId="0" borderId="12" xfId="3" applyNumberFormat="1" applyFont="1" applyFill="1" applyBorder="1"/>
    <xf numFmtId="43" fontId="19" fillId="0" borderId="13" xfId="3" applyFont="1" applyFill="1" applyBorder="1"/>
    <xf numFmtId="164" fontId="20" fillId="12" borderId="14" xfId="3" applyNumberFormat="1" applyFont="1" applyFill="1" applyBorder="1"/>
    <xf numFmtId="0" fontId="0" fillId="0" borderId="15" xfId="0" applyBorder="1"/>
    <xf numFmtId="43" fontId="0" fillId="0" borderId="3" xfId="1" applyFont="1" applyBorder="1"/>
    <xf numFmtId="164" fontId="0" fillId="0" borderId="3" xfId="0" applyNumberFormat="1" applyBorder="1"/>
    <xf numFmtId="0" fontId="0" fillId="0" borderId="16" xfId="0" applyBorder="1"/>
    <xf numFmtId="164" fontId="0" fillId="0" borderId="0" xfId="1" applyNumberFormat="1" applyFont="1" applyBorder="1"/>
    <xf numFmtId="164" fontId="0" fillId="0" borderId="6" xfId="1" applyNumberFormat="1" applyFont="1" applyBorder="1"/>
    <xf numFmtId="43" fontId="0" fillId="0" borderId="0" xfId="0" applyNumberFormat="1"/>
    <xf numFmtId="164" fontId="0" fillId="10" borderId="0" xfId="1" applyNumberFormat="1" applyFont="1" applyFill="1" applyBorder="1"/>
    <xf numFmtId="165" fontId="0" fillId="0" borderId="6" xfId="0" applyNumberFormat="1" applyBorder="1"/>
    <xf numFmtId="164" fontId="20" fillId="13" borderId="14" xfId="3" applyNumberFormat="1" applyFont="1" applyFill="1" applyBorder="1"/>
    <xf numFmtId="164" fontId="0" fillId="0" borderId="6" xfId="3" applyNumberFormat="1" applyFont="1" applyBorder="1"/>
    <xf numFmtId="0" fontId="18" fillId="0" borderId="11" xfId="0" applyFont="1" applyBorder="1" applyAlignment="1">
      <alignment vertical="center" wrapText="1"/>
    </xf>
    <xf numFmtId="164" fontId="19" fillId="0" borderId="13" xfId="3" applyNumberFormat="1" applyFont="1" applyFill="1" applyBorder="1"/>
    <xf numFmtId="43" fontId="19" fillId="0" borderId="12" xfId="3" applyFont="1" applyFill="1" applyBorder="1"/>
    <xf numFmtId="0" fontId="0" fillId="0" borderId="0" xfId="0" applyAlignment="1">
      <alignment horizontal="right"/>
    </xf>
    <xf numFmtId="0" fontId="21" fillId="0" borderId="11" xfId="0" applyFont="1" applyBorder="1" applyAlignment="1">
      <alignment vertical="center"/>
    </xf>
    <xf numFmtId="164" fontId="0" fillId="7" borderId="15" xfId="3" applyNumberFormat="1" applyFont="1" applyFill="1" applyBorder="1" applyAlignment="1">
      <alignment horizontal="right"/>
    </xf>
    <xf numFmtId="1" fontId="0" fillId="7" borderId="4" xfId="0" applyNumberFormat="1" applyFill="1" applyBorder="1"/>
    <xf numFmtId="0" fontId="0" fillId="0" borderId="17" xfId="0" applyBorder="1"/>
    <xf numFmtId="0" fontId="0" fillId="0" borderId="18" xfId="0" applyBorder="1"/>
    <xf numFmtId="9" fontId="0" fillId="0" borderId="18" xfId="2" applyFont="1" applyBorder="1"/>
    <xf numFmtId="0" fontId="0" fillId="0" borderId="19" xfId="0" applyBorder="1"/>
    <xf numFmtId="0" fontId="21" fillId="0" borderId="20" xfId="0" applyFont="1" applyBorder="1" applyAlignment="1">
      <alignment vertical="center"/>
    </xf>
    <xf numFmtId="43" fontId="19" fillId="0" borderId="21" xfId="3" applyFont="1" applyFill="1" applyBorder="1"/>
    <xf numFmtId="164" fontId="19" fillId="0" borderId="21" xfId="3" applyNumberFormat="1" applyFont="1" applyFill="1" applyBorder="1"/>
    <xf numFmtId="43" fontId="19" fillId="0" borderId="22" xfId="3" applyFont="1" applyFill="1" applyBorder="1"/>
    <xf numFmtId="164" fontId="0" fillId="7" borderId="16" xfId="3" applyNumberFormat="1" applyFont="1" applyFill="1" applyBorder="1" applyAlignment="1">
      <alignment horizontal="right"/>
    </xf>
    <xf numFmtId="1" fontId="0" fillId="7" borderId="6" xfId="1" applyNumberFormat="1" applyFont="1" applyFill="1" applyBorder="1"/>
    <xf numFmtId="0" fontId="22" fillId="0" borderId="23" xfId="0" applyFont="1" applyBorder="1" applyAlignment="1">
      <alignment vertical="center"/>
    </xf>
    <xf numFmtId="43" fontId="19" fillId="0" borderId="24" xfId="3" applyFont="1" applyFill="1" applyBorder="1"/>
    <xf numFmtId="164" fontId="19" fillId="0" borderId="24" xfId="3" applyNumberFormat="1" applyFont="1" applyFill="1" applyBorder="1"/>
    <xf numFmtId="43" fontId="19" fillId="0" borderId="10" xfId="3" applyFont="1" applyFill="1" applyBorder="1"/>
    <xf numFmtId="164" fontId="20" fillId="0" borderId="10" xfId="3" applyNumberFormat="1" applyFont="1" applyFill="1" applyBorder="1"/>
    <xf numFmtId="0" fontId="0" fillId="7" borderId="17" xfId="0" applyFill="1" applyBorder="1"/>
    <xf numFmtId="0" fontId="0" fillId="7" borderId="19" xfId="0" applyFill="1" applyBorder="1"/>
    <xf numFmtId="43" fontId="0" fillId="0" borderId="0" xfId="1" applyFont="1"/>
    <xf numFmtId="1" fontId="0" fillId="10" borderId="0" xfId="0" applyNumberFormat="1" applyFill="1"/>
    <xf numFmtId="43" fontId="0" fillId="0" borderId="0" xfId="1" applyFont="1" applyBorder="1"/>
    <xf numFmtId="1" fontId="0" fillId="0" borderId="6" xfId="0" applyNumberFormat="1" applyBorder="1"/>
    <xf numFmtId="0" fontId="23" fillId="0" borderId="18" xfId="0" applyFont="1" applyBorder="1"/>
    <xf numFmtId="0" fontId="0" fillId="10" borderId="18" xfId="0" applyFill="1" applyBorder="1"/>
    <xf numFmtId="0" fontId="0" fillId="10" borderId="19" xfId="0" applyFill="1" applyBorder="1"/>
    <xf numFmtId="0" fontId="24" fillId="0" borderId="0" xfId="0" applyFont="1"/>
    <xf numFmtId="9" fontId="0" fillId="0" borderId="0" xfId="0" applyNumberFormat="1"/>
    <xf numFmtId="0" fontId="9" fillId="0" borderId="0" xfId="0" applyFont="1" applyAlignment="1">
      <alignment horizontal="left" vertical="center" wrapText="1"/>
    </xf>
    <xf numFmtId="164" fontId="0" fillId="0" borderId="0" xfId="1" applyNumberFormat="1" applyFont="1"/>
    <xf numFmtId="0" fontId="25" fillId="0" borderId="0" xfId="0" applyFont="1" applyAlignment="1">
      <alignment horizontal="left" vertical="center"/>
    </xf>
    <xf numFmtId="9" fontId="26" fillId="0" borderId="0" xfId="3" applyNumberFormat="1" applyFont="1" applyBorder="1" applyAlignment="1">
      <alignment horizontal="left" wrapText="1"/>
    </xf>
    <xf numFmtId="43" fontId="10" fillId="7" borderId="0" xfId="3" applyFont="1" applyFill="1" applyBorder="1" applyAlignment="1">
      <alignment horizontal="right" vertical="center"/>
    </xf>
    <xf numFmtId="164" fontId="7" fillId="0" borderId="6" xfId="0" applyNumberFormat="1" applyFont="1" applyBorder="1"/>
    <xf numFmtId="0" fontId="7" fillId="0" borderId="0" xfId="0" applyFont="1"/>
    <xf numFmtId="43" fontId="7" fillId="0" borderId="0" xfId="0" applyNumberFormat="1" applyFont="1"/>
    <xf numFmtId="1" fontId="7" fillId="0" borderId="0" xfId="0" applyNumberFormat="1" applyFont="1"/>
    <xf numFmtId="0" fontId="27" fillId="0" borderId="7" xfId="0" applyFont="1" applyBorder="1" applyAlignment="1">
      <alignment vertical="center" wrapText="1"/>
    </xf>
    <xf numFmtId="0" fontId="0" fillId="0" borderId="0" xfId="0" applyAlignment="1">
      <alignment wrapText="1"/>
    </xf>
    <xf numFmtId="43" fontId="17" fillId="9" borderId="26" xfId="3" applyFont="1" applyFill="1" applyBorder="1" applyAlignment="1">
      <alignment horizontal="center" vertical="center"/>
    </xf>
    <xf numFmtId="164" fontId="0" fillId="7" borderId="2" xfId="3" applyNumberFormat="1" applyFont="1" applyFill="1" applyBorder="1"/>
    <xf numFmtId="0" fontId="10" fillId="0" borderId="11" xfId="0" applyFont="1" applyBorder="1" applyAlignment="1">
      <alignment vertical="center" wrapText="1"/>
    </xf>
    <xf numFmtId="43" fontId="10" fillId="0" borderId="1" xfId="3" applyFont="1" applyFill="1" applyBorder="1" applyAlignment="1">
      <alignment horizontal="right" vertical="center"/>
    </xf>
    <xf numFmtId="43" fontId="10" fillId="0" borderId="27" xfId="3" applyFont="1" applyFill="1" applyBorder="1" applyAlignment="1">
      <alignment horizontal="right" vertical="center"/>
    </xf>
    <xf numFmtId="164" fontId="0" fillId="7" borderId="5" xfId="3" applyNumberFormat="1" applyFont="1" applyFill="1" applyBorder="1"/>
    <xf numFmtId="164" fontId="0" fillId="0" borderId="6" xfId="3" applyNumberFormat="1" applyFont="1" applyFill="1" applyBorder="1"/>
    <xf numFmtId="0" fontId="28" fillId="0" borderId="20" xfId="0" applyFont="1" applyBorder="1" applyAlignment="1">
      <alignment vertical="center" wrapText="1"/>
    </xf>
    <xf numFmtId="43" fontId="10" fillId="0" borderId="28" xfId="3" applyFont="1" applyFill="1" applyBorder="1" applyAlignment="1">
      <alignment horizontal="right" vertical="center"/>
    </xf>
    <xf numFmtId="43" fontId="10" fillId="0" borderId="29" xfId="3" applyFont="1" applyFill="1" applyBorder="1" applyAlignment="1">
      <alignment horizontal="right" vertical="center"/>
    </xf>
    <xf numFmtId="43" fontId="10" fillId="0" borderId="22" xfId="3" applyFont="1" applyFill="1" applyBorder="1" applyAlignment="1"/>
    <xf numFmtId="164" fontId="10" fillId="7" borderId="25" xfId="3" applyNumberFormat="1" applyFont="1" applyFill="1" applyBorder="1" applyAlignment="1">
      <alignment horizontal="right" vertical="center"/>
    </xf>
    <xf numFmtId="0" fontId="23" fillId="0" borderId="18" xfId="0" applyFont="1" applyBorder="1" applyAlignment="1">
      <alignment horizontal="justify" vertical="center"/>
    </xf>
    <xf numFmtId="43" fontId="0" fillId="0" borderId="18" xfId="0" applyNumberFormat="1" applyBorder="1"/>
    <xf numFmtId="43" fontId="0" fillId="0" borderId="18" xfId="3" applyFont="1" applyFill="1" applyBorder="1"/>
    <xf numFmtId="43" fontId="0" fillId="0" borderId="3" xfId="0" applyNumberFormat="1" applyBorder="1"/>
    <xf numFmtId="0" fontId="29" fillId="0" borderId="0" xfId="0" applyFont="1" applyAlignment="1">
      <alignment horizontal="left" vertical="center" wrapText="1"/>
    </xf>
    <xf numFmtId="0" fontId="15" fillId="0" borderId="0" xfId="0" applyFont="1" applyAlignment="1">
      <alignment horizontal="left" vertical="center" wrapText="1"/>
    </xf>
    <xf numFmtId="164" fontId="0" fillId="0" borderId="6" xfId="0" applyNumberFormat="1" applyBorder="1"/>
    <xf numFmtId="0" fontId="15" fillId="0" borderId="0" xfId="0" applyFont="1" applyAlignment="1">
      <alignment horizontal="justify" vertical="center"/>
    </xf>
    <xf numFmtId="43" fontId="0" fillId="0" borderId="6" xfId="0" applyNumberFormat="1" applyBorder="1"/>
    <xf numFmtId="0" fontId="9" fillId="0" borderId="1" xfId="0" applyFont="1" applyBorder="1" applyAlignment="1">
      <alignment horizontal="justify" vertical="center"/>
    </xf>
    <xf numFmtId="164" fontId="0" fillId="0" borderId="1" xfId="0" applyNumberFormat="1" applyBorder="1"/>
    <xf numFmtId="0" fontId="16" fillId="0" borderId="1" xfId="0" applyFont="1" applyBorder="1" applyAlignment="1">
      <alignment horizontal="center" vertical="center" wrapText="1"/>
    </xf>
    <xf numFmtId="43" fontId="17" fillId="0" borderId="1" xfId="3" applyFont="1" applyFill="1" applyBorder="1" applyAlignment="1">
      <alignment horizontal="center" vertical="center" wrapText="1"/>
    </xf>
    <xf numFmtId="43" fontId="17" fillId="0" borderId="1" xfId="3" applyFont="1" applyFill="1" applyBorder="1" applyAlignment="1">
      <alignment horizontal="center" vertical="center"/>
    </xf>
    <xf numFmtId="0" fontId="0" fillId="0" borderId="0" xfId="0" applyAlignment="1">
      <alignment horizontal="center" wrapText="1"/>
    </xf>
    <xf numFmtId="43" fontId="17" fillId="9" borderId="7" xfId="3" applyFont="1" applyFill="1" applyBorder="1" applyAlignment="1">
      <alignment horizontal="center" vertical="center"/>
    </xf>
    <xf numFmtId="164" fontId="0" fillId="7" borderId="30" xfId="3" applyNumberFormat="1" applyFont="1" applyFill="1" applyBorder="1" applyAlignment="1">
      <alignment vertical="center"/>
    </xf>
    <xf numFmtId="0" fontId="18" fillId="0" borderId="1" xfId="0" applyFont="1" applyBorder="1" applyAlignment="1">
      <alignment horizontal="left" vertical="center"/>
    </xf>
    <xf numFmtId="43" fontId="19" fillId="0" borderId="0" xfId="3" applyFont="1" applyFill="1" applyBorder="1"/>
    <xf numFmtId="164" fontId="19" fillId="0" borderId="11" xfId="3" applyNumberFormat="1" applyFont="1" applyBorder="1" applyAlignment="1">
      <alignment horizontal="right"/>
    </xf>
    <xf numFmtId="164" fontId="0" fillId="7" borderId="9" xfId="0" applyNumberFormat="1" applyFill="1" applyBorder="1"/>
    <xf numFmtId="0" fontId="18" fillId="0" borderId="1" xfId="0" applyFont="1" applyBorder="1" applyAlignment="1">
      <alignment horizontal="left" vertical="center" wrapText="1"/>
    </xf>
    <xf numFmtId="43" fontId="30" fillId="0" borderId="1" xfId="3" applyFont="1" applyFill="1" applyBorder="1"/>
    <xf numFmtId="43" fontId="19" fillId="0" borderId="1" xfId="3" applyFont="1" applyFill="1" applyBorder="1"/>
    <xf numFmtId="43" fontId="19" fillId="0" borderId="11" xfId="3" applyFont="1" applyBorder="1"/>
    <xf numFmtId="0" fontId="22" fillId="0" borderId="1" xfId="0" applyFont="1" applyBorder="1" applyAlignment="1">
      <alignment vertical="center"/>
    </xf>
    <xf numFmtId="43" fontId="19" fillId="0" borderId="20" xfId="3" applyFont="1" applyBorder="1"/>
    <xf numFmtId="164" fontId="0" fillId="0" borderId="19" xfId="3" applyNumberFormat="1" applyFont="1" applyBorder="1"/>
    <xf numFmtId="0" fontId="31" fillId="0" borderId="18" xfId="0" applyFont="1" applyBorder="1"/>
    <xf numFmtId="164" fontId="0" fillId="0" borderId="4" xfId="3" applyNumberFormat="1" applyFont="1" applyBorder="1"/>
    <xf numFmtId="0" fontId="24" fillId="8" borderId="0" xfId="0" applyFont="1" applyFill="1" applyAlignment="1">
      <alignment horizontal="justify" vertical="center"/>
    </xf>
    <xf numFmtId="164" fontId="0" fillId="10" borderId="6" xfId="3" applyNumberFormat="1" applyFont="1" applyFill="1" applyBorder="1"/>
    <xf numFmtId="0" fontId="3" fillId="0" borderId="0" xfId="0" applyFont="1"/>
    <xf numFmtId="164" fontId="3" fillId="0" borderId="0" xfId="0" applyNumberFormat="1" applyFont="1"/>
    <xf numFmtId="0" fontId="27" fillId="15" borderId="1" xfId="0" applyFont="1" applyFill="1" applyBorder="1" applyAlignment="1">
      <alignment vertical="center" wrapText="1"/>
    </xf>
    <xf numFmtId="43" fontId="19" fillId="9" borderId="1" xfId="3" applyFont="1" applyFill="1" applyBorder="1" applyAlignment="1">
      <alignment wrapText="1"/>
    </xf>
    <xf numFmtId="43" fontId="19" fillId="0" borderId="1" xfId="3" applyFont="1" applyBorder="1" applyAlignment="1">
      <alignment wrapText="1"/>
    </xf>
    <xf numFmtId="0" fontId="0" fillId="7" borderId="4" xfId="0" applyFill="1" applyBorder="1"/>
    <xf numFmtId="0" fontId="10" fillId="15" borderId="1" xfId="0" applyFont="1" applyFill="1" applyBorder="1" applyAlignment="1">
      <alignment vertical="center" wrapText="1"/>
    </xf>
    <xf numFmtId="164" fontId="10" fillId="15" borderId="1" xfId="0" applyNumberFormat="1" applyFont="1" applyFill="1" applyBorder="1" applyAlignment="1">
      <alignment horizontal="right" vertical="center"/>
    </xf>
    <xf numFmtId="164" fontId="10" fillId="15" borderId="1" xfId="0" applyNumberFormat="1" applyFont="1" applyFill="1" applyBorder="1" applyAlignment="1">
      <alignment horizontal="center" vertical="center"/>
    </xf>
    <xf numFmtId="43" fontId="19" fillId="0" borderId="1" xfId="3" applyFont="1" applyBorder="1"/>
    <xf numFmtId="43" fontId="0" fillId="0" borderId="1" xfId="0" applyNumberFormat="1" applyBorder="1"/>
    <xf numFmtId="164" fontId="19" fillId="0" borderId="1" xfId="3" applyNumberFormat="1" applyFont="1" applyBorder="1"/>
    <xf numFmtId="0" fontId="0" fillId="7" borderId="6" xfId="0" applyFill="1" applyBorder="1"/>
    <xf numFmtId="0" fontId="28" fillId="0" borderId="1" xfId="0" applyFont="1" applyBorder="1" applyAlignment="1">
      <alignment vertical="center" wrapText="1"/>
    </xf>
    <xf numFmtId="43" fontId="32" fillId="0" borderId="1" xfId="0" applyNumberFormat="1" applyFont="1" applyBorder="1" applyAlignment="1">
      <alignment vertical="center"/>
    </xf>
    <xf numFmtId="9" fontId="0" fillId="0" borderId="6" xfId="0" applyNumberFormat="1" applyBorder="1"/>
    <xf numFmtId="9" fontId="7" fillId="0" borderId="0" xfId="0" applyNumberFormat="1" applyFont="1"/>
    <xf numFmtId="0" fontId="28" fillId="6" borderId="0" xfId="0" applyFont="1" applyFill="1" applyAlignment="1">
      <alignment vertical="center" wrapText="1"/>
    </xf>
    <xf numFmtId="43" fontId="32" fillId="6" borderId="18" xfId="0" applyNumberFormat="1" applyFont="1" applyFill="1" applyBorder="1" applyAlignment="1">
      <alignment vertical="center"/>
    </xf>
    <xf numFmtId="43" fontId="32" fillId="6" borderId="18" xfId="3" applyFont="1" applyFill="1" applyBorder="1" applyAlignment="1">
      <alignment vertical="center"/>
    </xf>
    <xf numFmtId="164" fontId="19" fillId="6" borderId="18" xfId="3" applyNumberFormat="1" applyFont="1" applyFill="1" applyBorder="1"/>
    <xf numFmtId="164" fontId="0" fillId="6" borderId="0" xfId="3" applyNumberFormat="1" applyFont="1" applyFill="1" applyBorder="1"/>
    <xf numFmtId="0" fontId="0" fillId="6" borderId="0" xfId="0" applyFill="1"/>
    <xf numFmtId="9" fontId="0" fillId="6" borderId="6" xfId="0" applyNumberFormat="1" applyFill="1" applyBorder="1"/>
    <xf numFmtId="1" fontId="0" fillId="6" borderId="0" xfId="0" applyNumberFormat="1" applyFill="1"/>
    <xf numFmtId="9" fontId="7" fillId="6" borderId="0" xfId="0" applyNumberFormat="1" applyFont="1" applyFill="1"/>
    <xf numFmtId="0" fontId="6" fillId="10" borderId="1" xfId="0" applyFont="1" applyFill="1" applyBorder="1" applyAlignment="1">
      <alignment wrapText="1"/>
    </xf>
    <xf numFmtId="0" fontId="24" fillId="8" borderId="0" xfId="0" applyFont="1" applyFill="1"/>
    <xf numFmtId="0" fontId="0" fillId="8" borderId="0" xfId="0" applyFill="1"/>
    <xf numFmtId="0" fontId="33" fillId="8" borderId="0" xfId="0" applyFont="1" applyFill="1" applyAlignment="1">
      <alignment horizontal="justify" vertical="center"/>
    </xf>
    <xf numFmtId="164" fontId="0" fillId="0" borderId="0" xfId="3" applyNumberFormat="1" applyFont="1" applyBorder="1" applyAlignment="1">
      <alignment wrapText="1"/>
    </xf>
    <xf numFmtId="0" fontId="34" fillId="0" borderId="0" xfId="0" applyFont="1"/>
    <xf numFmtId="0" fontId="27" fillId="0" borderId="8" xfId="0" applyFont="1" applyBorder="1" applyAlignment="1">
      <alignment vertical="center"/>
    </xf>
    <xf numFmtId="43" fontId="19" fillId="9" borderId="8" xfId="3" applyFont="1" applyFill="1" applyBorder="1"/>
    <xf numFmtId="0" fontId="0" fillId="9" borderId="8" xfId="0" applyFill="1" applyBorder="1"/>
    <xf numFmtId="43" fontId="19" fillId="9" borderId="9" xfId="3" applyFont="1" applyFill="1" applyBorder="1"/>
    <xf numFmtId="0" fontId="10" fillId="0" borderId="1" xfId="0" applyFont="1" applyBorder="1" applyAlignment="1">
      <alignment vertical="center"/>
    </xf>
    <xf numFmtId="43" fontId="10" fillId="0" borderId="1" xfId="0" applyNumberFormat="1" applyFont="1" applyBorder="1" applyAlignment="1">
      <alignment horizontal="center" vertical="center"/>
    </xf>
    <xf numFmtId="1" fontId="0" fillId="0" borderId="1" xfId="0" applyNumberFormat="1" applyBorder="1"/>
    <xf numFmtId="43" fontId="19" fillId="0" borderId="27" xfId="3" applyFont="1" applyFill="1" applyBorder="1"/>
    <xf numFmtId="164" fontId="0" fillId="0" borderId="31" xfId="3" applyNumberFormat="1" applyFont="1" applyFill="1" applyBorder="1"/>
    <xf numFmtId="9" fontId="19" fillId="0" borderId="0" xfId="3" applyNumberFormat="1" applyFont="1" applyFill="1" applyBorder="1"/>
    <xf numFmtId="0" fontId="0" fillId="7" borderId="5" xfId="0" applyFill="1" applyBorder="1"/>
    <xf numFmtId="0" fontId="28" fillId="0" borderId="28" xfId="0" applyFont="1" applyBorder="1" applyAlignment="1">
      <alignment vertical="center"/>
    </xf>
    <xf numFmtId="43" fontId="32" fillId="0" borderId="28" xfId="0" applyNumberFormat="1" applyFont="1" applyBorder="1" applyAlignment="1">
      <alignment vertical="center"/>
    </xf>
    <xf numFmtId="0" fontId="0" fillId="0" borderId="28" xfId="0" applyBorder="1"/>
    <xf numFmtId="43" fontId="19" fillId="0" borderId="29" xfId="3" applyFont="1" applyFill="1" applyBorder="1"/>
    <xf numFmtId="9" fontId="19" fillId="0" borderId="0" xfId="2" applyFont="1" applyFill="1" applyBorder="1"/>
    <xf numFmtId="0" fontId="0" fillId="7" borderId="25" xfId="0" applyFill="1" applyBorder="1"/>
    <xf numFmtId="0" fontId="18" fillId="10" borderId="18" xfId="0" applyFont="1" applyFill="1" applyBorder="1" applyAlignment="1">
      <alignment horizontal="justify" vertical="center"/>
    </xf>
    <xf numFmtId="43" fontId="19" fillId="0" borderId="18" xfId="3" applyFont="1" applyFill="1" applyBorder="1"/>
    <xf numFmtId="0" fontId="24" fillId="10" borderId="0" xfId="0" applyFont="1" applyFill="1"/>
    <xf numFmtId="164" fontId="0" fillId="0" borderId="7" xfId="0" applyNumberFormat="1" applyBorder="1"/>
    <xf numFmtId="0" fontId="35" fillId="0" borderId="9" xfId="0" applyFont="1" applyBorder="1"/>
    <xf numFmtId="164" fontId="0" fillId="0" borderId="20" xfId="0" applyNumberFormat="1" applyBorder="1"/>
    <xf numFmtId="164" fontId="0" fillId="0" borderId="29" xfId="0" applyNumberFormat="1" applyBorder="1"/>
    <xf numFmtId="164" fontId="17" fillId="0" borderId="26" xfId="3" applyNumberFormat="1" applyFont="1" applyBorder="1" applyAlignment="1">
      <alignment horizontal="center"/>
    </xf>
    <xf numFmtId="164" fontId="35" fillId="7" borderId="22" xfId="3" applyNumberFormat="1" applyFont="1" applyFill="1" applyBorder="1"/>
    <xf numFmtId="0" fontId="0" fillId="7" borderId="5" xfId="0" applyFill="1" applyBorder="1" applyAlignment="1">
      <alignment horizontal="center"/>
    </xf>
    <xf numFmtId="0" fontId="36" fillId="15" borderId="7" xfId="0" applyFont="1" applyFill="1" applyBorder="1" applyAlignment="1">
      <alignment horizontal="center" vertical="center"/>
    </xf>
    <xf numFmtId="43" fontId="17" fillId="0" borderId="9" xfId="3" applyFont="1" applyBorder="1" applyAlignment="1">
      <alignment horizontal="center"/>
    </xf>
    <xf numFmtId="164" fontId="0" fillId="7" borderId="25" xfId="0" applyNumberFormat="1" applyFill="1" applyBorder="1"/>
    <xf numFmtId="0" fontId="37" fillId="15" borderId="20" xfId="0" applyFont="1" applyFill="1" applyBorder="1" applyAlignment="1">
      <alignment vertical="center"/>
    </xf>
    <xf numFmtId="164" fontId="38" fillId="15" borderId="28" xfId="0" applyNumberFormat="1" applyFont="1" applyFill="1" applyBorder="1" applyAlignment="1">
      <alignment horizontal="right" vertical="center"/>
    </xf>
    <xf numFmtId="164" fontId="0" fillId="0" borderId="28" xfId="0" applyNumberFormat="1" applyBorder="1"/>
    <xf numFmtId="164" fontId="35" fillId="0" borderId="10" xfId="3" applyNumberFormat="1" applyFont="1" applyBorder="1"/>
    <xf numFmtId="0" fontId="37" fillId="15" borderId="32" xfId="0" applyFont="1" applyFill="1" applyBorder="1" applyAlignment="1">
      <alignment vertical="center"/>
    </xf>
    <xf numFmtId="164" fontId="35" fillId="0" borderId="1" xfId="1" applyNumberFormat="1" applyFont="1" applyBorder="1"/>
    <xf numFmtId="164" fontId="35" fillId="0" borderId="1" xfId="0" applyNumberFormat="1" applyFont="1" applyBorder="1"/>
    <xf numFmtId="164" fontId="0" fillId="0" borderId="27" xfId="0" applyNumberFormat="1" applyBorder="1"/>
    <xf numFmtId="164" fontId="35" fillId="0" borderId="13" xfId="3" applyNumberFormat="1" applyFont="1" applyBorder="1"/>
    <xf numFmtId="164" fontId="35" fillId="0" borderId="27" xfId="3" applyNumberFormat="1" applyFont="1" applyBorder="1"/>
    <xf numFmtId="0" fontId="37" fillId="15" borderId="33" xfId="0" applyFont="1" applyFill="1" applyBorder="1" applyAlignment="1">
      <alignment vertical="center"/>
    </xf>
    <xf numFmtId="164" fontId="38" fillId="15" borderId="1" xfId="0" applyNumberFormat="1" applyFont="1" applyFill="1" applyBorder="1" applyAlignment="1">
      <alignment vertical="center"/>
    </xf>
    <xf numFmtId="0" fontId="36" fillId="0" borderId="34" xfId="0" applyFont="1" applyBorder="1" applyAlignment="1">
      <alignment vertical="center"/>
    </xf>
    <xf numFmtId="164" fontId="38" fillId="0" borderId="28" xfId="0" applyNumberFormat="1" applyFont="1" applyBorder="1" applyAlignment="1">
      <alignment vertical="center"/>
    </xf>
    <xf numFmtId="0" fontId="38" fillId="0" borderId="35" xfId="0" applyFont="1" applyBorder="1" applyAlignment="1">
      <alignment vertical="center"/>
    </xf>
    <xf numFmtId="0" fontId="0" fillId="0" borderId="0" xfId="3" applyNumberFormat="1" applyFont="1" applyBorder="1"/>
    <xf numFmtId="164" fontId="0" fillId="0" borderId="25" xfId="0" applyNumberFormat="1" applyBorder="1"/>
    <xf numFmtId="0" fontId="39" fillId="6" borderId="18" xfId="0" applyFont="1" applyFill="1" applyBorder="1" applyAlignment="1">
      <alignment horizontal="justify" vertical="center" wrapText="1"/>
    </xf>
    <xf numFmtId="0" fontId="40" fillId="0" borderId="0" xfId="0" applyFont="1"/>
    <xf numFmtId="0" fontId="0" fillId="7" borderId="15" xfId="0" applyFill="1" applyBorder="1"/>
    <xf numFmtId="164" fontId="0" fillId="7" borderId="17" xfId="0" applyNumberFormat="1" applyFill="1" applyBorder="1"/>
    <xf numFmtId="9" fontId="0" fillId="0" borderId="19" xfId="0" applyNumberFormat="1" applyBorder="1"/>
    <xf numFmtId="0" fontId="28" fillId="0" borderId="1" xfId="0" applyFont="1" applyBorder="1" applyAlignment="1">
      <alignment horizontal="center" vertical="center"/>
    </xf>
    <xf numFmtId="43" fontId="17" fillId="9" borderId="1" xfId="3" applyFont="1" applyFill="1" applyBorder="1" applyAlignment="1">
      <alignment horizontal="center" vertical="center" wrapText="1"/>
    </xf>
    <xf numFmtId="43" fontId="17" fillId="9" borderId="1" xfId="3" applyFont="1" applyFill="1" applyBorder="1" applyAlignment="1">
      <alignment horizontal="center" vertical="center"/>
    </xf>
    <xf numFmtId="43" fontId="17" fillId="0" borderId="1" xfId="3" applyFont="1" applyBorder="1" applyAlignment="1">
      <alignment vertical="center" wrapText="1"/>
    </xf>
    <xf numFmtId="0" fontId="28" fillId="0" borderId="1" xfId="0" applyFont="1" applyBorder="1" applyAlignment="1">
      <alignment vertical="center"/>
    </xf>
    <xf numFmtId="43" fontId="0" fillId="0" borderId="1" xfId="1" applyFont="1" applyBorder="1"/>
    <xf numFmtId="0" fontId="27" fillId="0" borderId="1" xfId="0" applyFont="1" applyBorder="1" applyAlignment="1">
      <alignment vertical="center"/>
    </xf>
    <xf numFmtId="43" fontId="32" fillId="0" borderId="1" xfId="0" applyNumberFormat="1" applyFont="1" applyBorder="1" applyAlignment="1">
      <alignment horizontal="right" vertical="center"/>
    </xf>
    <xf numFmtId="164" fontId="0" fillId="0" borderId="36" xfId="3" applyNumberFormat="1" applyFont="1" applyFill="1" applyBorder="1"/>
    <xf numFmtId="164" fontId="19" fillId="0" borderId="36" xfId="3" applyNumberFormat="1" applyFont="1" applyFill="1" applyBorder="1"/>
    <xf numFmtId="0" fontId="15" fillId="0" borderId="0" xfId="0" applyFont="1" applyAlignment="1">
      <alignment horizontal="left" vertical="center"/>
    </xf>
    <xf numFmtId="43" fontId="20" fillId="0" borderId="0" xfId="3" applyFont="1" applyBorder="1" applyAlignment="1">
      <alignment horizontal="left"/>
    </xf>
    <xf numFmtId="0" fontId="0" fillId="7" borderId="7" xfId="0" applyFill="1" applyBorder="1" applyAlignment="1">
      <alignment wrapText="1"/>
    </xf>
    <xf numFmtId="0" fontId="0" fillId="7" borderId="9" xfId="0" applyFill="1" applyBorder="1"/>
    <xf numFmtId="0" fontId="0" fillId="7" borderId="11" xfId="0" applyFill="1" applyBorder="1"/>
    <xf numFmtId="0" fontId="0" fillId="7" borderId="27" xfId="0" applyFill="1" applyBorder="1"/>
    <xf numFmtId="0" fontId="41" fillId="0" borderId="7" xfId="0" applyFont="1" applyBorder="1" applyAlignment="1">
      <alignment horizontal="center" vertical="center"/>
    </xf>
    <xf numFmtId="43" fontId="41" fillId="0" borderId="8" xfId="0" applyNumberFormat="1" applyFont="1" applyBorder="1" applyAlignment="1">
      <alignment horizontal="center" wrapText="1"/>
    </xf>
    <xf numFmtId="43" fontId="42" fillId="0" borderId="8" xfId="3" applyFont="1" applyBorder="1" applyAlignment="1">
      <alignment wrapText="1"/>
    </xf>
    <xf numFmtId="43" fontId="42" fillId="0" borderId="9" xfId="3" applyFont="1" applyBorder="1" applyAlignment="1">
      <alignment vertical="center"/>
    </xf>
    <xf numFmtId="164" fontId="0" fillId="7" borderId="0" xfId="3" applyNumberFormat="1" applyFont="1" applyFill="1" applyBorder="1"/>
    <xf numFmtId="0" fontId="0" fillId="7" borderId="6" xfId="0" applyFill="1" applyBorder="1" applyAlignment="1">
      <alignment wrapText="1"/>
    </xf>
    <xf numFmtId="0" fontId="43" fillId="0" borderId="11" xfId="0" applyFont="1" applyBorder="1" applyAlignment="1">
      <alignment vertical="center"/>
    </xf>
    <xf numFmtId="164" fontId="43" fillId="0" borderId="1" xfId="0" applyNumberFormat="1" applyFont="1" applyBorder="1" applyAlignment="1">
      <alignment horizontal="right" vertical="center"/>
    </xf>
    <xf numFmtId="164" fontId="19" fillId="0" borderId="27" xfId="3" applyNumberFormat="1" applyFont="1" applyBorder="1"/>
    <xf numFmtId="164" fontId="0" fillId="7" borderId="18" xfId="3" applyNumberFormat="1" applyFont="1" applyFill="1" applyBorder="1"/>
    <xf numFmtId="9" fontId="0" fillId="7" borderId="19" xfId="2" applyFont="1" applyFill="1" applyBorder="1"/>
    <xf numFmtId="0" fontId="43" fillId="0" borderId="20" xfId="0" applyFont="1" applyBorder="1" applyAlignment="1">
      <alignment vertical="center"/>
    </xf>
    <xf numFmtId="164" fontId="43" fillId="0" borderId="28" xfId="0" applyNumberFormat="1" applyFont="1" applyBorder="1" applyAlignment="1">
      <alignment horizontal="right" vertical="center"/>
    </xf>
    <xf numFmtId="164" fontId="43" fillId="0" borderId="29" xfId="0" applyNumberFormat="1" applyFont="1" applyBorder="1" applyAlignment="1">
      <alignment horizontal="right" vertical="center"/>
    </xf>
    <xf numFmtId="0" fontId="6" fillId="10" borderId="18" xfId="0" applyFont="1" applyFill="1" applyBorder="1"/>
    <xf numFmtId="0" fontId="24" fillId="9" borderId="0" xfId="0" applyFont="1" applyFill="1"/>
    <xf numFmtId="164" fontId="0" fillId="7" borderId="10" xfId="0" applyNumberFormat="1" applyFill="1" applyBorder="1"/>
    <xf numFmtId="164" fontId="7" fillId="0" borderId="0" xfId="0" applyNumberFormat="1" applyFont="1"/>
    <xf numFmtId="0" fontId="41" fillId="9" borderId="7" xfId="0" applyFont="1" applyFill="1" applyBorder="1" applyAlignment="1">
      <alignment horizontal="center" vertical="center"/>
    </xf>
    <xf numFmtId="43" fontId="41" fillId="0" borderId="8" xfId="0" applyNumberFormat="1" applyFont="1" applyBorder="1" applyAlignment="1">
      <alignment horizontal="center" vertical="center" wrapText="1"/>
    </xf>
    <xf numFmtId="43" fontId="19" fillId="0" borderId="8" xfId="3" applyFont="1" applyBorder="1" applyAlignment="1">
      <alignment wrapText="1"/>
    </xf>
    <xf numFmtId="43" fontId="42" fillId="0" borderId="8" xfId="3" applyFont="1" applyBorder="1" applyAlignment="1">
      <alignment vertical="center"/>
    </xf>
    <xf numFmtId="164" fontId="0" fillId="7" borderId="9" xfId="3" applyNumberFormat="1" applyFont="1" applyFill="1" applyBorder="1"/>
    <xf numFmtId="0" fontId="43" fillId="9" borderId="11" xfId="0" applyFont="1" applyFill="1" applyBorder="1" applyAlignment="1">
      <alignment vertical="center"/>
    </xf>
    <xf numFmtId="164" fontId="0" fillId="0" borderId="27" xfId="3" applyNumberFormat="1" applyFont="1" applyBorder="1"/>
    <xf numFmtId="0" fontId="43" fillId="9" borderId="37" xfId="0" applyFont="1" applyFill="1" applyBorder="1" applyAlignment="1">
      <alignment vertical="center"/>
    </xf>
    <xf numFmtId="164" fontId="43" fillId="0" borderId="38" xfId="0" applyNumberFormat="1" applyFont="1" applyBorder="1" applyAlignment="1">
      <alignment horizontal="right" vertical="center"/>
    </xf>
    <xf numFmtId="0" fontId="6" fillId="10" borderId="20" xfId="0" applyFont="1" applyFill="1" applyBorder="1"/>
    <xf numFmtId="164" fontId="19" fillId="0" borderId="28" xfId="3" applyNumberFormat="1" applyFont="1" applyBorder="1"/>
    <xf numFmtId="1" fontId="0" fillId="0" borderId="29" xfId="0" applyNumberFormat="1" applyBorder="1"/>
    <xf numFmtId="164" fontId="19" fillId="0" borderId="0" xfId="3" applyNumberFormat="1" applyFont="1" applyBorder="1"/>
    <xf numFmtId="43" fontId="20" fillId="0" borderId="0" xfId="3" applyFont="1" applyBorder="1"/>
    <xf numFmtId="0" fontId="42" fillId="15" borderId="31" xfId="0" applyFont="1" applyFill="1" applyBorder="1" applyAlignment="1">
      <alignment horizontal="center" vertical="center"/>
    </xf>
    <xf numFmtId="0" fontId="42" fillId="0" borderId="1" xfId="0" applyFont="1" applyBorder="1"/>
    <xf numFmtId="164" fontId="0" fillId="7" borderId="15" xfId="0" applyNumberFormat="1" applyFill="1" applyBorder="1"/>
    <xf numFmtId="0" fontId="44" fillId="15" borderId="31" xfId="0" applyFont="1" applyFill="1" applyBorder="1" applyAlignment="1">
      <alignment horizontal="left" vertical="center"/>
    </xf>
    <xf numFmtId="164" fontId="44" fillId="0" borderId="1" xfId="0" applyNumberFormat="1" applyFont="1" applyBorder="1" applyAlignment="1">
      <alignment horizontal="center" vertical="center"/>
    </xf>
    <xf numFmtId="164" fontId="44" fillId="0" borderId="1" xfId="3" applyNumberFormat="1" applyFont="1" applyBorder="1" applyAlignment="1">
      <alignment horizontal="center" vertical="center"/>
    </xf>
    <xf numFmtId="164" fontId="0" fillId="0" borderId="1" xfId="3" applyNumberFormat="1" applyFont="1" applyFill="1" applyBorder="1"/>
    <xf numFmtId="164" fontId="0" fillId="7" borderId="16" xfId="0" applyNumberFormat="1" applyFill="1" applyBorder="1"/>
    <xf numFmtId="164" fontId="0" fillId="7" borderId="19" xfId="0" applyNumberFormat="1" applyFill="1" applyBorder="1"/>
    <xf numFmtId="0" fontId="0" fillId="0" borderId="39" xfId="0" applyBorder="1"/>
    <xf numFmtId="164" fontId="0" fillId="0" borderId="28" xfId="3" applyNumberFormat="1" applyFont="1" applyFill="1" applyBorder="1"/>
    <xf numFmtId="0" fontId="40" fillId="6" borderId="0" xfId="0" applyFont="1" applyFill="1" applyAlignment="1">
      <alignment wrapText="1"/>
    </xf>
    <xf numFmtId="0" fontId="24" fillId="8" borderId="0" xfId="0" applyFont="1" applyFill="1" applyAlignment="1">
      <alignment vertical="center"/>
    </xf>
    <xf numFmtId="0" fontId="24" fillId="9" borderId="0" xfId="0" applyFont="1" applyFill="1" applyAlignment="1">
      <alignment vertical="center"/>
    </xf>
    <xf numFmtId="0" fontId="9" fillId="0" borderId="0" xfId="0" applyFont="1" applyAlignment="1">
      <alignment horizontal="justify" vertical="center"/>
    </xf>
    <xf numFmtId="0" fontId="41" fillId="0" borderId="1" xfId="0" applyFont="1" applyBorder="1" applyAlignment="1">
      <alignment horizontal="center" vertical="center"/>
    </xf>
    <xf numFmtId="166" fontId="45" fillId="0" borderId="1" xfId="4" applyNumberFormat="1" applyFont="1" applyBorder="1" applyAlignment="1">
      <alignment horizontal="left" vertical="center"/>
    </xf>
    <xf numFmtId="43" fontId="43" fillId="0" borderId="1" xfId="0" applyNumberFormat="1" applyFont="1" applyBorder="1" applyAlignment="1">
      <alignment horizontal="center" vertical="center"/>
    </xf>
    <xf numFmtId="43" fontId="9" fillId="0" borderId="1" xfId="3" applyFont="1" applyBorder="1" applyAlignment="1">
      <alignment horizontal="center" vertical="center"/>
    </xf>
    <xf numFmtId="164" fontId="9" fillId="0" borderId="12" xfId="3" applyNumberFormat="1" applyFont="1" applyBorder="1" applyAlignment="1">
      <alignment horizontal="center" vertical="center"/>
    </xf>
    <xf numFmtId="1" fontId="0" fillId="0" borderId="1" xfId="0" applyNumberFormat="1" applyBorder="1" applyAlignment="1">
      <alignment horizontal="center" vertical="center"/>
    </xf>
    <xf numFmtId="0" fontId="43" fillId="0" borderId="1" xfId="3" applyNumberFormat="1" applyFont="1" applyBorder="1" applyAlignment="1">
      <alignment horizontal="center" vertical="center"/>
    </xf>
    <xf numFmtId="164" fontId="9" fillId="0" borderId="1" xfId="3" applyNumberFormat="1" applyFont="1" applyFill="1" applyBorder="1" applyAlignment="1">
      <alignment horizontal="center" vertical="center"/>
    </xf>
    <xf numFmtId="0" fontId="0" fillId="0" borderId="18" xfId="0" applyBorder="1" applyAlignment="1">
      <alignment vertical="center" wrapText="1"/>
    </xf>
    <xf numFmtId="164" fontId="19" fillId="0" borderId="18" xfId="3" applyNumberFormat="1" applyFont="1" applyBorder="1"/>
    <xf numFmtId="0" fontId="29" fillId="0" borderId="0" xfId="0" applyFont="1" applyAlignment="1">
      <alignment horizontal="left" vertical="center"/>
    </xf>
    <xf numFmtId="0" fontId="4" fillId="15" borderId="7" xfId="0" applyFont="1" applyFill="1" applyBorder="1" applyAlignment="1">
      <alignment vertical="center"/>
    </xf>
    <xf numFmtId="164" fontId="0" fillId="0" borderId="31" xfId="3" applyNumberFormat="1" applyFont="1" applyBorder="1" applyAlignment="1">
      <alignment wrapText="1"/>
    </xf>
    <xf numFmtId="43" fontId="42" fillId="0" borderId="0" xfId="3" applyFont="1" applyBorder="1" applyAlignment="1">
      <alignment vertical="center"/>
    </xf>
    <xf numFmtId="43" fontId="42" fillId="0" borderId="6" xfId="3" applyFont="1" applyBorder="1" applyAlignment="1">
      <alignment vertical="center"/>
    </xf>
    <xf numFmtId="0" fontId="46" fillId="15" borderId="11" xfId="0" applyFont="1" applyFill="1" applyBorder="1" applyAlignment="1">
      <alignment vertical="center"/>
    </xf>
    <xf numFmtId="41" fontId="46" fillId="0" borderId="27" xfId="0" applyNumberFormat="1" applyFont="1" applyBorder="1" applyAlignment="1">
      <alignment horizontal="right" vertical="center"/>
    </xf>
    <xf numFmtId="164" fontId="0" fillId="0" borderId="31" xfId="3" applyNumberFormat="1" applyFont="1" applyBorder="1"/>
    <xf numFmtId="43" fontId="19" fillId="0" borderId="0" xfId="3" applyFont="1" applyBorder="1"/>
    <xf numFmtId="43" fontId="19" fillId="0" borderId="6" xfId="3" applyFont="1" applyBorder="1"/>
    <xf numFmtId="0" fontId="46" fillId="0" borderId="11" xfId="0" applyFont="1" applyBorder="1" applyAlignment="1">
      <alignment vertical="center"/>
    </xf>
    <xf numFmtId="164" fontId="0" fillId="6" borderId="31" xfId="3" applyNumberFormat="1" applyFont="1" applyFill="1" applyBorder="1"/>
    <xf numFmtId="0" fontId="47" fillId="0" borderId="20" xfId="0" applyFont="1" applyBorder="1" applyAlignment="1">
      <alignment vertical="center"/>
    </xf>
    <xf numFmtId="164" fontId="46" fillId="0" borderId="28" xfId="0" applyNumberFormat="1" applyFont="1" applyBorder="1" applyAlignment="1">
      <alignment vertical="center" wrapText="1"/>
    </xf>
    <xf numFmtId="43" fontId="46" fillId="0" borderId="29" xfId="0" applyNumberFormat="1" applyFont="1" applyBorder="1" applyAlignment="1">
      <alignment vertical="center" wrapText="1"/>
    </xf>
    <xf numFmtId="43" fontId="43" fillId="0" borderId="0" xfId="0" applyNumberFormat="1" applyFont="1" applyAlignment="1">
      <alignment horizontal="right" vertical="center"/>
    </xf>
    <xf numFmtId="0" fontId="41" fillId="0" borderId="40" xfId="0" applyFont="1" applyBorder="1" applyAlignment="1">
      <alignment vertical="center"/>
    </xf>
    <xf numFmtId="43" fontId="41" fillId="0" borderId="9" xfId="0" applyNumberFormat="1" applyFont="1" applyBorder="1" applyAlignment="1">
      <alignment horizontal="center" vertical="center" wrapText="1"/>
    </xf>
    <xf numFmtId="43" fontId="42" fillId="0" borderId="7" xfId="3" applyFont="1" applyBorder="1" applyAlignment="1">
      <alignment vertical="center"/>
    </xf>
    <xf numFmtId="0" fontId="43" fillId="0" borderId="31" xfId="0" applyFont="1" applyBorder="1" applyAlignment="1">
      <alignment vertical="center"/>
    </xf>
    <xf numFmtId="43" fontId="43" fillId="0" borderId="1" xfId="0" applyNumberFormat="1" applyFont="1" applyBorder="1" applyAlignment="1">
      <alignment horizontal="right" vertical="center"/>
    </xf>
    <xf numFmtId="43" fontId="43" fillId="0" borderId="27" xfId="0" applyNumberFormat="1" applyFont="1" applyBorder="1" applyAlignment="1">
      <alignment horizontal="right" vertical="center"/>
    </xf>
    <xf numFmtId="1" fontId="19" fillId="0" borderId="11" xfId="3" applyNumberFormat="1" applyFont="1" applyBorder="1"/>
    <xf numFmtId="43" fontId="43" fillId="0" borderId="28" xfId="0" applyNumberFormat="1" applyFont="1" applyBorder="1" applyAlignment="1">
      <alignment horizontal="right" vertical="center"/>
    </xf>
    <xf numFmtId="43" fontId="19" fillId="0" borderId="29" xfId="3" applyFont="1" applyBorder="1"/>
    <xf numFmtId="1" fontId="0" fillId="0" borderId="0" xfId="3" applyNumberFormat="1" applyFont="1" applyBorder="1"/>
    <xf numFmtId="0" fontId="41" fillId="8" borderId="0" xfId="0" applyFont="1" applyFill="1"/>
    <xf numFmtId="0" fontId="0" fillId="7" borderId="0" xfId="0" applyFill="1"/>
    <xf numFmtId="0" fontId="27" fillId="15" borderId="41" xfId="0" applyFont="1" applyFill="1" applyBorder="1" applyAlignment="1">
      <alignment horizontal="center" vertical="center"/>
    </xf>
    <xf numFmtId="41" fontId="17" fillId="9" borderId="8" xfId="3" applyNumberFormat="1" applyFont="1" applyFill="1" applyBorder="1" applyAlignment="1">
      <alignment horizontal="center" vertical="center"/>
    </xf>
    <xf numFmtId="43" fontId="19" fillId="0" borderId="8" xfId="3" applyFont="1" applyBorder="1" applyAlignment="1">
      <alignment horizontal="center"/>
    </xf>
    <xf numFmtId="43" fontId="19" fillId="0" borderId="9" xfId="3" applyFont="1" applyBorder="1"/>
    <xf numFmtId="0" fontId="0" fillId="0" borderId="42" xfId="0" applyBorder="1"/>
    <xf numFmtId="0" fontId="32" fillId="15" borderId="43" xfId="0" applyFont="1" applyFill="1" applyBorder="1" applyAlignment="1">
      <alignment vertical="center"/>
    </xf>
    <xf numFmtId="41" fontId="32" fillId="15" borderId="1" xfId="0" applyNumberFormat="1" applyFont="1" applyFill="1" applyBorder="1" applyAlignment="1">
      <alignment horizontal="center" vertical="center" wrapText="1"/>
    </xf>
    <xf numFmtId="41" fontId="10" fillId="15" borderId="1" xfId="0" applyNumberFormat="1" applyFont="1" applyFill="1" applyBorder="1" applyAlignment="1">
      <alignment horizontal="center" vertical="center"/>
    </xf>
    <xf numFmtId="164" fontId="0" fillId="0" borderId="1" xfId="1" applyNumberFormat="1" applyFont="1" applyBorder="1"/>
    <xf numFmtId="43" fontId="19" fillId="0" borderId="1" xfId="3" applyFont="1" applyBorder="1" applyAlignment="1">
      <alignment horizontal="center" vertical="center"/>
    </xf>
    <xf numFmtId="164" fontId="19" fillId="0" borderId="27" xfId="3" applyNumberFormat="1" applyFont="1" applyBorder="1" applyAlignment="1">
      <alignment horizontal="center"/>
    </xf>
    <xf numFmtId="1" fontId="0" fillId="0" borderId="44" xfId="0" applyNumberFormat="1" applyBorder="1"/>
    <xf numFmtId="41" fontId="32" fillId="15" borderId="1" xfId="0" applyNumberFormat="1" applyFont="1" applyFill="1" applyBorder="1" applyAlignment="1">
      <alignment horizontal="center" vertical="center"/>
    </xf>
    <xf numFmtId="41" fontId="32" fillId="0" borderId="1" xfId="0" applyNumberFormat="1" applyFont="1" applyBorder="1" applyAlignment="1">
      <alignment horizontal="center" vertical="center"/>
    </xf>
    <xf numFmtId="0" fontId="0" fillId="0" borderId="44" xfId="0" applyBorder="1"/>
    <xf numFmtId="0" fontId="32" fillId="0" borderId="45" xfId="0" applyFont="1" applyBorder="1" applyAlignment="1">
      <alignment vertical="center"/>
    </xf>
    <xf numFmtId="41" fontId="32" fillId="0" borderId="28" xfId="0" applyNumberFormat="1" applyFont="1" applyBorder="1" applyAlignment="1">
      <alignment horizontal="center" vertical="center" wrapText="1"/>
    </xf>
    <xf numFmtId="43" fontId="19" fillId="0" borderId="28" xfId="3" applyFont="1" applyBorder="1" applyAlignment="1">
      <alignment horizontal="center" vertical="center"/>
    </xf>
    <xf numFmtId="164" fontId="19" fillId="0" borderId="29" xfId="3" applyNumberFormat="1" applyFont="1" applyBorder="1" applyAlignment="1">
      <alignment horizontal="center"/>
    </xf>
    <xf numFmtId="0" fontId="0" fillId="0" borderId="46" xfId="0" applyBorder="1"/>
    <xf numFmtId="164" fontId="0" fillId="0" borderId="18" xfId="3" applyNumberFormat="1" applyFont="1" applyBorder="1"/>
    <xf numFmtId="164" fontId="0" fillId="7" borderId="47" xfId="3" applyNumberFormat="1" applyFont="1" applyFill="1" applyBorder="1"/>
    <xf numFmtId="0" fontId="9" fillId="9" borderId="0" xfId="0" applyFont="1" applyFill="1" applyAlignment="1">
      <alignment horizontal="justify" vertical="center"/>
    </xf>
    <xf numFmtId="0" fontId="24" fillId="0" borderId="0" xfId="0" applyFont="1" applyAlignment="1">
      <alignment horizontal="justify" vertical="center"/>
    </xf>
    <xf numFmtId="43" fontId="15" fillId="0" borderId="0" xfId="0" applyNumberFormat="1" applyFont="1" applyAlignment="1">
      <alignment horizontal="left" vertical="center" wrapText="1"/>
    </xf>
    <xf numFmtId="164" fontId="3" fillId="0" borderId="7" xfId="3" applyNumberFormat="1" applyFont="1" applyBorder="1" applyAlignment="1">
      <alignment horizontal="left" wrapText="1"/>
    </xf>
    <xf numFmtId="0" fontId="3" fillId="0" borderId="9" xfId="0" applyFont="1" applyBorder="1" applyAlignment="1">
      <alignment horizontal="left" wrapText="1"/>
    </xf>
    <xf numFmtId="0" fontId="9" fillId="0" borderId="3" xfId="0" applyFont="1" applyBorder="1" applyAlignment="1">
      <alignment horizontal="left" vertical="center"/>
    </xf>
    <xf numFmtId="43" fontId="9" fillId="0" borderId="4" xfId="0" applyNumberFormat="1" applyFont="1" applyBorder="1" applyAlignment="1">
      <alignment horizontal="left" vertical="center" wrapText="1"/>
    </xf>
    <xf numFmtId="43" fontId="15" fillId="0" borderId="15" xfId="0" applyNumberFormat="1" applyFont="1" applyBorder="1" applyAlignment="1">
      <alignment horizontal="left" vertical="center" wrapText="1"/>
    </xf>
    <xf numFmtId="43" fontId="15" fillId="0" borderId="3" xfId="0" applyNumberFormat="1" applyFont="1" applyBorder="1" applyAlignment="1">
      <alignment horizontal="left" vertical="center" wrapText="1"/>
    </xf>
    <xf numFmtId="0" fontId="15" fillId="0" borderId="3" xfId="0" applyFont="1" applyBorder="1" applyAlignment="1">
      <alignment horizontal="left" vertical="center" wrapText="1"/>
    </xf>
    <xf numFmtId="164" fontId="3" fillId="0" borderId="48" xfId="3" applyNumberFormat="1" applyFont="1" applyBorder="1" applyAlignment="1">
      <alignment horizontal="left" wrapText="1"/>
    </xf>
    <xf numFmtId="0" fontId="3" fillId="0" borderId="49" xfId="0" applyFont="1" applyBorder="1" applyAlignment="1">
      <alignment horizontal="left" wrapText="1"/>
    </xf>
    <xf numFmtId="43" fontId="9" fillId="0" borderId="6" xfId="0" applyNumberFormat="1" applyFont="1" applyBorder="1" applyAlignment="1">
      <alignment horizontal="left" vertical="center" wrapText="1"/>
    </xf>
    <xf numFmtId="43" fontId="15" fillId="0" borderId="16" xfId="0" applyNumberFormat="1" applyFont="1" applyBorder="1" applyAlignment="1">
      <alignment horizontal="left" vertical="center" wrapText="1"/>
    </xf>
    <xf numFmtId="43" fontId="15" fillId="0" borderId="17" xfId="0" applyNumberFormat="1" applyFont="1" applyBorder="1" applyAlignment="1">
      <alignment horizontal="left" vertical="center" wrapText="1"/>
    </xf>
    <xf numFmtId="43" fontId="15" fillId="0" borderId="18" xfId="0" applyNumberFormat="1" applyFont="1" applyBorder="1" applyAlignment="1">
      <alignment horizontal="left" vertical="center" wrapText="1"/>
    </xf>
    <xf numFmtId="9" fontId="15" fillId="0" borderId="18" xfId="0" applyNumberFormat="1" applyFont="1" applyBorder="1" applyAlignment="1">
      <alignment horizontal="left" vertical="center" wrapText="1"/>
    </xf>
    <xf numFmtId="0" fontId="9" fillId="0" borderId="18" xfId="0" applyFont="1" applyBorder="1" applyAlignment="1">
      <alignment horizontal="left" vertical="center"/>
    </xf>
    <xf numFmtId="43" fontId="9" fillId="0" borderId="19" xfId="0" applyNumberFormat="1" applyFont="1" applyBorder="1" applyAlignment="1">
      <alignment horizontal="left" vertical="center" wrapText="1"/>
    </xf>
    <xf numFmtId="0" fontId="41" fillId="0" borderId="7" xfId="0" applyFont="1" applyBorder="1" applyAlignment="1">
      <alignment vertical="center"/>
    </xf>
    <xf numFmtId="0" fontId="6" fillId="0" borderId="4" xfId="0" applyFont="1" applyBorder="1" applyAlignment="1">
      <alignment vertical="center"/>
    </xf>
    <xf numFmtId="164" fontId="0" fillId="0" borderId="0" xfId="3" applyNumberFormat="1" applyFont="1" applyBorder="1"/>
    <xf numFmtId="164" fontId="3" fillId="0" borderId="11" xfId="3" applyNumberFormat="1" applyFont="1" applyBorder="1" applyAlignment="1">
      <alignment horizontal="left" wrapText="1"/>
    </xf>
    <xf numFmtId="0" fontId="3" fillId="0" borderId="27" xfId="0" applyFont="1" applyBorder="1" applyAlignment="1">
      <alignment horizontal="left" wrapText="1"/>
    </xf>
    <xf numFmtId="0" fontId="0" fillId="0" borderId="11" xfId="0" applyBorder="1"/>
    <xf numFmtId="0" fontId="0" fillId="0" borderId="20" xfId="0" applyBorder="1"/>
    <xf numFmtId="0" fontId="3" fillId="7" borderId="0" xfId="0" applyFont="1" applyFill="1" applyAlignment="1">
      <alignment horizontal="left" wrapText="1"/>
    </xf>
    <xf numFmtId="0" fontId="3" fillId="0" borderId="6" xfId="0" applyFont="1" applyBorder="1" applyAlignment="1">
      <alignment horizontal="left" wrapText="1"/>
    </xf>
    <xf numFmtId="0" fontId="3" fillId="0" borderId="29" xfId="0" applyFont="1" applyBorder="1" applyAlignment="1">
      <alignment horizontal="left" wrapText="1"/>
    </xf>
    <xf numFmtId="0" fontId="24" fillId="0" borderId="18" xfId="0" applyFont="1" applyBorder="1" applyAlignment="1">
      <alignment horizontal="justify" vertical="center"/>
    </xf>
    <xf numFmtId="9" fontId="0" fillId="0" borderId="18" xfId="0" applyNumberFormat="1" applyBorder="1"/>
    <xf numFmtId="164" fontId="0" fillId="0" borderId="18" xfId="0" applyNumberFormat="1" applyBorder="1"/>
    <xf numFmtId="0" fontId="24" fillId="0" borderId="3" xfId="0" applyFont="1" applyBorder="1" applyAlignment="1">
      <alignment horizontal="justify" vertical="center"/>
    </xf>
    <xf numFmtId="9" fontId="0" fillId="0" borderId="4" xfId="0" applyNumberFormat="1" applyBorder="1"/>
    <xf numFmtId="164" fontId="3" fillId="0" borderId="0" xfId="3" applyNumberFormat="1" applyFont="1" applyBorder="1" applyAlignment="1">
      <alignment horizontal="left" wrapText="1"/>
    </xf>
    <xf numFmtId="0" fontId="41" fillId="0" borderId="31" xfId="0" applyFont="1" applyBorder="1" applyAlignment="1">
      <alignment vertical="center"/>
    </xf>
    <xf numFmtId="43" fontId="42" fillId="0" borderId="1" xfId="3" applyFont="1" applyBorder="1" applyAlignment="1">
      <alignment vertical="center"/>
    </xf>
    <xf numFmtId="1" fontId="0" fillId="0" borderId="0" xfId="3" applyNumberFormat="1" applyFont="1" applyBorder="1" applyAlignment="1">
      <alignment horizontal="left"/>
    </xf>
    <xf numFmtId="0" fontId="0" fillId="0" borderId="31" xfId="0" applyBorder="1"/>
    <xf numFmtId="0" fontId="24" fillId="10" borderId="18" xfId="0" applyFont="1" applyFill="1" applyBorder="1" applyAlignment="1">
      <alignment horizontal="justify" vertical="center"/>
    </xf>
    <xf numFmtId="0" fontId="24" fillId="8" borderId="3" xfId="0" applyFont="1" applyFill="1" applyBorder="1" applyAlignment="1">
      <alignment horizontal="justify" vertical="center"/>
    </xf>
    <xf numFmtId="0" fontId="41" fillId="0" borderId="32" xfId="0" applyFont="1" applyBorder="1" applyAlignment="1">
      <alignment vertical="center"/>
    </xf>
    <xf numFmtId="0" fontId="15" fillId="0" borderId="31" xfId="0" applyFont="1" applyBorder="1" applyAlignment="1">
      <alignment vertical="center"/>
    </xf>
    <xf numFmtId="43" fontId="15" fillId="0" borderId="1" xfId="0" applyNumberFormat="1" applyFont="1" applyBorder="1" applyAlignment="1">
      <alignment horizontal="right" vertical="center"/>
    </xf>
    <xf numFmtId="164" fontId="15" fillId="0" borderId="1" xfId="0" applyNumberFormat="1" applyFont="1" applyBorder="1" applyAlignment="1">
      <alignment horizontal="right" vertical="center"/>
    </xf>
    <xf numFmtId="164" fontId="3" fillId="0" borderId="1" xfId="0" applyNumberFormat="1" applyFont="1" applyBorder="1"/>
    <xf numFmtId="164" fontId="0" fillId="7" borderId="1" xfId="3" applyNumberFormat="1" applyFont="1" applyFill="1" applyBorder="1"/>
    <xf numFmtId="0" fontId="0" fillId="0" borderId="32" xfId="0" applyBorder="1"/>
    <xf numFmtId="164" fontId="0" fillId="0" borderId="1" xfId="3" applyNumberFormat="1" applyFont="1" applyBorder="1"/>
    <xf numFmtId="0" fontId="24" fillId="10" borderId="0" xfId="0" applyFont="1" applyFill="1" applyAlignment="1">
      <alignment horizontal="justify" vertical="center"/>
    </xf>
    <xf numFmtId="0" fontId="24" fillId="9" borderId="0" xfId="0" applyFont="1" applyFill="1" applyAlignment="1">
      <alignment horizontal="justify" vertical="center"/>
    </xf>
    <xf numFmtId="0" fontId="16" fillId="0" borderId="7" xfId="0" applyFont="1" applyBorder="1" applyAlignment="1">
      <alignment vertical="center"/>
    </xf>
    <xf numFmtId="43" fontId="16" fillId="0" borderId="8" xfId="0" applyNumberFormat="1" applyFont="1" applyBorder="1" applyAlignment="1">
      <alignment horizontal="center" vertical="center" wrapText="1"/>
    </xf>
    <xf numFmtId="43" fontId="48" fillId="0" borderId="9" xfId="3" applyFont="1" applyBorder="1" applyAlignment="1">
      <alignment vertical="center"/>
    </xf>
    <xf numFmtId="0" fontId="9" fillId="0" borderId="11" xfId="0" applyFont="1" applyBorder="1" applyAlignment="1">
      <alignment vertical="center"/>
    </xf>
    <xf numFmtId="164" fontId="9" fillId="0" borderId="1" xfId="0" applyNumberFormat="1" applyFont="1" applyBorder="1" applyAlignment="1">
      <alignment horizontal="right" vertical="center"/>
    </xf>
    <xf numFmtId="164" fontId="3" fillId="0" borderId="27" xfId="3" applyNumberFormat="1" applyFont="1" applyBorder="1"/>
    <xf numFmtId="43" fontId="9" fillId="0" borderId="28" xfId="0" applyNumberFormat="1" applyFont="1" applyBorder="1" applyAlignment="1">
      <alignment horizontal="right" vertical="center"/>
    </xf>
    <xf numFmtId="0" fontId="24" fillId="3" borderId="3" xfId="0" applyFont="1" applyFill="1" applyBorder="1" applyAlignment="1">
      <alignment horizontal="justify" vertical="center"/>
    </xf>
    <xf numFmtId="0" fontId="41" fillId="3" borderId="0" xfId="0" applyFont="1" applyFill="1" applyAlignment="1">
      <alignment horizontal="justify" vertical="center"/>
    </xf>
    <xf numFmtId="0" fontId="33" fillId="0" borderId="0" xfId="0" applyFont="1" applyAlignment="1">
      <alignment horizontal="justify" vertical="center"/>
    </xf>
    <xf numFmtId="0" fontId="43" fillId="0" borderId="0" xfId="0" applyFont="1" applyAlignment="1">
      <alignment horizontal="justify" vertical="center"/>
    </xf>
    <xf numFmtId="0" fontId="53" fillId="2" borderId="1" xfId="0" applyFont="1" applyFill="1" applyBorder="1" applyAlignment="1">
      <alignment horizontal="center" vertical="center" wrapText="1"/>
    </xf>
    <xf numFmtId="0" fontId="54" fillId="0" borderId="1" xfId="0" applyFont="1" applyBorder="1" applyAlignment="1">
      <alignment horizontal="center" vertical="center" wrapText="1"/>
    </xf>
    <xf numFmtId="0" fontId="52" fillId="3" borderId="1" xfId="0" applyFont="1" applyFill="1" applyBorder="1" applyAlignment="1">
      <alignment horizontal="left" vertical="center" wrapText="1"/>
    </xf>
    <xf numFmtId="0" fontId="52" fillId="4" borderId="1" xfId="0" applyFont="1" applyFill="1" applyBorder="1" applyAlignment="1">
      <alignment horizontal="left" vertical="center" wrapText="1"/>
    </xf>
    <xf numFmtId="0" fontId="52" fillId="5" borderId="1" xfId="0" applyFont="1" applyFill="1" applyBorder="1" applyAlignment="1">
      <alignment horizontal="left" vertical="center" wrapText="1"/>
    </xf>
    <xf numFmtId="0" fontId="52" fillId="0" borderId="1" xfId="0" applyFont="1" applyBorder="1" applyAlignment="1">
      <alignment vertical="center" wrapText="1"/>
    </xf>
    <xf numFmtId="0" fontId="52" fillId="5" borderId="1" xfId="0" applyFont="1" applyFill="1" applyBorder="1" applyAlignment="1">
      <alignment vertical="center" wrapText="1"/>
    </xf>
    <xf numFmtId="0" fontId="52" fillId="0" borderId="0" xfId="0" applyFont="1" applyAlignment="1">
      <alignment vertical="center" wrapText="1"/>
    </xf>
    <xf numFmtId="0" fontId="52" fillId="3" borderId="1" xfId="0" applyFont="1" applyFill="1" applyBorder="1" applyAlignment="1">
      <alignment vertical="center" wrapText="1"/>
    </xf>
    <xf numFmtId="0" fontId="52" fillId="4" borderId="1" xfId="0" applyFont="1" applyFill="1" applyBorder="1" applyAlignment="1">
      <alignment vertical="center" wrapText="1"/>
    </xf>
    <xf numFmtId="0" fontId="52" fillId="0" borderId="0" xfId="0" applyFont="1" applyAlignment="1">
      <alignment horizontal="center" vertical="center" wrapText="1"/>
    </xf>
    <xf numFmtId="0" fontId="52" fillId="0" borderId="0" xfId="0" applyFont="1" applyAlignment="1">
      <alignment horizontal="left" vertical="center" wrapText="1"/>
    </xf>
    <xf numFmtId="0" fontId="52" fillId="0" borderId="1" xfId="0" applyFont="1" applyBorder="1" applyAlignment="1">
      <alignment horizontal="center" vertical="center" wrapText="1"/>
    </xf>
    <xf numFmtId="0" fontId="52" fillId="0" borderId="12" xfId="0" applyFont="1" applyBorder="1" applyAlignment="1">
      <alignment horizontal="left" vertical="center" wrapText="1"/>
    </xf>
    <xf numFmtId="0" fontId="56" fillId="0" borderId="31" xfId="0" applyFont="1" applyBorder="1" applyAlignment="1">
      <alignment horizontal="center" vertical="center" wrapText="1"/>
    </xf>
    <xf numFmtId="0" fontId="53" fillId="2" borderId="36" xfId="0" applyFont="1" applyFill="1" applyBorder="1" applyAlignment="1">
      <alignment horizontal="center" vertical="center" wrapText="1"/>
    </xf>
    <xf numFmtId="0" fontId="56" fillId="0" borderId="0" xfId="0" applyFont="1" applyAlignment="1">
      <alignment vertical="center" wrapText="1"/>
    </xf>
    <xf numFmtId="0" fontId="57" fillId="0" borderId="1" xfId="0" applyFont="1" applyBorder="1" applyAlignment="1">
      <alignment horizontal="center" vertical="top" wrapText="1"/>
    </xf>
    <xf numFmtId="0" fontId="55" fillId="0" borderId="0" xfId="0" applyFont="1" applyAlignment="1">
      <alignment horizontal="center" vertical="center" wrapText="1"/>
    </xf>
    <xf numFmtId="0" fontId="55" fillId="0" borderId="0" xfId="0" applyFont="1" applyAlignment="1">
      <alignment vertical="center" wrapText="1"/>
    </xf>
    <xf numFmtId="0" fontId="58" fillId="0" borderId="0" xfId="0" applyFont="1" applyAlignment="1">
      <alignment vertical="center"/>
    </xf>
    <xf numFmtId="0" fontId="0" fillId="0" borderId="1" xfId="0" applyBorder="1" applyAlignment="1">
      <alignment horizontal="center" vertical="center" wrapText="1"/>
    </xf>
    <xf numFmtId="0" fontId="58" fillId="6" borderId="0" xfId="0" applyFont="1" applyFill="1" applyAlignment="1">
      <alignment vertical="center"/>
    </xf>
    <xf numFmtId="0" fontId="52" fillId="0" borderId="12" xfId="0" applyFont="1" applyBorder="1" applyAlignment="1">
      <alignment horizontal="center" vertical="center" wrapText="1"/>
    </xf>
    <xf numFmtId="0" fontId="53" fillId="2" borderId="12" xfId="0" applyFont="1" applyFill="1" applyBorder="1" applyAlignment="1">
      <alignment horizontal="left" vertical="center" wrapText="1"/>
    </xf>
    <xf numFmtId="0" fontId="1" fillId="0" borderId="12" xfId="0" applyFont="1" applyBorder="1" applyAlignment="1">
      <alignment horizontal="left" vertical="center" wrapText="1"/>
    </xf>
    <xf numFmtId="0" fontId="52" fillId="0" borderId="38" xfId="0" applyFont="1" applyBorder="1" applyAlignment="1">
      <alignment horizontal="center" vertical="center" wrapText="1"/>
    </xf>
    <xf numFmtId="0" fontId="1" fillId="6" borderId="12" xfId="0" applyFont="1" applyFill="1" applyBorder="1" applyAlignment="1">
      <alignment horizontal="left" vertical="center" wrapText="1"/>
    </xf>
    <xf numFmtId="0" fontId="59" fillId="0" borderId="12" xfId="0" applyFont="1" applyBorder="1" applyAlignment="1">
      <alignment horizontal="left" vertical="center" wrapText="1"/>
    </xf>
    <xf numFmtId="0" fontId="1" fillId="4" borderId="1" xfId="0" applyFont="1" applyFill="1" applyBorder="1" applyAlignment="1">
      <alignment horizontal="left" vertical="center" wrapText="1"/>
    </xf>
    <xf numFmtId="0" fontId="1" fillId="0" borderId="1" xfId="0" applyFont="1" applyBorder="1" applyAlignment="1">
      <alignment horizontal="center" vertical="center" wrapText="1"/>
    </xf>
    <xf numFmtId="0" fontId="1" fillId="3" borderId="1" xfId="0" applyFont="1" applyFill="1" applyBorder="1" applyAlignment="1">
      <alignment horizontal="left" vertical="center" wrapText="1"/>
    </xf>
    <xf numFmtId="0" fontId="53" fillId="16" borderId="1" xfId="0" applyFont="1" applyFill="1" applyBorder="1" applyAlignment="1">
      <alignment horizontal="center" vertical="center" wrapText="1"/>
    </xf>
    <xf numFmtId="0" fontId="52" fillId="0" borderId="50" xfId="0" applyFont="1" applyBorder="1" applyAlignment="1">
      <alignment horizontal="center" vertical="center" wrapText="1"/>
    </xf>
    <xf numFmtId="0" fontId="52" fillId="0" borderId="1" xfId="0" applyFont="1" applyBorder="1" applyAlignment="1">
      <alignment horizontal="left" vertical="center" wrapText="1"/>
    </xf>
    <xf numFmtId="0" fontId="1" fillId="0" borderId="0" xfId="0" applyFont="1" applyAlignment="1">
      <alignment horizontal="center" vertical="center" wrapText="1"/>
    </xf>
    <xf numFmtId="167" fontId="52" fillId="0" borderId="0" xfId="5" applyNumberFormat="1" applyFont="1" applyAlignment="1">
      <alignment horizontal="center" vertical="center" wrapText="1"/>
    </xf>
    <xf numFmtId="1" fontId="52" fillId="0" borderId="0" xfId="0" applyNumberFormat="1" applyFont="1" applyAlignment="1">
      <alignment horizontal="center" vertical="center" wrapText="1"/>
    </xf>
    <xf numFmtId="0" fontId="60" fillId="0" borderId="1" xfId="0" applyFont="1" applyBorder="1" applyAlignment="1">
      <alignment horizontal="center" vertical="center" wrapText="1"/>
    </xf>
    <xf numFmtId="0" fontId="1" fillId="0" borderId="1" xfId="0" applyFont="1" applyBorder="1" applyAlignment="1">
      <alignment vertical="center" wrapText="1"/>
    </xf>
    <xf numFmtId="0" fontId="1" fillId="17" borderId="1" xfId="0" applyFont="1" applyFill="1" applyBorder="1" applyAlignment="1">
      <alignment horizontal="left" vertical="center" wrapText="1"/>
    </xf>
    <xf numFmtId="0" fontId="52" fillId="6" borderId="1" xfId="0" applyFont="1" applyFill="1" applyBorder="1" applyAlignment="1">
      <alignment horizontal="left" vertical="center" wrapText="1"/>
    </xf>
    <xf numFmtId="0" fontId="1" fillId="6" borderId="1" xfId="0" applyFont="1" applyFill="1" applyBorder="1" applyAlignment="1">
      <alignment horizontal="left" vertical="center" wrapText="1"/>
    </xf>
    <xf numFmtId="0" fontId="52" fillId="19" borderId="1" xfId="0" applyFont="1" applyFill="1" applyBorder="1" applyAlignment="1">
      <alignment horizontal="left" vertical="center" wrapText="1"/>
    </xf>
    <xf numFmtId="0" fontId="1" fillId="19" borderId="1" xfId="0" applyFont="1" applyFill="1" applyBorder="1" applyAlignment="1">
      <alignment horizontal="left" vertical="center" wrapText="1"/>
    </xf>
    <xf numFmtId="0" fontId="1" fillId="18" borderId="1" xfId="0" applyFont="1" applyFill="1" applyBorder="1" applyAlignment="1">
      <alignment horizontal="left" vertical="center" wrapText="1"/>
    </xf>
    <xf numFmtId="0" fontId="59" fillId="17" borderId="12" xfId="0" applyFont="1" applyFill="1" applyBorder="1" applyAlignment="1">
      <alignment horizontal="left" vertical="center" wrapText="1"/>
    </xf>
    <xf numFmtId="0" fontId="52" fillId="17" borderId="1" xfId="0" applyFont="1" applyFill="1" applyBorder="1" applyAlignment="1">
      <alignment horizontal="center" vertical="center" wrapText="1"/>
    </xf>
    <xf numFmtId="0" fontId="1" fillId="17" borderId="1" xfId="0" applyFont="1" applyFill="1" applyBorder="1" applyAlignment="1">
      <alignment horizontal="center" vertical="center" wrapText="1"/>
    </xf>
    <xf numFmtId="0" fontId="0" fillId="17" borderId="1" xfId="0" applyFill="1" applyBorder="1" applyAlignment="1">
      <alignment horizontal="center" vertical="center" wrapText="1"/>
    </xf>
    <xf numFmtId="0" fontId="52" fillId="21" borderId="1" xfId="0" applyFont="1" applyFill="1" applyBorder="1" applyAlignment="1">
      <alignment horizontal="left" vertical="center" wrapText="1"/>
    </xf>
    <xf numFmtId="0" fontId="1" fillId="21" borderId="1" xfId="0" applyFont="1" applyFill="1" applyBorder="1" applyAlignment="1">
      <alignment horizontal="left" vertical="center" wrapText="1"/>
    </xf>
    <xf numFmtId="0" fontId="52" fillId="16" borderId="1" xfId="0" applyFont="1" applyFill="1" applyBorder="1" applyAlignment="1">
      <alignment horizontal="left" vertical="center" wrapText="1"/>
    </xf>
    <xf numFmtId="0" fontId="1" fillId="16" borderId="1" xfId="0" applyFont="1" applyFill="1" applyBorder="1" applyAlignment="1">
      <alignment horizontal="left" vertical="center" wrapText="1"/>
    </xf>
    <xf numFmtId="0" fontId="1" fillId="0" borderId="1" xfId="0" applyFont="1" applyBorder="1" applyAlignment="1">
      <alignment horizontal="left" vertical="center" wrapText="1"/>
    </xf>
    <xf numFmtId="0" fontId="1" fillId="0" borderId="0" xfId="0" applyFont="1" applyAlignment="1">
      <alignment vertical="center" wrapText="1"/>
    </xf>
    <xf numFmtId="0" fontId="52" fillId="20" borderId="1" xfId="0" applyFont="1" applyFill="1" applyBorder="1" applyAlignment="1">
      <alignment horizontal="center" vertical="center" wrapText="1"/>
    </xf>
    <xf numFmtId="0" fontId="0" fillId="20" borderId="1" xfId="0" applyFill="1" applyBorder="1" applyAlignment="1">
      <alignment horizontal="center" vertical="center" wrapText="1"/>
    </xf>
    <xf numFmtId="0" fontId="52" fillId="20" borderId="0" xfId="0" applyFont="1" applyFill="1" applyAlignment="1">
      <alignment vertical="center" wrapText="1"/>
    </xf>
    <xf numFmtId="0" fontId="1" fillId="20" borderId="1" xfId="0" applyFont="1" applyFill="1" applyBorder="1" applyAlignment="1">
      <alignment horizontal="center" vertical="center" wrapText="1"/>
    </xf>
    <xf numFmtId="0" fontId="52" fillId="20" borderId="0" xfId="0" applyFont="1" applyFill="1" applyAlignment="1">
      <alignment horizontal="center" vertical="center" wrapText="1"/>
    </xf>
    <xf numFmtId="0" fontId="1" fillId="20" borderId="12" xfId="0" applyFont="1" applyFill="1" applyBorder="1" applyAlignment="1">
      <alignment horizontal="left" vertical="center" wrapText="1"/>
    </xf>
    <xf numFmtId="0" fontId="56" fillId="0" borderId="31" xfId="0" applyFont="1" applyBorder="1" applyAlignment="1">
      <alignment horizontal="center" vertical="center" wrapText="1"/>
    </xf>
    <xf numFmtId="0" fontId="1" fillId="5" borderId="1" xfId="0" applyFont="1" applyFill="1" applyBorder="1" applyAlignment="1">
      <alignment horizontal="left" vertical="center" wrapText="1"/>
    </xf>
    <xf numFmtId="0" fontId="56" fillId="0" borderId="0" xfId="0" applyFont="1" applyBorder="1" applyAlignment="1">
      <alignment horizontal="center" vertical="center" wrapText="1"/>
    </xf>
    <xf numFmtId="0" fontId="0" fillId="0" borderId="35" xfId="0" applyBorder="1" applyAlignment="1">
      <alignment horizontal="center" vertical="center" wrapText="1"/>
    </xf>
    <xf numFmtId="0" fontId="0" fillId="0" borderId="36" xfId="0" applyBorder="1" applyAlignment="1">
      <alignment horizontal="center" vertical="center" wrapText="1"/>
    </xf>
    <xf numFmtId="0" fontId="52" fillId="0" borderId="38" xfId="0" applyFont="1" applyBorder="1" applyAlignment="1">
      <alignment horizontal="center" vertical="center" wrapText="1"/>
    </xf>
    <xf numFmtId="0" fontId="52" fillId="0" borderId="35" xfId="0" applyFont="1" applyBorder="1" applyAlignment="1">
      <alignment horizontal="center" vertical="center" wrapText="1"/>
    </xf>
    <xf numFmtId="0" fontId="52" fillId="0" borderId="36" xfId="0" applyFont="1" applyBorder="1" applyAlignment="1">
      <alignment horizontal="center" vertical="center" wrapText="1"/>
    </xf>
    <xf numFmtId="0" fontId="0" fillId="0" borderId="38" xfId="0" applyBorder="1" applyAlignment="1">
      <alignment horizontal="center" vertical="center" wrapText="1"/>
    </xf>
    <xf numFmtId="0" fontId="0" fillId="0" borderId="38" xfId="0" applyBorder="1" applyAlignment="1">
      <alignment horizontal="left" vertical="center" wrapText="1"/>
    </xf>
    <xf numFmtId="0" fontId="0" fillId="0" borderId="35" xfId="0" applyBorder="1" applyAlignment="1">
      <alignment horizontal="left" vertical="center" wrapText="1"/>
    </xf>
    <xf numFmtId="0" fontId="0" fillId="0" borderId="36" xfId="0" applyBorder="1" applyAlignment="1">
      <alignment horizontal="left" vertical="center" wrapText="1"/>
    </xf>
    <xf numFmtId="0" fontId="52" fillId="0" borderId="38" xfId="0" applyFont="1" applyBorder="1" applyAlignment="1">
      <alignment horizontal="left" vertical="center" wrapText="1"/>
    </xf>
    <xf numFmtId="0" fontId="52" fillId="0" borderId="35" xfId="0" applyFont="1" applyBorder="1" applyAlignment="1">
      <alignment horizontal="left" vertical="center" wrapText="1"/>
    </xf>
    <xf numFmtId="0" fontId="52" fillId="0" borderId="36" xfId="0" applyFont="1" applyBorder="1" applyAlignment="1">
      <alignment horizontal="left" vertical="center" wrapText="1"/>
    </xf>
    <xf numFmtId="0" fontId="52" fillId="3" borderId="38" xfId="0" applyFont="1" applyFill="1" applyBorder="1" applyAlignment="1">
      <alignment horizontal="left" vertical="center" wrapText="1"/>
    </xf>
    <xf numFmtId="0" fontId="52" fillId="3" borderId="35" xfId="0" applyFont="1" applyFill="1" applyBorder="1" applyAlignment="1">
      <alignment horizontal="left" vertical="center" wrapText="1"/>
    </xf>
    <xf numFmtId="0" fontId="52" fillId="3" borderId="36" xfId="0" applyFont="1" applyFill="1" applyBorder="1" applyAlignment="1">
      <alignment horizontal="left" vertical="center" wrapText="1"/>
    </xf>
    <xf numFmtId="0" fontId="54" fillId="0" borderId="38" xfId="0" applyFont="1" applyBorder="1" applyAlignment="1">
      <alignment horizontal="center" vertical="center" wrapText="1"/>
    </xf>
    <xf numFmtId="0" fontId="54" fillId="0" borderId="35" xfId="0" applyFont="1" applyBorder="1" applyAlignment="1">
      <alignment horizontal="center" vertical="center" wrapText="1"/>
    </xf>
    <xf numFmtId="0" fontId="54" fillId="0" borderId="36" xfId="0" applyFont="1" applyBorder="1" applyAlignment="1">
      <alignment horizontal="center" vertical="center" wrapText="1"/>
    </xf>
    <xf numFmtId="0" fontId="2" fillId="0" borderId="38" xfId="0" applyFont="1" applyBorder="1" applyAlignment="1">
      <alignment horizontal="left" vertical="center" wrapText="1"/>
    </xf>
    <xf numFmtId="0" fontId="2" fillId="0" borderId="35" xfId="0" applyFont="1" applyBorder="1" applyAlignment="1">
      <alignment horizontal="left" vertical="center" wrapText="1"/>
    </xf>
    <xf numFmtId="0" fontId="2" fillId="0" borderId="36" xfId="0" applyFont="1" applyBorder="1" applyAlignment="1">
      <alignment horizontal="left" vertical="center" wrapText="1"/>
    </xf>
    <xf numFmtId="0" fontId="2" fillId="3" borderId="38" xfId="0" applyFont="1" applyFill="1" applyBorder="1" applyAlignment="1">
      <alignment horizontal="left" vertical="center" wrapText="1"/>
    </xf>
    <xf numFmtId="0" fontId="2" fillId="3" borderId="36" xfId="0" applyFont="1" applyFill="1" applyBorder="1" applyAlignment="1">
      <alignment horizontal="left" vertical="center" wrapText="1"/>
    </xf>
    <xf numFmtId="0" fontId="52" fillId="4" borderId="38" xfId="0" applyFont="1" applyFill="1" applyBorder="1" applyAlignment="1">
      <alignment horizontal="left" vertical="center" wrapText="1"/>
    </xf>
    <xf numFmtId="0" fontId="52" fillId="4" borderId="36" xfId="0" applyFont="1" applyFill="1" applyBorder="1" applyAlignment="1">
      <alignment horizontal="left" vertical="center" wrapText="1"/>
    </xf>
    <xf numFmtId="0" fontId="1" fillId="0" borderId="38" xfId="0" applyFont="1" applyBorder="1" applyAlignment="1">
      <alignment vertical="center" wrapText="1"/>
    </xf>
    <xf numFmtId="0" fontId="1" fillId="0" borderId="35" xfId="0" applyFont="1" applyBorder="1" applyAlignment="1">
      <alignment vertical="center" wrapText="1"/>
    </xf>
    <xf numFmtId="0" fontId="1" fillId="0" borderId="36" xfId="0" applyFont="1" applyBorder="1" applyAlignment="1">
      <alignment vertical="center" wrapText="1"/>
    </xf>
    <xf numFmtId="0" fontId="1" fillId="0" borderId="38" xfId="0" applyFont="1" applyBorder="1" applyAlignment="1">
      <alignment horizontal="center" vertical="center" wrapText="1"/>
    </xf>
    <xf numFmtId="0" fontId="1" fillId="0" borderId="35" xfId="0" applyFont="1" applyBorder="1" applyAlignment="1">
      <alignment horizontal="center" vertical="center" wrapText="1"/>
    </xf>
    <xf numFmtId="0" fontId="1" fillId="0" borderId="36" xfId="0" applyFont="1" applyBorder="1" applyAlignment="1">
      <alignment horizontal="center" vertical="center" wrapText="1"/>
    </xf>
    <xf numFmtId="0" fontId="1" fillId="4" borderId="38" xfId="0" applyFont="1" applyFill="1" applyBorder="1" applyAlignment="1">
      <alignment vertical="center" wrapText="1"/>
    </xf>
    <xf numFmtId="0" fontId="1" fillId="4" borderId="35" xfId="0" applyFont="1" applyFill="1" applyBorder="1" applyAlignment="1">
      <alignment vertical="center" wrapText="1"/>
    </xf>
    <xf numFmtId="0" fontId="1" fillId="4" borderId="36" xfId="0" applyFont="1" applyFill="1" applyBorder="1" applyAlignment="1">
      <alignment vertical="center" wrapText="1"/>
    </xf>
    <xf numFmtId="0" fontId="1" fillId="3" borderId="38" xfId="0" applyFont="1" applyFill="1" applyBorder="1" applyAlignment="1">
      <alignment vertical="center" wrapText="1"/>
    </xf>
    <xf numFmtId="0" fontId="1" fillId="3" borderId="35" xfId="0" applyFont="1" applyFill="1" applyBorder="1" applyAlignment="1">
      <alignment vertical="center" wrapText="1"/>
    </xf>
    <xf numFmtId="0" fontId="1" fillId="3" borderId="36" xfId="0" applyFont="1" applyFill="1" applyBorder="1" applyAlignment="1">
      <alignment vertical="center" wrapText="1"/>
    </xf>
    <xf numFmtId="0" fontId="52" fillId="3" borderId="38" xfId="0" applyFont="1" applyFill="1" applyBorder="1" applyAlignment="1">
      <alignment vertical="center" wrapText="1"/>
    </xf>
    <xf numFmtId="0" fontId="52" fillId="3" borderId="35" xfId="0" applyFont="1" applyFill="1" applyBorder="1" applyAlignment="1">
      <alignment vertical="center" wrapText="1"/>
    </xf>
    <xf numFmtId="0" fontId="52" fillId="3" borderId="36" xfId="0" applyFont="1" applyFill="1" applyBorder="1" applyAlignment="1">
      <alignment vertical="center" wrapText="1"/>
    </xf>
    <xf numFmtId="0" fontId="2" fillId="4" borderId="16" xfId="0" applyFont="1" applyFill="1" applyBorder="1" applyAlignment="1">
      <alignment horizontal="center" vertical="center" wrapText="1"/>
    </xf>
    <xf numFmtId="0" fontId="2" fillId="4" borderId="0" xfId="0" applyFont="1" applyFill="1" applyAlignment="1">
      <alignment horizontal="center" vertical="center" wrapText="1"/>
    </xf>
    <xf numFmtId="0" fontId="2" fillId="4" borderId="3" xfId="0" applyFont="1" applyFill="1" applyBorder="1" applyAlignment="1">
      <alignment horizontal="center" vertical="center" wrapText="1"/>
    </xf>
    <xf numFmtId="0" fontId="2" fillId="4" borderId="4" xfId="0" applyFont="1" applyFill="1" applyBorder="1" applyAlignment="1">
      <alignment horizontal="center" vertical="center" wrapText="1"/>
    </xf>
    <xf numFmtId="0" fontId="2" fillId="4" borderId="6" xfId="0" applyFont="1" applyFill="1" applyBorder="1" applyAlignment="1">
      <alignment horizontal="center" vertical="center" wrapText="1"/>
    </xf>
    <xf numFmtId="0" fontId="2" fillId="4" borderId="17" xfId="0" applyFont="1" applyFill="1" applyBorder="1" applyAlignment="1">
      <alignment horizontal="center" vertical="center" wrapText="1"/>
    </xf>
    <xf numFmtId="0" fontId="2" fillId="4" borderId="18" xfId="0" applyFont="1" applyFill="1" applyBorder="1" applyAlignment="1">
      <alignment horizontal="center" vertical="center" wrapText="1"/>
    </xf>
    <xf numFmtId="0" fontId="2" fillId="4" borderId="19" xfId="0" applyFont="1" applyFill="1" applyBorder="1" applyAlignment="1">
      <alignment horizontal="center" vertical="center" wrapText="1"/>
    </xf>
    <xf numFmtId="0" fontId="54" fillId="0" borderId="1" xfId="0" applyFont="1" applyBorder="1" applyAlignment="1">
      <alignment horizontal="center" vertical="center" wrapText="1"/>
    </xf>
    <xf numFmtId="0" fontId="52" fillId="4" borderId="35" xfId="0" applyFont="1" applyFill="1" applyBorder="1" applyAlignment="1">
      <alignment horizontal="left" vertical="center" wrapText="1"/>
    </xf>
    <xf numFmtId="0" fontId="56" fillId="0" borderId="1" xfId="0" applyFont="1" applyBorder="1" applyAlignment="1">
      <alignment horizontal="center" vertical="center" wrapText="1"/>
    </xf>
    <xf numFmtId="0" fontId="56" fillId="0" borderId="12" xfId="0" applyFont="1" applyBorder="1" applyAlignment="1">
      <alignment horizontal="center" vertical="center" wrapText="1"/>
    </xf>
    <xf numFmtId="0" fontId="56" fillId="0" borderId="32" xfId="0" applyFont="1" applyBorder="1" applyAlignment="1">
      <alignment horizontal="center" vertical="center" wrapText="1"/>
    </xf>
    <xf numFmtId="0" fontId="56" fillId="0" borderId="31" xfId="0" applyFont="1" applyBorder="1" applyAlignment="1">
      <alignment horizontal="center" vertical="center" wrapText="1"/>
    </xf>
    <xf numFmtId="0" fontId="52" fillId="4" borderId="38" xfId="0" applyFont="1" applyFill="1" applyBorder="1" applyAlignment="1">
      <alignment vertical="center" wrapText="1"/>
    </xf>
    <xf numFmtId="0" fontId="52" fillId="4" borderId="35" xfId="0" applyFont="1" applyFill="1" applyBorder="1" applyAlignment="1">
      <alignment vertical="center" wrapText="1"/>
    </xf>
    <xf numFmtId="0" fontId="52" fillId="4" borderId="36" xfId="0" applyFont="1" applyFill="1" applyBorder="1" applyAlignment="1">
      <alignment vertical="center" wrapText="1"/>
    </xf>
    <xf numFmtId="0" fontId="52" fillId="5" borderId="38" xfId="0" applyFont="1" applyFill="1" applyBorder="1" applyAlignment="1">
      <alignment vertical="center" wrapText="1"/>
    </xf>
    <xf numFmtId="0" fontId="52" fillId="5" borderId="35" xfId="0" applyFont="1" applyFill="1" applyBorder="1" applyAlignment="1">
      <alignment vertical="center" wrapText="1"/>
    </xf>
    <xf numFmtId="0" fontId="52" fillId="5" borderId="36" xfId="0" applyFont="1" applyFill="1" applyBorder="1" applyAlignment="1">
      <alignment vertical="center" wrapText="1"/>
    </xf>
    <xf numFmtId="0" fontId="1" fillId="0" borderId="38" xfId="0" applyFont="1" applyBorder="1" applyAlignment="1">
      <alignment horizontal="left" vertical="center" wrapText="1"/>
    </xf>
    <xf numFmtId="0" fontId="1" fillId="0" borderId="35" xfId="0" applyFont="1" applyBorder="1" applyAlignment="1">
      <alignment horizontal="left" vertical="center" wrapText="1"/>
    </xf>
    <xf numFmtId="0" fontId="1" fillId="0" borderId="36" xfId="0" applyFont="1" applyBorder="1" applyAlignment="1">
      <alignment horizontal="left" vertical="center" wrapText="1"/>
    </xf>
    <xf numFmtId="0" fontId="54" fillId="18" borderId="1" xfId="0" applyFont="1" applyFill="1" applyBorder="1" applyAlignment="1">
      <alignment horizontal="center" vertical="center" wrapText="1"/>
    </xf>
    <xf numFmtId="0" fontId="54" fillId="19" borderId="1" xfId="0" applyFont="1" applyFill="1" applyBorder="1" applyAlignment="1">
      <alignment horizontal="center" vertical="center" wrapText="1"/>
    </xf>
    <xf numFmtId="0" fontId="54" fillId="20" borderId="38" xfId="0" applyFont="1" applyFill="1" applyBorder="1" applyAlignment="1">
      <alignment horizontal="center" vertical="center" wrapText="1"/>
    </xf>
    <xf numFmtId="0" fontId="54" fillId="20" borderId="35" xfId="0" applyFont="1" applyFill="1" applyBorder="1" applyAlignment="1">
      <alignment horizontal="center" vertical="center" wrapText="1"/>
    </xf>
    <xf numFmtId="0" fontId="54" fillId="20" borderId="36" xfId="0" applyFont="1" applyFill="1" applyBorder="1" applyAlignment="1">
      <alignment horizontal="center" vertical="center" wrapText="1"/>
    </xf>
    <xf numFmtId="0" fontId="52" fillId="20" borderId="38" xfId="0" applyFont="1" applyFill="1" applyBorder="1" applyAlignment="1">
      <alignment vertical="center" wrapText="1"/>
    </xf>
    <xf numFmtId="0" fontId="52" fillId="20" borderId="35" xfId="0" applyFont="1" applyFill="1" applyBorder="1" applyAlignment="1">
      <alignment vertical="center" wrapText="1"/>
    </xf>
    <xf numFmtId="0" fontId="52" fillId="20" borderId="36" xfId="0" applyFont="1" applyFill="1" applyBorder="1" applyAlignment="1">
      <alignment vertical="center" wrapText="1"/>
    </xf>
    <xf numFmtId="0" fontId="52" fillId="20" borderId="38" xfId="0" applyFont="1" applyFill="1" applyBorder="1" applyAlignment="1">
      <alignment horizontal="center" vertical="center" wrapText="1"/>
    </xf>
    <xf numFmtId="0" fontId="52" fillId="20" borderId="35" xfId="0" applyFont="1" applyFill="1" applyBorder="1" applyAlignment="1">
      <alignment horizontal="center" vertical="center" wrapText="1"/>
    </xf>
    <xf numFmtId="0" fontId="52" fillId="20" borderId="36" xfId="0" applyFont="1" applyFill="1" applyBorder="1" applyAlignment="1">
      <alignment horizontal="center" vertical="center" wrapText="1"/>
    </xf>
    <xf numFmtId="0" fontId="52" fillId="20" borderId="38" xfId="0" applyFont="1" applyFill="1" applyBorder="1" applyAlignment="1">
      <alignment horizontal="left" vertical="center" wrapText="1"/>
    </xf>
    <xf numFmtId="0" fontId="52" fillId="20" borderId="35" xfId="0" applyFont="1" applyFill="1" applyBorder="1" applyAlignment="1">
      <alignment horizontal="left" vertical="center" wrapText="1"/>
    </xf>
    <xf numFmtId="0" fontId="52" fillId="20" borderId="36" xfId="0" applyFont="1" applyFill="1" applyBorder="1" applyAlignment="1">
      <alignment horizontal="left" vertical="center" wrapText="1"/>
    </xf>
    <xf numFmtId="0" fontId="1" fillId="20" borderId="38" xfId="0" applyFont="1" applyFill="1" applyBorder="1" applyAlignment="1">
      <alignment vertical="center" wrapText="1"/>
    </xf>
    <xf numFmtId="0" fontId="1" fillId="20" borderId="35" xfId="0" applyFont="1" applyFill="1" applyBorder="1" applyAlignment="1">
      <alignment vertical="center" wrapText="1"/>
    </xf>
    <xf numFmtId="0" fontId="1" fillId="20" borderId="36" xfId="0" applyFont="1" applyFill="1" applyBorder="1" applyAlignment="1">
      <alignment vertical="center" wrapText="1"/>
    </xf>
    <xf numFmtId="0" fontId="1" fillId="20" borderId="38" xfId="0" applyFont="1" applyFill="1" applyBorder="1" applyAlignment="1">
      <alignment horizontal="center" vertical="center" wrapText="1"/>
    </xf>
    <xf numFmtId="0" fontId="1" fillId="20" borderId="35" xfId="0" applyFont="1" applyFill="1" applyBorder="1" applyAlignment="1">
      <alignment horizontal="center" vertical="center" wrapText="1"/>
    </xf>
    <xf numFmtId="0" fontId="1" fillId="20" borderId="36" xfId="0" applyFont="1" applyFill="1" applyBorder="1" applyAlignment="1">
      <alignment horizontal="center" vertical="center" wrapText="1"/>
    </xf>
    <xf numFmtId="0" fontId="1" fillId="20" borderId="38" xfId="0" applyFont="1" applyFill="1" applyBorder="1" applyAlignment="1">
      <alignment horizontal="left" vertical="center" wrapText="1"/>
    </xf>
    <xf numFmtId="0" fontId="1" fillId="20" borderId="35" xfId="0" applyFont="1" applyFill="1" applyBorder="1" applyAlignment="1">
      <alignment horizontal="left" vertical="center" wrapText="1"/>
    </xf>
    <xf numFmtId="0" fontId="1" fillId="20" borderId="36" xfId="0" applyFont="1" applyFill="1" applyBorder="1" applyAlignment="1">
      <alignment horizontal="left" vertical="center" wrapText="1"/>
    </xf>
    <xf numFmtId="0" fontId="0" fillId="0" borderId="1" xfId="0" applyBorder="1" applyAlignment="1">
      <alignment horizontal="left" vertical="top" wrapText="1"/>
    </xf>
    <xf numFmtId="0" fontId="0" fillId="0" borderId="1" xfId="0" applyBorder="1" applyAlignment="1">
      <alignment horizontal="left" wrapText="1"/>
    </xf>
    <xf numFmtId="0" fontId="0" fillId="0" borderId="12" xfId="0" applyBorder="1" applyAlignment="1">
      <alignment horizontal="left" vertical="top" wrapText="1"/>
    </xf>
    <xf numFmtId="0" fontId="0" fillId="0" borderId="32" xfId="0" applyBorder="1" applyAlignment="1">
      <alignment horizontal="left" vertical="top" wrapText="1"/>
    </xf>
    <xf numFmtId="0" fontId="0" fillId="0" borderId="31" xfId="0" applyBorder="1" applyAlignment="1">
      <alignment horizontal="left" vertical="top" wrapText="1"/>
    </xf>
    <xf numFmtId="0" fontId="9" fillId="2" borderId="0" xfId="0" applyFont="1" applyFill="1" applyAlignment="1">
      <alignment horizontal="left" vertical="center" wrapText="1"/>
    </xf>
    <xf numFmtId="0" fontId="11" fillId="7" borderId="0" xfId="0" applyFont="1" applyFill="1" applyAlignment="1">
      <alignment horizontal="left" vertical="center" wrapText="1"/>
    </xf>
    <xf numFmtId="0" fontId="12" fillId="8" borderId="2" xfId="0" applyFont="1" applyFill="1" applyBorder="1" applyAlignment="1">
      <alignment horizontal="center" vertical="center" textRotation="255"/>
    </xf>
    <xf numFmtId="0" fontId="12" fillId="8" borderId="5" xfId="0" applyFont="1" applyFill="1" applyBorder="1" applyAlignment="1">
      <alignment horizontal="center" vertical="center" textRotation="255"/>
    </xf>
    <xf numFmtId="0" fontId="12" fillId="8" borderId="25" xfId="0" applyFont="1" applyFill="1" applyBorder="1" applyAlignment="1">
      <alignment horizontal="center" vertical="center" textRotation="255"/>
    </xf>
    <xf numFmtId="0" fontId="13" fillId="0" borderId="0" xfId="0" applyFont="1" applyAlignment="1">
      <alignment horizontal="center" vertical="center" textRotation="90"/>
    </xf>
    <xf numFmtId="0" fontId="9" fillId="0" borderId="0" xfId="0" applyFont="1" applyAlignment="1">
      <alignment horizontal="left" vertical="top" wrapText="1"/>
    </xf>
    <xf numFmtId="0" fontId="9" fillId="0" borderId="16" xfId="0" applyFont="1" applyBorder="1" applyAlignment="1">
      <alignment horizontal="left" vertical="top" wrapText="1"/>
    </xf>
    <xf numFmtId="0" fontId="9" fillId="0" borderId="6" xfId="0" applyFont="1" applyBorder="1" applyAlignment="1">
      <alignment horizontal="left" vertical="top" wrapText="1"/>
    </xf>
    <xf numFmtId="0" fontId="24" fillId="14" borderId="2" xfId="0" applyFont="1" applyFill="1" applyBorder="1" applyAlignment="1">
      <alignment horizontal="center" vertical="center" textRotation="255"/>
    </xf>
    <xf numFmtId="0" fontId="24" fillId="14" borderId="5" xfId="0" applyFont="1" applyFill="1" applyBorder="1" applyAlignment="1">
      <alignment horizontal="center" vertical="center" textRotation="255"/>
    </xf>
    <xf numFmtId="0" fontId="24" fillId="14" borderId="16" xfId="0" applyFont="1" applyFill="1" applyBorder="1" applyAlignment="1">
      <alignment horizontal="center" vertical="center" textRotation="255"/>
    </xf>
    <xf numFmtId="0" fontId="24" fillId="14" borderId="25" xfId="0" applyFont="1" applyFill="1" applyBorder="1" applyAlignment="1">
      <alignment horizontal="center" vertical="center" textRotation="255"/>
    </xf>
    <xf numFmtId="0" fontId="9" fillId="0" borderId="0" xfId="0" applyFont="1" applyAlignment="1">
      <alignment horizontal="left" vertical="center" wrapText="1"/>
    </xf>
    <xf numFmtId="0" fontId="24" fillId="8" borderId="2" xfId="0" applyFont="1" applyFill="1" applyBorder="1" applyAlignment="1">
      <alignment horizontal="center" textRotation="255" wrapText="1"/>
    </xf>
    <xf numFmtId="0" fontId="24" fillId="8" borderId="5" xfId="0" applyFont="1" applyFill="1" applyBorder="1" applyAlignment="1">
      <alignment horizontal="center" textRotation="255" wrapText="1"/>
    </xf>
    <xf numFmtId="0" fontId="24" fillId="8" borderId="25" xfId="0" applyFont="1" applyFill="1" applyBorder="1" applyAlignment="1">
      <alignment horizontal="center" textRotation="255" wrapText="1"/>
    </xf>
    <xf numFmtId="0" fontId="29" fillId="0" borderId="0" xfId="0" applyFont="1" applyAlignment="1">
      <alignment horizontal="left" vertical="center" wrapText="1"/>
    </xf>
    <xf numFmtId="0" fontId="15" fillId="0" borderId="0" xfId="0" applyFont="1" applyAlignment="1">
      <alignment horizontal="left" vertical="center" wrapText="1"/>
    </xf>
    <xf numFmtId="0" fontId="24" fillId="14" borderId="2" xfId="0" applyFont="1" applyFill="1" applyBorder="1" applyAlignment="1">
      <alignment horizontal="center" vertical="center" textRotation="255" wrapText="1"/>
    </xf>
    <xf numFmtId="0" fontId="24" fillId="14" borderId="5" xfId="0" applyFont="1" applyFill="1" applyBorder="1" applyAlignment="1">
      <alignment horizontal="center" vertical="center" textRotation="255" wrapText="1"/>
    </xf>
    <xf numFmtId="0" fontId="24" fillId="14" borderId="16" xfId="0" applyFont="1" applyFill="1" applyBorder="1" applyAlignment="1">
      <alignment horizontal="center" vertical="center" textRotation="255" wrapText="1"/>
    </xf>
    <xf numFmtId="0" fontId="24" fillId="14" borderId="17" xfId="0" applyFont="1" applyFill="1" applyBorder="1" applyAlignment="1">
      <alignment horizontal="center" vertical="center" textRotation="255" wrapText="1"/>
    </xf>
    <xf numFmtId="0" fontId="24" fillId="14" borderId="17" xfId="0" applyFont="1" applyFill="1" applyBorder="1" applyAlignment="1">
      <alignment horizontal="center" vertical="center" textRotation="255"/>
    </xf>
    <xf numFmtId="0" fontId="24" fillId="8" borderId="2" xfId="0" applyFont="1" applyFill="1" applyBorder="1" applyAlignment="1">
      <alignment horizontal="center" vertical="center" textRotation="255" wrapText="1"/>
    </xf>
    <xf numFmtId="0" fontId="24" fillId="8" borderId="5" xfId="0" applyFont="1" applyFill="1" applyBorder="1" applyAlignment="1">
      <alignment horizontal="center" vertical="center" textRotation="255" wrapText="1"/>
    </xf>
    <xf numFmtId="0" fontId="24" fillId="8" borderId="16" xfId="0" applyFont="1" applyFill="1" applyBorder="1" applyAlignment="1">
      <alignment horizontal="center" vertical="center" textRotation="255" wrapText="1"/>
    </xf>
    <xf numFmtId="0" fontId="24" fillId="8" borderId="25" xfId="0" applyFont="1" applyFill="1" applyBorder="1" applyAlignment="1">
      <alignment horizontal="center" vertical="center" textRotation="255" wrapText="1"/>
    </xf>
    <xf numFmtId="0" fontId="29" fillId="0" borderId="0" xfId="0" applyFont="1" applyAlignment="1">
      <alignment vertical="center" wrapText="1"/>
    </xf>
    <xf numFmtId="0" fontId="24" fillId="14" borderId="25" xfId="0" applyFont="1" applyFill="1" applyBorder="1" applyAlignment="1">
      <alignment horizontal="center" vertical="center" textRotation="255" wrapText="1"/>
    </xf>
    <xf numFmtId="0" fontId="9" fillId="0" borderId="0" xfId="0" applyFont="1" applyAlignment="1">
      <alignment vertical="center" wrapText="1"/>
    </xf>
    <xf numFmtId="0" fontId="15" fillId="0" borderId="0" xfId="0" applyFont="1" applyAlignment="1">
      <alignment vertical="center" wrapText="1"/>
    </xf>
    <xf numFmtId="0" fontId="0" fillId="14" borderId="2" xfId="0" applyFill="1" applyBorder="1" applyAlignment="1">
      <alignment horizontal="center" vertical="center" textRotation="255" wrapText="1"/>
    </xf>
    <xf numFmtId="0" fontId="0" fillId="14" borderId="5" xfId="0" applyFill="1" applyBorder="1" applyAlignment="1">
      <alignment horizontal="center" vertical="center" textRotation="255" wrapText="1"/>
    </xf>
    <xf numFmtId="0" fontId="0" fillId="14" borderId="25" xfId="0" applyFill="1" applyBorder="1" applyAlignment="1">
      <alignment horizontal="center" vertical="center" textRotation="255" wrapText="1"/>
    </xf>
    <xf numFmtId="0" fontId="24" fillId="3" borderId="2" xfId="0" applyFont="1" applyFill="1" applyBorder="1" applyAlignment="1">
      <alignment horizontal="center" vertical="center" textRotation="255" wrapText="1"/>
    </xf>
    <xf numFmtId="0" fontId="24" fillId="3" borderId="5" xfId="0" applyFont="1" applyFill="1" applyBorder="1" applyAlignment="1">
      <alignment horizontal="center" vertical="center" textRotation="255" wrapText="1"/>
    </xf>
    <xf numFmtId="0" fontId="24" fillId="3" borderId="25" xfId="0" applyFont="1" applyFill="1" applyBorder="1" applyAlignment="1">
      <alignment horizontal="center" vertical="center" textRotation="255" wrapText="1"/>
    </xf>
    <xf numFmtId="0" fontId="49" fillId="0" borderId="0" xfId="0" applyFont="1" applyAlignment="1">
      <alignment horizontal="left" vertical="center" wrapText="1"/>
    </xf>
    <xf numFmtId="0" fontId="41" fillId="3" borderId="2" xfId="0" applyFont="1" applyFill="1" applyBorder="1" applyAlignment="1">
      <alignment horizontal="center" vertical="center" textRotation="255" wrapText="1"/>
    </xf>
    <xf numFmtId="0" fontId="41" fillId="3" borderId="5" xfId="0" applyFont="1" applyFill="1" applyBorder="1" applyAlignment="1">
      <alignment horizontal="center" vertical="center" textRotation="255" wrapText="1"/>
    </xf>
    <xf numFmtId="0" fontId="41" fillId="3" borderId="25" xfId="0" applyFont="1" applyFill="1" applyBorder="1" applyAlignment="1">
      <alignment horizontal="center" vertical="center" textRotation="255" wrapText="1"/>
    </xf>
  </cellXfs>
  <cellStyles count="6">
    <cellStyle name="Millares" xfId="1" builtinId="3"/>
    <cellStyle name="Millares 10 2" xfId="4" xr:uid="{00000000-0005-0000-0000-000001000000}"/>
    <cellStyle name="Millares 11" xfId="3" xr:uid="{00000000-0005-0000-0000-000002000000}"/>
    <cellStyle name="Moneda" xfId="5" builtinId="4"/>
    <cellStyle name="Normal" xfId="0" builtinId="0"/>
    <cellStyle name="Porcentaje" xfId="2" builtinId="5"/>
  </cellStyles>
  <dxfs count="34">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externalLink" Target="externalLinks/externalLink1.xml"/><Relationship Id="rId12" Type="http://schemas.microsoft.com/office/2017/10/relationships/person" Target="persons/perso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emf"/></Relationships>
</file>

<file path=xl/drawings/_rels/drawing2.xml.rels><?xml version="1.0" encoding="UTF-8" standalone="yes"?>
<Relationships xmlns="http://schemas.openxmlformats.org/package/2006/relationships"><Relationship Id="rId1" Type="http://schemas.openxmlformats.org/officeDocument/2006/relationships/image" Target="../media/image1.emf"/></Relationships>
</file>

<file path=xl/drawings/_rels/drawing3.xml.rels><?xml version="1.0" encoding="UTF-8" standalone="yes"?>
<Relationships xmlns="http://schemas.openxmlformats.org/package/2006/relationships"><Relationship Id="rId1" Type="http://schemas.openxmlformats.org/officeDocument/2006/relationships/image" Target="../media/image2.emf"/></Relationships>
</file>

<file path=xl/drawings/_rels/vmlDrawing3.vml.rels><?xml version="1.0" encoding="UTF-8" standalone="yes"?>
<Relationships xmlns="http://schemas.openxmlformats.org/package/2006/relationships"><Relationship Id="rId1" Type="http://schemas.openxmlformats.org/officeDocument/2006/relationships/image" Target="../media/image3.emf"/></Relationships>
</file>

<file path=xl/drawings/drawing1.xml><?xml version="1.0" encoding="utf-8"?>
<xdr:wsDr xmlns:xdr="http://schemas.openxmlformats.org/drawingml/2006/spreadsheetDrawing" xmlns:a="http://schemas.openxmlformats.org/drawingml/2006/main">
  <xdr:twoCellAnchor editAs="oneCell">
    <xdr:from>
      <xdr:col>0</xdr:col>
      <xdr:colOff>1657349</xdr:colOff>
      <xdr:row>141</xdr:row>
      <xdr:rowOff>47625</xdr:rowOff>
    </xdr:from>
    <xdr:to>
      <xdr:col>1</xdr:col>
      <xdr:colOff>1752599</xdr:colOff>
      <xdr:row>178</xdr:row>
      <xdr:rowOff>114300</xdr:rowOff>
    </xdr:to>
    <xdr:pic>
      <xdr:nvPicPr>
        <xdr:cNvPr id="3" name="Imagen 2">
          <a:extLst>
            <a:ext uri="{FF2B5EF4-FFF2-40B4-BE49-F238E27FC236}">
              <a16:creationId xmlns:a16="http://schemas.microsoft.com/office/drawing/2014/main" id="{207DDE0C-675A-463A-B240-6C0799AFA8BB}"/>
            </a:ext>
          </a:extLst>
        </xdr:cNvPr>
        <xdr:cNvPicPr>
          <a:picLocks noChangeAspect="1" noChangeArrowheads="1"/>
        </xdr:cNvPicPr>
      </xdr:nvPicPr>
      <xdr:blipFill rotWithShape="1">
        <a:blip xmlns:r="http://schemas.openxmlformats.org/officeDocument/2006/relationships" r:embed="rId1">
          <a:extLst>
            <a:ext uri="{28A0092B-C50C-407E-A947-70E740481C1C}">
              <a14:useLocalDpi xmlns:a14="http://schemas.microsoft.com/office/drawing/2010/main" val="0"/>
            </a:ext>
          </a:extLst>
        </a:blip>
        <a:srcRect l="40549"/>
        <a:stretch/>
      </xdr:blipFill>
      <xdr:spPr bwMode="auto">
        <a:xfrm>
          <a:off x="1657349" y="31670625"/>
          <a:ext cx="1857375" cy="78200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1657349</xdr:colOff>
      <xdr:row>144</xdr:row>
      <xdr:rowOff>47625</xdr:rowOff>
    </xdr:from>
    <xdr:to>
      <xdr:col>1</xdr:col>
      <xdr:colOff>1752599</xdr:colOff>
      <xdr:row>181</xdr:row>
      <xdr:rowOff>114299</xdr:rowOff>
    </xdr:to>
    <xdr:pic>
      <xdr:nvPicPr>
        <xdr:cNvPr id="2" name="Imagen 1">
          <a:extLst>
            <a:ext uri="{FF2B5EF4-FFF2-40B4-BE49-F238E27FC236}">
              <a16:creationId xmlns:a16="http://schemas.microsoft.com/office/drawing/2014/main" id="{A4AA8443-382D-44CF-86EC-D8872D813CC8}"/>
            </a:ext>
          </a:extLst>
        </xdr:cNvPr>
        <xdr:cNvPicPr>
          <a:picLocks noChangeAspect="1" noChangeArrowheads="1"/>
        </xdr:cNvPicPr>
      </xdr:nvPicPr>
      <xdr:blipFill rotWithShape="1">
        <a:blip xmlns:r="http://schemas.openxmlformats.org/officeDocument/2006/relationships" r:embed="rId1">
          <a:extLst>
            <a:ext uri="{28A0092B-C50C-407E-A947-70E740481C1C}">
              <a14:useLocalDpi xmlns:a14="http://schemas.microsoft.com/office/drawing/2010/main" val="0"/>
            </a:ext>
          </a:extLst>
        </a:blip>
        <a:srcRect l="40549"/>
        <a:stretch/>
      </xdr:blipFill>
      <xdr:spPr bwMode="auto">
        <a:xfrm>
          <a:off x="1657349" y="42719625"/>
          <a:ext cx="1857375" cy="78200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3.xml><?xml version="1.0" encoding="utf-8"?>
<xdr:wsDr xmlns:xdr="http://schemas.openxmlformats.org/drawingml/2006/spreadsheetDrawing" xmlns:a="http://schemas.openxmlformats.org/drawingml/2006/main">
  <xdr:twoCellAnchor>
    <xdr:from>
      <xdr:col>9</xdr:col>
      <xdr:colOff>352425</xdr:colOff>
      <xdr:row>8</xdr:row>
      <xdr:rowOff>76200</xdr:rowOff>
    </xdr:from>
    <xdr:to>
      <xdr:col>10</xdr:col>
      <xdr:colOff>571500</xdr:colOff>
      <xdr:row>8</xdr:row>
      <xdr:rowOff>76200</xdr:rowOff>
    </xdr:to>
    <xdr:cxnSp macro="">
      <xdr:nvCxnSpPr>
        <xdr:cNvPr id="3" name="Conector recto de flecha 2">
          <a:extLst>
            <a:ext uri="{FF2B5EF4-FFF2-40B4-BE49-F238E27FC236}">
              <a16:creationId xmlns:a16="http://schemas.microsoft.com/office/drawing/2014/main" id="{F1CA8D78-1BC3-CC20-79B8-1068896F5A07}"/>
            </a:ext>
          </a:extLst>
        </xdr:cNvPr>
        <xdr:cNvCxnSpPr/>
      </xdr:nvCxnSpPr>
      <xdr:spPr>
        <a:xfrm>
          <a:off x="7477125" y="4752975"/>
          <a:ext cx="981075" cy="0"/>
        </a:xfrm>
        <a:prstGeom prst="straightConnector1">
          <a:avLst/>
        </a:prstGeom>
        <a:ln w="28575">
          <a:tailEnd type="triangle"/>
        </a:ln>
      </xdr:spPr>
      <xdr:style>
        <a:lnRef idx="1">
          <a:schemeClr val="accent1"/>
        </a:lnRef>
        <a:fillRef idx="0">
          <a:schemeClr val="accent1"/>
        </a:fillRef>
        <a:effectRef idx="0">
          <a:schemeClr val="accent1"/>
        </a:effectRef>
        <a:fontRef idx="minor">
          <a:schemeClr val="tx1"/>
        </a:fontRef>
      </xdr:style>
    </xdr:cxnSp>
    <xdr:clientData/>
  </xdr:twoCellAnchor>
  <mc:AlternateContent xmlns:mc="http://schemas.openxmlformats.org/markup-compatibility/2006">
    <mc:Choice xmlns:a14="http://schemas.microsoft.com/office/drawing/2010/main" Requires="a14">
      <xdr:twoCellAnchor editAs="oneCell">
        <xdr:from>
          <xdr:col>10</xdr:col>
          <xdr:colOff>761999</xdr:colOff>
          <xdr:row>5</xdr:row>
          <xdr:rowOff>333375</xdr:rowOff>
        </xdr:from>
        <xdr:to>
          <xdr:col>14</xdr:col>
          <xdr:colOff>638174</xdr:colOff>
          <xdr:row>17</xdr:row>
          <xdr:rowOff>85725</xdr:rowOff>
        </xdr:to>
        <xdr:pic>
          <xdr:nvPicPr>
            <xdr:cNvPr id="7" name="Imagen 6">
              <a:extLst>
                <a:ext uri="{FF2B5EF4-FFF2-40B4-BE49-F238E27FC236}">
                  <a16:creationId xmlns:a16="http://schemas.microsoft.com/office/drawing/2014/main" id="{A7EF7509-3371-20D7-1672-8C789E9AF820}"/>
                </a:ext>
              </a:extLst>
            </xdr:cNvPr>
            <xdr:cNvPicPr>
              <a:picLocks noChangeAspect="1" noChangeArrowheads="1"/>
              <a:extLst>
                <a:ext uri="{84589F7E-364E-4C9E-8A38-B11213B215E9}">
                  <a14:cameraTool cellRange="$B$18:$E$54" spid="_x0000_s2277"/>
                </a:ext>
              </a:extLst>
            </xdr:cNvPicPr>
          </xdr:nvPicPr>
          <xdr:blipFill rotWithShape="1">
            <a:blip xmlns:r="http://schemas.openxmlformats.org/officeDocument/2006/relationships" r:embed="rId1"/>
            <a:srcRect l="24755"/>
            <a:stretch>
              <a:fillRect/>
            </a:stretch>
          </xdr:blipFill>
          <xdr:spPr bwMode="auto">
            <a:xfrm>
              <a:off x="8648699" y="2162175"/>
              <a:ext cx="2924175" cy="7058025"/>
            </a:xfrm>
            <a:prstGeom prst="rect">
              <a:avLst/>
            </a:prstGeom>
            <a:noFill/>
            <a:ln w="19050">
              <a:solidFill>
                <a:sysClr val="windowText" lastClr="000000"/>
              </a:solidFill>
            </a:ln>
            <a:extLst>
              <a:ext uri="{909E8E84-426E-40DD-AFC4-6F175D3DCCD1}">
                <a14:hiddenFill>
                  <a:solidFill>
                    <a:srgbClr val="FFFFFF"/>
                  </a:solidFill>
                </a14:hiddenFill>
              </a:ext>
            </a:extLst>
          </xdr:spPr>
        </xdr:pic>
        <xdr:clientData/>
      </xdr:twoCellAnchor>
    </mc:Choice>
    <mc:Fallback/>
  </mc:AlternateContent>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C:\1.%20TALENTOHUMANO_2023\17.%20HABLITACI&#211;N\CRONOGRAMA%20PROYECCI&#211;N%20PPTO%202023.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RONOGRAMA"/>
      <sheetName val="PRODUCCION 2023-1"/>
      <sheetName val="Hoja1"/>
      <sheetName val="COSTO URGENCIAS"/>
      <sheetName val="COS 2023"/>
      <sheetName val="Hoja2"/>
    </sheetNames>
    <sheetDataSet>
      <sheetData sheetId="0">
        <row r="20">
          <cell r="D20" t="str">
            <v>PROGRAMA DE SALUD FAMILIAR</v>
          </cell>
        </row>
        <row r="23">
          <cell r="D23" t="str">
            <v xml:space="preserve">FISIATRÍA </v>
          </cell>
        </row>
      </sheetData>
      <sheetData sheetId="1"/>
      <sheetData sheetId="2"/>
      <sheetData sheetId="3"/>
      <sheetData sheetId="4"/>
      <sheetData sheetId="5"/>
    </sheetDataSet>
  </externalBook>
</externalLink>
</file>

<file path=xl/persons/person.xml><?xml version="1.0" encoding="utf-8"?>
<personList xmlns="http://schemas.microsoft.com/office/spreadsheetml/2018/threadedcomments" xmlns:x="http://schemas.openxmlformats.org/spreadsheetml/2006/main">
  <person displayName="TALENTO HUMANO" id="{2E4E7650-33FD-405C-A165-8093AA8F66BF}" userId="S::talentohumano1@hrm.gov.co::f3eec357-eb1b-441a-b028-b09dd665529e" providerId="AD"/>
</personList>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hreadedComments/threadedComment1.xml><?xml version="1.0" encoding="utf-8"?>
<ThreadedComments xmlns="http://schemas.microsoft.com/office/spreadsheetml/2018/threadedcomments" xmlns:x="http://schemas.openxmlformats.org/spreadsheetml/2006/main">
  <threadedComment ref="E131" dT="2025-07-02T15:39:36.23" personId="{2E4E7650-33FD-405C-A165-8093AA8F66BF}" id="{B9F5DFC8-8FC0-4042-88F8-81156A333A8A}">
    <text>MODULOS</text>
  </threadedComment>
</ThreadedComments>
</file>

<file path=xl/threadedComments/threadedComment2.xml><?xml version="1.0" encoding="utf-8"?>
<ThreadedComments xmlns="http://schemas.microsoft.com/office/spreadsheetml/2018/threadedcomments" xmlns:x="http://schemas.openxmlformats.org/spreadsheetml/2006/main">
  <threadedComment ref="E128" dT="2025-07-02T15:39:36.23" personId="{2E4E7650-33FD-405C-A165-8093AA8F66BF}" id="{0C14F765-05CF-45FC-A95A-3AEB632277E5}">
    <text>MODULOS</text>
  </threadedComment>
</ThreadedComments>
</file>

<file path=xl/worksheets/_rels/sheet1.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printerSettings" Target="../printerSettings/printerSettings1.bin"/><Relationship Id="rId5" Type="http://schemas.microsoft.com/office/2017/10/relationships/threadedComment" Target="../threadedComments/threadedComment2.xml"/><Relationship Id="rId4" Type="http://schemas.openxmlformats.org/officeDocument/2006/relationships/comments" Target="../comments1.xm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2.xml"/><Relationship Id="rId1" Type="http://schemas.openxmlformats.org/officeDocument/2006/relationships/printerSettings" Target="../printerSettings/printerSettings3.bin"/><Relationship Id="rId5" Type="http://schemas.microsoft.com/office/2017/10/relationships/threadedComment" Target="../threadedComments/threadedComment1.xml"/><Relationship Id="rId4" Type="http://schemas.openxmlformats.org/officeDocument/2006/relationships/comments" Target="../comments2.xml"/></Relationships>
</file>

<file path=xl/worksheets/_rels/sheet4.xml.rels><?xml version="1.0" encoding="UTF-8" standalone="yes"?>
<Relationships xmlns="http://schemas.openxmlformats.org/package/2006/relationships"><Relationship Id="rId2" Type="http://schemas.openxmlformats.org/officeDocument/2006/relationships/vmlDrawing" Target="../drawings/vmlDrawing3.vml"/><Relationship Id="rId1" Type="http://schemas.openxmlformats.org/officeDocument/2006/relationships/drawing" Target="../drawings/drawing3.xml"/></Relationships>
</file>

<file path=xl/worksheets/_rels/sheet6.xml.rels><?xml version="1.0" encoding="UTF-8" standalone="yes"?>
<Relationships xmlns="http://schemas.openxmlformats.org/package/2006/relationships"><Relationship Id="rId3" Type="http://schemas.openxmlformats.org/officeDocument/2006/relationships/comments" Target="../comments3.xml"/><Relationship Id="rId2" Type="http://schemas.openxmlformats.org/officeDocument/2006/relationships/vmlDrawing" Target="../drawings/vmlDrawing4.vml"/><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W140"/>
  <sheetViews>
    <sheetView tabSelected="1" view="pageBreakPreview" topLeftCell="B1" zoomScale="80" zoomScaleNormal="80" zoomScaleSheetLayoutView="80" workbookViewId="0">
      <pane ySplit="1" topLeftCell="A126" activePane="bottomLeft" state="frozen"/>
      <selection pane="bottomLeft" activeCell="K138" sqref="K138"/>
    </sheetView>
  </sheetViews>
  <sheetFormatPr baseColWidth="10" defaultColWidth="11.44140625" defaultRowHeight="13.8" x14ac:dyDescent="0.3"/>
  <cols>
    <col min="1" max="1" width="26.44140625" style="412" customWidth="1"/>
    <col min="2" max="2" width="57.5546875" style="413" customWidth="1"/>
    <col min="3" max="3" width="28" style="413" bestFit="1" customWidth="1"/>
    <col min="4" max="4" width="17" style="412" customWidth="1"/>
    <col min="5" max="6" width="11.6640625" style="412" customWidth="1"/>
    <col min="7" max="7" width="10.6640625" style="412" customWidth="1"/>
    <col min="8" max="9" width="10.44140625" style="412" customWidth="1"/>
    <col min="10" max="13" width="19.44140625" style="412" customWidth="1"/>
    <col min="14" max="18" width="10.44140625" style="412" customWidth="1"/>
    <col min="19" max="19" width="10" style="412" customWidth="1"/>
    <col min="20" max="16384" width="11.44140625" style="409"/>
  </cols>
  <sheetData>
    <row r="1" spans="1:21" ht="27.6" x14ac:dyDescent="0.3">
      <c r="A1" s="408"/>
      <c r="B1" s="407" t="s">
        <v>91</v>
      </c>
      <c r="D1" s="412" t="s">
        <v>277</v>
      </c>
      <c r="E1" s="412">
        <v>25</v>
      </c>
      <c r="F1" s="412" t="s">
        <v>278</v>
      </c>
      <c r="I1" s="437"/>
      <c r="J1" s="438"/>
      <c r="K1" s="438"/>
      <c r="L1" s="438"/>
      <c r="M1" s="438"/>
      <c r="N1" s="438"/>
      <c r="O1" s="439"/>
    </row>
    <row r="2" spans="1:21" ht="27.6" x14ac:dyDescent="0.3">
      <c r="A2" s="410"/>
      <c r="B2" s="407" t="s">
        <v>90</v>
      </c>
      <c r="D2" s="412" t="s">
        <v>286</v>
      </c>
      <c r="E2" s="412">
        <v>22</v>
      </c>
      <c r="F2" s="412" t="s">
        <v>278</v>
      </c>
    </row>
    <row r="3" spans="1:21" ht="34.799999999999997" customHeight="1" x14ac:dyDescent="0.3">
      <c r="A3" s="411"/>
      <c r="B3" s="407" t="s">
        <v>89</v>
      </c>
      <c r="D3" s="412" t="s">
        <v>287</v>
      </c>
      <c r="E3" s="412">
        <v>30</v>
      </c>
      <c r="F3" s="412" t="s">
        <v>278</v>
      </c>
      <c r="G3" s="421"/>
      <c r="H3" s="421"/>
      <c r="I3" s="421"/>
      <c r="J3" s="420"/>
      <c r="K3" s="420"/>
      <c r="L3" s="420"/>
      <c r="M3" s="420"/>
      <c r="N3" s="421"/>
      <c r="O3" s="421"/>
      <c r="P3" s="421"/>
      <c r="Q3" s="421"/>
      <c r="R3" s="421"/>
      <c r="S3" s="421"/>
    </row>
    <row r="4" spans="1:21" ht="33" customHeight="1" x14ac:dyDescent="0.3">
      <c r="D4" s="418"/>
      <c r="E4" s="518" t="s">
        <v>279</v>
      </c>
      <c r="F4" s="519"/>
      <c r="G4" s="519"/>
      <c r="H4" s="519"/>
      <c r="I4" s="520"/>
      <c r="J4" s="416"/>
      <c r="K4" s="464"/>
      <c r="L4" s="464"/>
      <c r="M4" s="464"/>
      <c r="N4" s="517" t="s">
        <v>280</v>
      </c>
      <c r="O4" s="517"/>
      <c r="P4" s="517"/>
      <c r="Q4" s="517"/>
      <c r="R4" s="517"/>
      <c r="S4" s="517"/>
    </row>
    <row r="5" spans="1:21" s="412" customFormat="1" ht="96.6" x14ac:dyDescent="0.3">
      <c r="A5" s="402" t="s">
        <v>265</v>
      </c>
      <c r="B5" s="402" t="s">
        <v>405</v>
      </c>
      <c r="C5" s="426" t="s">
        <v>267</v>
      </c>
      <c r="D5" s="402" t="s">
        <v>268</v>
      </c>
      <c r="E5" s="402" t="s">
        <v>272</v>
      </c>
      <c r="F5" s="402" t="s">
        <v>273</v>
      </c>
      <c r="G5" s="402" t="s">
        <v>274</v>
      </c>
      <c r="H5" s="402" t="s">
        <v>275</v>
      </c>
      <c r="I5" s="402" t="s">
        <v>276</v>
      </c>
      <c r="J5" s="402" t="s">
        <v>302</v>
      </c>
      <c r="K5" s="402" t="s">
        <v>406</v>
      </c>
      <c r="L5" s="402" t="s">
        <v>404</v>
      </c>
      <c r="M5" s="402" t="s">
        <v>409</v>
      </c>
      <c r="N5" s="434" t="s">
        <v>281</v>
      </c>
      <c r="O5" s="402" t="s">
        <v>283</v>
      </c>
      <c r="P5" s="402" t="s">
        <v>282</v>
      </c>
      <c r="Q5" s="402" t="s">
        <v>284</v>
      </c>
      <c r="R5" s="402" t="s">
        <v>285</v>
      </c>
      <c r="S5" s="402" t="s">
        <v>288</v>
      </c>
      <c r="T5" s="402" t="s">
        <v>349</v>
      </c>
      <c r="U5" s="402" t="s">
        <v>350</v>
      </c>
    </row>
    <row r="6" spans="1:21" ht="32.25" customHeight="1" x14ac:dyDescent="0.3">
      <c r="A6" s="515" t="s">
        <v>0</v>
      </c>
      <c r="B6" s="404" t="s">
        <v>1</v>
      </c>
      <c r="C6" s="430" t="s">
        <v>351</v>
      </c>
      <c r="D6" s="428" t="s">
        <v>68</v>
      </c>
      <c r="E6" s="414">
        <v>4</v>
      </c>
      <c r="F6" s="414">
        <v>10</v>
      </c>
      <c r="G6" s="414">
        <v>3</v>
      </c>
      <c r="H6" s="414">
        <f t="shared" ref="H6:H27" si="0">+E6*F6*G6</f>
        <v>120</v>
      </c>
      <c r="I6" s="414">
        <f>+H6*$E$1</f>
        <v>3000</v>
      </c>
      <c r="J6" s="423" t="s">
        <v>303</v>
      </c>
      <c r="K6" s="423">
        <v>0</v>
      </c>
      <c r="L6" s="423">
        <v>0</v>
      </c>
      <c r="M6" s="423" t="s">
        <v>412</v>
      </c>
      <c r="N6" s="414">
        <v>3</v>
      </c>
      <c r="O6" s="414">
        <v>173</v>
      </c>
      <c r="P6" s="414">
        <v>180</v>
      </c>
      <c r="Q6" s="414">
        <f t="shared" ref="Q6:Q28" si="1">+P6*N6</f>
        <v>540</v>
      </c>
      <c r="R6" s="414">
        <v>3</v>
      </c>
      <c r="S6" s="414">
        <f t="shared" ref="S6:S24" si="2">+Q6*R6</f>
        <v>1620</v>
      </c>
      <c r="T6" s="414"/>
      <c r="U6" s="414"/>
    </row>
    <row r="7" spans="1:21" ht="28.8" x14ac:dyDescent="0.3">
      <c r="A7" s="515"/>
      <c r="B7" s="433" t="s">
        <v>359</v>
      </c>
      <c r="C7" s="430" t="s">
        <v>351</v>
      </c>
      <c r="D7" s="414" t="s">
        <v>68</v>
      </c>
      <c r="E7" s="414">
        <v>1</v>
      </c>
      <c r="F7" s="414">
        <v>12</v>
      </c>
      <c r="G7" s="414">
        <v>2</v>
      </c>
      <c r="H7" s="414">
        <f>+E7*F7*G7</f>
        <v>24</v>
      </c>
      <c r="I7" s="414">
        <f>+H7*$E$2</f>
        <v>528</v>
      </c>
      <c r="J7" s="423" t="s">
        <v>360</v>
      </c>
      <c r="K7" s="423">
        <v>2</v>
      </c>
      <c r="L7" s="423">
        <v>2</v>
      </c>
      <c r="M7" s="423" t="s">
        <v>421</v>
      </c>
      <c r="N7" s="414">
        <v>4</v>
      </c>
      <c r="O7" s="414">
        <v>180</v>
      </c>
      <c r="P7" s="414">
        <v>200</v>
      </c>
      <c r="Q7" s="414">
        <f t="shared" si="1"/>
        <v>800</v>
      </c>
      <c r="R7" s="414">
        <v>2</v>
      </c>
      <c r="S7" s="414">
        <f t="shared" si="2"/>
        <v>1600</v>
      </c>
      <c r="T7" s="414"/>
      <c r="U7" s="414"/>
    </row>
    <row r="8" spans="1:21" ht="25.2" customHeight="1" x14ac:dyDescent="0.3">
      <c r="A8" s="515"/>
      <c r="B8" s="404" t="s">
        <v>4</v>
      </c>
      <c r="C8" s="430" t="s">
        <v>351</v>
      </c>
      <c r="D8" s="414" t="s">
        <v>68</v>
      </c>
      <c r="E8" s="414">
        <v>1</v>
      </c>
      <c r="F8" s="414">
        <v>6</v>
      </c>
      <c r="G8" s="414">
        <v>2</v>
      </c>
      <c r="H8" s="414">
        <f t="shared" si="0"/>
        <v>12</v>
      </c>
      <c r="I8" s="414">
        <f>+H8*$E$2</f>
        <v>264</v>
      </c>
      <c r="J8" s="423" t="s">
        <v>362</v>
      </c>
      <c r="K8" s="423">
        <v>1</v>
      </c>
      <c r="L8" s="423">
        <v>1</v>
      </c>
      <c r="M8" s="423" t="s">
        <v>410</v>
      </c>
      <c r="N8" s="414">
        <v>2</v>
      </c>
      <c r="O8" s="414">
        <v>192</v>
      </c>
      <c r="P8" s="414">
        <v>200</v>
      </c>
      <c r="Q8" s="414">
        <f t="shared" si="1"/>
        <v>400</v>
      </c>
      <c r="R8" s="414">
        <v>2</v>
      </c>
      <c r="S8" s="414">
        <f t="shared" si="2"/>
        <v>800</v>
      </c>
      <c r="T8" s="414"/>
      <c r="U8" s="414"/>
    </row>
    <row r="9" spans="1:21" ht="33.6" customHeight="1" x14ac:dyDescent="0.3">
      <c r="A9" s="515"/>
      <c r="B9" s="404" t="s">
        <v>5</v>
      </c>
      <c r="C9" s="430" t="s">
        <v>351</v>
      </c>
      <c r="D9" s="414" t="s">
        <v>68</v>
      </c>
      <c r="E9" s="414">
        <v>1</v>
      </c>
      <c r="F9" s="414">
        <v>12</v>
      </c>
      <c r="G9" s="414">
        <v>3</v>
      </c>
      <c r="H9" s="414">
        <f t="shared" si="0"/>
        <v>36</v>
      </c>
      <c r="I9" s="414">
        <f>+H9*$E$2</f>
        <v>792</v>
      </c>
      <c r="J9" s="423" t="s">
        <v>318</v>
      </c>
      <c r="K9" s="423">
        <v>2</v>
      </c>
      <c r="L9" s="423">
        <v>2</v>
      </c>
      <c r="M9" s="423" t="s">
        <v>411</v>
      </c>
      <c r="N9" s="414">
        <v>3</v>
      </c>
      <c r="O9" s="414">
        <v>192</v>
      </c>
      <c r="P9" s="414">
        <v>200</v>
      </c>
      <c r="Q9" s="414">
        <f t="shared" si="1"/>
        <v>600</v>
      </c>
      <c r="R9" s="414">
        <v>3</v>
      </c>
      <c r="S9" s="414">
        <f t="shared" si="2"/>
        <v>1800</v>
      </c>
      <c r="T9" s="414"/>
      <c r="U9" s="414"/>
    </row>
    <row r="10" spans="1:21" ht="22.8" customHeight="1" x14ac:dyDescent="0.3">
      <c r="A10" s="515" t="s">
        <v>6</v>
      </c>
      <c r="B10" s="405" t="s">
        <v>7</v>
      </c>
      <c r="C10" s="430" t="s">
        <v>351</v>
      </c>
      <c r="D10" s="414" t="s">
        <v>71</v>
      </c>
      <c r="E10" s="414">
        <v>1</v>
      </c>
      <c r="F10" s="414">
        <v>7</v>
      </c>
      <c r="G10" s="414">
        <v>2</v>
      </c>
      <c r="H10" s="414">
        <f t="shared" si="0"/>
        <v>14</v>
      </c>
      <c r="I10" s="414">
        <f>+H10*4</f>
        <v>56</v>
      </c>
      <c r="J10" s="423" t="s">
        <v>363</v>
      </c>
      <c r="K10" s="423">
        <v>2</v>
      </c>
      <c r="L10" s="423">
        <v>0</v>
      </c>
      <c r="M10" s="423" t="s">
        <v>412</v>
      </c>
      <c r="N10" s="414">
        <v>1</v>
      </c>
      <c r="O10" s="414">
        <v>9</v>
      </c>
      <c r="P10" s="414">
        <v>9</v>
      </c>
      <c r="Q10" s="414">
        <f t="shared" si="1"/>
        <v>9</v>
      </c>
      <c r="R10" s="414">
        <v>2</v>
      </c>
      <c r="S10" s="414">
        <f t="shared" si="2"/>
        <v>18</v>
      </c>
      <c r="T10" s="414"/>
      <c r="U10" s="414"/>
    </row>
    <row r="11" spans="1:21" ht="34.799999999999997" customHeight="1" x14ac:dyDescent="0.3">
      <c r="A11" s="515"/>
      <c r="B11" s="405" t="s">
        <v>8</v>
      </c>
      <c r="C11" s="430" t="s">
        <v>351</v>
      </c>
      <c r="D11" s="414" t="s">
        <v>71</v>
      </c>
      <c r="E11" s="414">
        <v>1</v>
      </c>
      <c r="F11" s="414">
        <v>6</v>
      </c>
      <c r="G11" s="414">
        <v>3</v>
      </c>
      <c r="H11" s="414">
        <f t="shared" si="0"/>
        <v>18</v>
      </c>
      <c r="I11" s="414">
        <f>+H11*E2</f>
        <v>396</v>
      </c>
      <c r="J11" s="423" t="s">
        <v>365</v>
      </c>
      <c r="K11" s="423">
        <v>2</v>
      </c>
      <c r="L11" s="423">
        <v>0</v>
      </c>
      <c r="M11" s="423" t="s">
        <v>412</v>
      </c>
      <c r="N11" s="414">
        <v>1</v>
      </c>
      <c r="O11" s="414">
        <v>792</v>
      </c>
      <c r="P11" s="414">
        <v>792</v>
      </c>
      <c r="Q11" s="414">
        <f t="shared" si="1"/>
        <v>792</v>
      </c>
      <c r="R11" s="414">
        <v>3</v>
      </c>
      <c r="S11" s="414">
        <f t="shared" si="2"/>
        <v>2376</v>
      </c>
      <c r="T11" s="414"/>
      <c r="U11" s="414"/>
    </row>
    <row r="12" spans="1:21" ht="26.4" customHeight="1" x14ac:dyDescent="0.3">
      <c r="A12" s="515"/>
      <c r="B12" s="431" t="s">
        <v>88</v>
      </c>
      <c r="C12" s="430" t="s">
        <v>351</v>
      </c>
      <c r="D12" s="414" t="s">
        <v>71</v>
      </c>
      <c r="E12" s="414">
        <v>1</v>
      </c>
      <c r="F12" s="414">
        <v>6</v>
      </c>
      <c r="G12" s="414">
        <v>3</v>
      </c>
      <c r="H12" s="414">
        <f t="shared" si="0"/>
        <v>18</v>
      </c>
      <c r="I12" s="414">
        <f>+H12*E3</f>
        <v>540</v>
      </c>
      <c r="J12" s="423" t="s">
        <v>364</v>
      </c>
      <c r="K12" s="423">
        <v>2</v>
      </c>
      <c r="L12" s="423">
        <v>0</v>
      </c>
      <c r="M12" s="423" t="s">
        <v>412</v>
      </c>
      <c r="N12" s="414">
        <v>2</v>
      </c>
      <c r="O12" s="414">
        <v>792</v>
      </c>
      <c r="P12" s="414">
        <v>792</v>
      </c>
      <c r="Q12" s="414">
        <f t="shared" si="1"/>
        <v>1584</v>
      </c>
      <c r="R12" s="414">
        <v>3</v>
      </c>
      <c r="S12" s="414">
        <f t="shared" si="2"/>
        <v>4752</v>
      </c>
      <c r="T12" s="414"/>
      <c r="U12" s="414"/>
    </row>
    <row r="13" spans="1:21" ht="28.8" customHeight="1" x14ac:dyDescent="0.3">
      <c r="A13" s="515"/>
      <c r="B13" s="431" t="s">
        <v>353</v>
      </c>
      <c r="C13" s="430" t="s">
        <v>351</v>
      </c>
      <c r="D13" s="414" t="s">
        <v>71</v>
      </c>
      <c r="E13" s="414">
        <v>1</v>
      </c>
      <c r="F13" s="432" t="s">
        <v>386</v>
      </c>
      <c r="G13" s="414">
        <v>3</v>
      </c>
      <c r="H13" s="432" t="s">
        <v>386</v>
      </c>
      <c r="I13" s="432" t="s">
        <v>386</v>
      </c>
      <c r="J13" s="423" t="s">
        <v>366</v>
      </c>
      <c r="K13" s="423">
        <v>2</v>
      </c>
      <c r="L13" s="423">
        <v>0</v>
      </c>
      <c r="M13" s="423" t="s">
        <v>412</v>
      </c>
      <c r="N13" s="440">
        <v>1</v>
      </c>
      <c r="O13" s="432" t="s">
        <v>386</v>
      </c>
      <c r="P13" s="432" t="s">
        <v>386</v>
      </c>
      <c r="Q13" s="432" t="s">
        <v>386</v>
      </c>
      <c r="R13" s="414">
        <v>3</v>
      </c>
      <c r="S13" s="432" t="s">
        <v>386</v>
      </c>
      <c r="T13" s="414"/>
      <c r="U13" s="414"/>
    </row>
    <row r="14" spans="1:21" ht="28.5" customHeight="1" x14ac:dyDescent="0.3">
      <c r="A14" s="515"/>
      <c r="B14" s="431" t="s">
        <v>354</v>
      </c>
      <c r="C14" s="430" t="s">
        <v>351</v>
      </c>
      <c r="D14" s="414" t="s">
        <v>71</v>
      </c>
      <c r="E14" s="414">
        <v>1</v>
      </c>
      <c r="F14" s="414">
        <v>9</v>
      </c>
      <c r="G14" s="414">
        <v>4</v>
      </c>
      <c r="H14" s="414">
        <f>+E14*F14*G14</f>
        <v>36</v>
      </c>
      <c r="I14" s="414">
        <f>+H14*8</f>
        <v>288</v>
      </c>
      <c r="J14" s="423" t="s">
        <v>348</v>
      </c>
      <c r="K14" s="423">
        <v>2</v>
      </c>
      <c r="L14" s="423">
        <v>0</v>
      </c>
      <c r="M14" s="423" t="s">
        <v>412</v>
      </c>
      <c r="N14" s="414">
        <v>3</v>
      </c>
      <c r="O14" s="414">
        <v>40</v>
      </c>
      <c r="P14" s="414">
        <v>40</v>
      </c>
      <c r="Q14" s="414">
        <f t="shared" si="1"/>
        <v>120</v>
      </c>
      <c r="R14" s="414">
        <v>4</v>
      </c>
      <c r="S14" s="414">
        <f t="shared" si="2"/>
        <v>480</v>
      </c>
      <c r="T14" s="414"/>
      <c r="U14" s="414"/>
    </row>
    <row r="15" spans="1:21" ht="28.8" x14ac:dyDescent="0.3">
      <c r="A15" s="515"/>
      <c r="B15" s="431" t="s">
        <v>352</v>
      </c>
      <c r="C15" s="430" t="s">
        <v>351</v>
      </c>
      <c r="D15" s="414" t="s">
        <v>71</v>
      </c>
      <c r="E15" s="414">
        <v>1</v>
      </c>
      <c r="F15" s="414">
        <v>6</v>
      </c>
      <c r="G15" s="414">
        <v>2</v>
      </c>
      <c r="H15" s="414">
        <f>+E15*F15*G15</f>
        <v>12</v>
      </c>
      <c r="I15" s="414">
        <f>+H15*2</f>
        <v>24</v>
      </c>
      <c r="J15" s="423" t="s">
        <v>367</v>
      </c>
      <c r="K15" s="423">
        <v>2</v>
      </c>
      <c r="L15" s="423">
        <v>0</v>
      </c>
      <c r="M15" s="423" t="s">
        <v>412</v>
      </c>
      <c r="N15" s="414">
        <v>1</v>
      </c>
      <c r="O15" s="414">
        <v>16</v>
      </c>
      <c r="P15" s="414">
        <v>16</v>
      </c>
      <c r="Q15" s="414">
        <f t="shared" si="1"/>
        <v>16</v>
      </c>
      <c r="R15" s="414">
        <v>2</v>
      </c>
      <c r="S15" s="414">
        <f t="shared" si="2"/>
        <v>32</v>
      </c>
      <c r="T15" s="414"/>
      <c r="U15" s="414"/>
    </row>
    <row r="16" spans="1:21" ht="26.4" customHeight="1" x14ac:dyDescent="0.3">
      <c r="A16" s="515"/>
      <c r="B16" s="405" t="s">
        <v>289</v>
      </c>
      <c r="C16" s="430" t="s">
        <v>351</v>
      </c>
      <c r="D16" s="414" t="s">
        <v>71</v>
      </c>
      <c r="E16" s="414">
        <v>1</v>
      </c>
      <c r="F16" s="414">
        <v>9</v>
      </c>
      <c r="G16" s="414">
        <v>3</v>
      </c>
      <c r="H16" s="414">
        <f t="shared" si="0"/>
        <v>27</v>
      </c>
      <c r="I16" s="414">
        <f>+H16*2</f>
        <v>54</v>
      </c>
      <c r="J16" s="423" t="s">
        <v>368</v>
      </c>
      <c r="K16" s="423">
        <v>2</v>
      </c>
      <c r="L16" s="423">
        <v>0</v>
      </c>
      <c r="M16" s="423" t="s">
        <v>412</v>
      </c>
      <c r="N16" s="414">
        <v>1</v>
      </c>
      <c r="O16" s="414">
        <v>72</v>
      </c>
      <c r="P16" s="414">
        <v>72</v>
      </c>
      <c r="Q16" s="414">
        <f t="shared" si="1"/>
        <v>72</v>
      </c>
      <c r="R16" s="414">
        <v>3</v>
      </c>
      <c r="S16" s="414">
        <f t="shared" si="2"/>
        <v>216</v>
      </c>
      <c r="T16" s="414"/>
      <c r="U16" s="414"/>
    </row>
    <row r="17" spans="1:21" ht="26.4" customHeight="1" x14ac:dyDescent="0.3">
      <c r="A17" s="515"/>
      <c r="B17" s="405" t="s">
        <v>10</v>
      </c>
      <c r="C17" s="430" t="s">
        <v>351</v>
      </c>
      <c r="D17" s="414" t="s">
        <v>71</v>
      </c>
      <c r="E17" s="414">
        <v>1</v>
      </c>
      <c r="F17" s="414">
        <v>12</v>
      </c>
      <c r="G17" s="414">
        <v>2</v>
      </c>
      <c r="H17" s="414">
        <f t="shared" si="0"/>
        <v>24</v>
      </c>
      <c r="I17" s="414">
        <f>+H17*E2</f>
        <v>528</v>
      </c>
      <c r="J17" s="423" t="s">
        <v>369</v>
      </c>
      <c r="K17" s="423">
        <v>2</v>
      </c>
      <c r="L17" s="423">
        <v>1</v>
      </c>
      <c r="M17" s="423" t="s">
        <v>410</v>
      </c>
      <c r="N17" s="414">
        <v>1</v>
      </c>
      <c r="O17" s="414">
        <v>396</v>
      </c>
      <c r="P17" s="414">
        <v>396</v>
      </c>
      <c r="Q17" s="414">
        <f t="shared" si="1"/>
        <v>396</v>
      </c>
      <c r="R17" s="414">
        <v>2</v>
      </c>
      <c r="S17" s="414">
        <f t="shared" si="2"/>
        <v>792</v>
      </c>
      <c r="T17" s="414"/>
      <c r="U17" s="414"/>
    </row>
    <row r="18" spans="1:21" ht="30.75" customHeight="1" x14ac:dyDescent="0.3">
      <c r="A18" s="515"/>
      <c r="B18" s="405" t="s">
        <v>11</v>
      </c>
      <c r="C18" s="430" t="s">
        <v>351</v>
      </c>
      <c r="D18" s="414" t="s">
        <v>71</v>
      </c>
      <c r="E18" s="414">
        <v>2</v>
      </c>
      <c r="F18" s="414">
        <v>12</v>
      </c>
      <c r="G18" s="414">
        <v>4</v>
      </c>
      <c r="H18" s="414">
        <f t="shared" si="0"/>
        <v>96</v>
      </c>
      <c r="I18" s="414">
        <f>+H18*4</f>
        <v>384</v>
      </c>
      <c r="J18" s="423" t="s">
        <v>370</v>
      </c>
      <c r="K18" s="423">
        <v>4</v>
      </c>
      <c r="L18" s="423">
        <v>0</v>
      </c>
      <c r="M18" s="423" t="s">
        <v>412</v>
      </c>
      <c r="N18" s="414">
        <v>1</v>
      </c>
      <c r="O18" s="414">
        <v>108</v>
      </c>
      <c r="P18" s="414">
        <v>108</v>
      </c>
      <c r="Q18" s="414">
        <f t="shared" si="1"/>
        <v>108</v>
      </c>
      <c r="R18" s="414">
        <v>4</v>
      </c>
      <c r="S18" s="414">
        <f t="shared" si="2"/>
        <v>432</v>
      </c>
      <c r="T18" s="414"/>
      <c r="U18" s="414"/>
    </row>
    <row r="19" spans="1:21" ht="28.8" x14ac:dyDescent="0.3">
      <c r="A19" s="515"/>
      <c r="B19" s="405" t="s">
        <v>12</v>
      </c>
      <c r="C19" s="430" t="s">
        <v>351</v>
      </c>
      <c r="D19" s="414" t="s">
        <v>71</v>
      </c>
      <c r="E19" s="414">
        <v>1</v>
      </c>
      <c r="F19" s="414">
        <v>10</v>
      </c>
      <c r="G19" s="414">
        <v>4</v>
      </c>
      <c r="H19" s="414">
        <f t="shared" si="0"/>
        <v>40</v>
      </c>
      <c r="I19" s="414">
        <f>+H19*5</f>
        <v>200</v>
      </c>
      <c r="J19" s="423" t="s">
        <v>371</v>
      </c>
      <c r="K19" s="423">
        <v>2</v>
      </c>
      <c r="L19" s="423">
        <v>0</v>
      </c>
      <c r="M19" s="423" t="s">
        <v>412</v>
      </c>
      <c r="N19" s="414">
        <v>1</v>
      </c>
      <c r="O19" s="414">
        <v>200</v>
      </c>
      <c r="P19" s="414">
        <v>200</v>
      </c>
      <c r="Q19" s="414">
        <f t="shared" si="1"/>
        <v>200</v>
      </c>
      <c r="R19" s="414">
        <v>4</v>
      </c>
      <c r="S19" s="414">
        <f t="shared" si="2"/>
        <v>800</v>
      </c>
      <c r="T19" s="414"/>
      <c r="U19" s="414"/>
    </row>
    <row r="20" spans="1:21" ht="27" customHeight="1" x14ac:dyDescent="0.3">
      <c r="A20" s="515"/>
      <c r="B20" s="405" t="s">
        <v>13</v>
      </c>
      <c r="C20" s="430" t="s">
        <v>351</v>
      </c>
      <c r="D20" s="414" t="s">
        <v>71</v>
      </c>
      <c r="E20" s="414">
        <v>1</v>
      </c>
      <c r="F20" s="414">
        <v>7</v>
      </c>
      <c r="G20" s="414">
        <v>2</v>
      </c>
      <c r="H20" s="414">
        <f t="shared" si="0"/>
        <v>14</v>
      </c>
      <c r="I20" s="414">
        <f>+H20*10</f>
        <v>140</v>
      </c>
      <c r="J20" s="423" t="s">
        <v>326</v>
      </c>
      <c r="K20" s="423">
        <v>1</v>
      </c>
      <c r="L20" s="423">
        <v>0</v>
      </c>
      <c r="M20" s="423" t="s">
        <v>412</v>
      </c>
      <c r="N20" s="414">
        <v>1</v>
      </c>
      <c r="O20" s="414">
        <v>140</v>
      </c>
      <c r="P20" s="414">
        <v>5400</v>
      </c>
      <c r="Q20" s="414">
        <f t="shared" si="1"/>
        <v>5400</v>
      </c>
      <c r="R20" s="414">
        <v>2</v>
      </c>
      <c r="S20" s="414">
        <f t="shared" si="2"/>
        <v>10800</v>
      </c>
      <c r="T20" s="414"/>
      <c r="U20" s="414"/>
    </row>
    <row r="21" spans="1:21" ht="25.8" customHeight="1" x14ac:dyDescent="0.3">
      <c r="A21" s="515"/>
      <c r="B21" s="404" t="s">
        <v>14</v>
      </c>
      <c r="C21" s="430" t="s">
        <v>351</v>
      </c>
      <c r="D21" s="414" t="s">
        <v>71</v>
      </c>
      <c r="E21" s="414">
        <v>1</v>
      </c>
      <c r="F21" s="414">
        <v>6</v>
      </c>
      <c r="G21" s="414">
        <v>3</v>
      </c>
      <c r="H21" s="414">
        <f t="shared" si="0"/>
        <v>18</v>
      </c>
      <c r="I21" s="414">
        <f>+H21*E1</f>
        <v>450</v>
      </c>
      <c r="J21" s="423" t="s">
        <v>372</v>
      </c>
      <c r="K21" s="423">
        <v>2</v>
      </c>
      <c r="L21" s="423">
        <v>1</v>
      </c>
      <c r="M21" s="423" t="s">
        <v>410</v>
      </c>
      <c r="N21" s="414">
        <v>4</v>
      </c>
      <c r="O21" s="414">
        <v>187</v>
      </c>
      <c r="P21" s="414">
        <v>188</v>
      </c>
      <c r="Q21" s="414">
        <f t="shared" si="1"/>
        <v>752</v>
      </c>
      <c r="R21" s="414">
        <v>3</v>
      </c>
      <c r="S21" s="414">
        <f t="shared" si="2"/>
        <v>2256</v>
      </c>
      <c r="T21" s="414"/>
      <c r="U21" s="414"/>
    </row>
    <row r="22" spans="1:21" ht="27" customHeight="1" x14ac:dyDescent="0.3">
      <c r="A22" s="515"/>
      <c r="B22" s="404" t="s">
        <v>15</v>
      </c>
      <c r="C22" s="430" t="s">
        <v>351</v>
      </c>
      <c r="D22" s="414" t="s">
        <v>71</v>
      </c>
      <c r="E22" s="414">
        <v>1</v>
      </c>
      <c r="F22" s="414">
        <v>6</v>
      </c>
      <c r="G22" s="414">
        <v>3</v>
      </c>
      <c r="H22" s="414">
        <f t="shared" si="0"/>
        <v>18</v>
      </c>
      <c r="I22" s="414">
        <f>+H22*E2</f>
        <v>396</v>
      </c>
      <c r="J22" s="423" t="s">
        <v>373</v>
      </c>
      <c r="K22" s="423">
        <v>2</v>
      </c>
      <c r="L22" s="423">
        <v>1</v>
      </c>
      <c r="M22" s="423" t="s">
        <v>410</v>
      </c>
      <c r="N22" s="414">
        <v>2</v>
      </c>
      <c r="O22" s="414">
        <v>260</v>
      </c>
      <c r="P22" s="414">
        <v>264</v>
      </c>
      <c r="Q22" s="414">
        <f t="shared" si="1"/>
        <v>528</v>
      </c>
      <c r="R22" s="414">
        <v>3</v>
      </c>
      <c r="S22" s="414">
        <f t="shared" si="2"/>
        <v>1584</v>
      </c>
      <c r="T22" s="414"/>
      <c r="U22" s="414"/>
    </row>
    <row r="23" spans="1:21" ht="28.5" customHeight="1" x14ac:dyDescent="0.3">
      <c r="A23" s="515"/>
      <c r="B23" s="404" t="s">
        <v>16</v>
      </c>
      <c r="C23" s="430" t="s">
        <v>351</v>
      </c>
      <c r="D23" s="414" t="s">
        <v>71</v>
      </c>
      <c r="E23" s="414">
        <v>1</v>
      </c>
      <c r="F23" s="414">
        <v>9</v>
      </c>
      <c r="G23" s="414">
        <v>3</v>
      </c>
      <c r="H23" s="414">
        <f t="shared" si="0"/>
        <v>27</v>
      </c>
      <c r="I23" s="414">
        <f>+H23*8</f>
        <v>216</v>
      </c>
      <c r="J23" s="423" t="s">
        <v>374</v>
      </c>
      <c r="K23" s="423">
        <v>2</v>
      </c>
      <c r="L23" s="423">
        <v>1</v>
      </c>
      <c r="M23" s="423" t="s">
        <v>410</v>
      </c>
      <c r="N23" s="414">
        <v>1</v>
      </c>
      <c r="O23" s="414">
        <v>60</v>
      </c>
      <c r="P23" s="414">
        <v>64.8</v>
      </c>
      <c r="Q23" s="414">
        <f t="shared" si="1"/>
        <v>64.8</v>
      </c>
      <c r="R23" s="414">
        <v>3</v>
      </c>
      <c r="S23" s="414">
        <f t="shared" si="2"/>
        <v>194.39999999999998</v>
      </c>
      <c r="T23" s="414"/>
      <c r="U23" s="414"/>
    </row>
    <row r="24" spans="1:21" ht="30.75" customHeight="1" x14ac:dyDescent="0.3">
      <c r="A24" s="515"/>
      <c r="B24" s="404" t="s">
        <v>17</v>
      </c>
      <c r="C24" s="430" t="s">
        <v>351</v>
      </c>
      <c r="D24" s="414" t="s">
        <v>71</v>
      </c>
      <c r="E24" s="414">
        <v>1</v>
      </c>
      <c r="F24" s="414">
        <v>6</v>
      </c>
      <c r="G24" s="414">
        <v>3</v>
      </c>
      <c r="H24" s="414">
        <f t="shared" si="0"/>
        <v>18</v>
      </c>
      <c r="I24" s="414">
        <f>+H24*E2</f>
        <v>396</v>
      </c>
      <c r="J24" s="423" t="s">
        <v>375</v>
      </c>
      <c r="K24" s="423">
        <v>2</v>
      </c>
      <c r="L24" s="423">
        <v>1</v>
      </c>
      <c r="M24" s="423" t="s">
        <v>410</v>
      </c>
      <c r="N24" s="414">
        <v>6</v>
      </c>
      <c r="O24" s="414">
        <v>264</v>
      </c>
      <c r="P24" s="414">
        <v>264</v>
      </c>
      <c r="Q24" s="414">
        <f t="shared" si="1"/>
        <v>1584</v>
      </c>
      <c r="R24" s="414">
        <v>3</v>
      </c>
      <c r="S24" s="414">
        <f t="shared" si="2"/>
        <v>4752</v>
      </c>
      <c r="T24" s="414"/>
      <c r="U24" s="414"/>
    </row>
    <row r="25" spans="1:21" ht="27.75" customHeight="1" x14ac:dyDescent="0.3">
      <c r="A25" s="515"/>
      <c r="B25" s="404" t="s">
        <v>18</v>
      </c>
      <c r="C25" s="430" t="s">
        <v>351</v>
      </c>
      <c r="D25" s="414" t="s">
        <v>71</v>
      </c>
      <c r="E25" s="414">
        <v>1</v>
      </c>
      <c r="F25" s="414">
        <v>6</v>
      </c>
      <c r="G25" s="414">
        <v>3</v>
      </c>
      <c r="H25" s="414">
        <f t="shared" si="0"/>
        <v>18</v>
      </c>
      <c r="I25" s="414">
        <f>+H25*E2</f>
        <v>396</v>
      </c>
      <c r="J25" s="423" t="s">
        <v>376</v>
      </c>
      <c r="K25" s="423">
        <v>2</v>
      </c>
      <c r="L25" s="423">
        <v>1</v>
      </c>
      <c r="M25" s="423" t="s">
        <v>410</v>
      </c>
      <c r="N25" s="414">
        <v>2</v>
      </c>
      <c r="O25" s="414">
        <v>700</v>
      </c>
      <c r="P25" s="414">
        <v>660</v>
      </c>
      <c r="Q25" s="414">
        <f t="shared" si="1"/>
        <v>1320</v>
      </c>
      <c r="R25" s="414">
        <v>3</v>
      </c>
      <c r="S25" s="414">
        <f t="shared" ref="S25:S28" si="3">+Q25*R25</f>
        <v>3960</v>
      </c>
      <c r="T25" s="414"/>
      <c r="U25" s="414"/>
    </row>
    <row r="26" spans="1:21" ht="27" customHeight="1" x14ac:dyDescent="0.3">
      <c r="A26" s="515"/>
      <c r="B26" s="404" t="s">
        <v>19</v>
      </c>
      <c r="C26" s="430" t="s">
        <v>351</v>
      </c>
      <c r="D26" s="414" t="s">
        <v>71</v>
      </c>
      <c r="E26" s="414">
        <v>1</v>
      </c>
      <c r="F26" s="414">
        <v>6</v>
      </c>
      <c r="G26" s="414">
        <v>3</v>
      </c>
      <c r="H26" s="414">
        <f t="shared" si="0"/>
        <v>18</v>
      </c>
      <c r="I26" s="414">
        <f>+H26*19</f>
        <v>342</v>
      </c>
      <c r="J26" s="423" t="s">
        <v>377</v>
      </c>
      <c r="K26" s="423">
        <v>2</v>
      </c>
      <c r="L26" s="423">
        <v>1</v>
      </c>
      <c r="M26" s="423" t="s">
        <v>410</v>
      </c>
      <c r="N26" s="414">
        <v>5</v>
      </c>
      <c r="O26" s="414">
        <v>630</v>
      </c>
      <c r="P26" s="414">
        <v>627</v>
      </c>
      <c r="Q26" s="414">
        <f t="shared" si="1"/>
        <v>3135</v>
      </c>
      <c r="R26" s="414">
        <v>3</v>
      </c>
      <c r="S26" s="414">
        <f t="shared" ref="S26" si="4">+Q26*R26</f>
        <v>9405</v>
      </c>
      <c r="T26" s="414"/>
      <c r="U26" s="414"/>
    </row>
    <row r="27" spans="1:21" ht="27" customHeight="1" x14ac:dyDescent="0.3">
      <c r="A27" s="515"/>
      <c r="B27" s="404" t="s">
        <v>20</v>
      </c>
      <c r="C27" s="430" t="s">
        <v>351</v>
      </c>
      <c r="D27" s="414" t="s">
        <v>71</v>
      </c>
      <c r="E27" s="414">
        <v>1</v>
      </c>
      <c r="F27" s="414">
        <v>12</v>
      </c>
      <c r="G27" s="414">
        <v>3</v>
      </c>
      <c r="H27" s="414">
        <f t="shared" si="0"/>
        <v>36</v>
      </c>
      <c r="I27" s="414">
        <f>+H27*E2</f>
        <v>792</v>
      </c>
      <c r="J27" s="423" t="s">
        <v>378</v>
      </c>
      <c r="K27" s="423">
        <v>2</v>
      </c>
      <c r="L27" s="423">
        <v>1</v>
      </c>
      <c r="M27" s="423" t="s">
        <v>410</v>
      </c>
      <c r="N27" s="414">
        <v>4</v>
      </c>
      <c r="O27" s="414">
        <v>1000</v>
      </c>
      <c r="P27" s="414">
        <v>660</v>
      </c>
      <c r="Q27" s="414">
        <f t="shared" si="1"/>
        <v>2640</v>
      </c>
      <c r="R27" s="414">
        <v>3</v>
      </c>
      <c r="S27" s="414">
        <f>+Q27*R27</f>
        <v>7920</v>
      </c>
      <c r="T27" s="414"/>
      <c r="U27" s="414"/>
    </row>
    <row r="28" spans="1:21" ht="32.25" customHeight="1" x14ac:dyDescent="0.3">
      <c r="A28" s="515"/>
      <c r="B28" s="406" t="s">
        <v>64</v>
      </c>
      <c r="C28" s="415" t="s">
        <v>269</v>
      </c>
      <c r="D28" s="414" t="s">
        <v>71</v>
      </c>
      <c r="E28" s="414">
        <v>1</v>
      </c>
      <c r="F28" s="414">
        <v>12</v>
      </c>
      <c r="G28" s="414">
        <v>3</v>
      </c>
      <c r="H28" s="414">
        <f>+E28*F28*G28</f>
        <v>36</v>
      </c>
      <c r="I28" s="414">
        <f>+H28*5</f>
        <v>180</v>
      </c>
      <c r="J28" s="423" t="s">
        <v>379</v>
      </c>
      <c r="K28" s="423">
        <v>2</v>
      </c>
      <c r="L28" s="423">
        <v>0</v>
      </c>
      <c r="M28" s="423" t="s">
        <v>412</v>
      </c>
      <c r="N28" s="414">
        <v>1</v>
      </c>
      <c r="O28" s="414">
        <v>150</v>
      </c>
      <c r="P28" s="414">
        <v>105</v>
      </c>
      <c r="Q28" s="414">
        <f t="shared" si="1"/>
        <v>105</v>
      </c>
      <c r="R28" s="414">
        <v>3</v>
      </c>
      <c r="S28" s="414">
        <f t="shared" si="3"/>
        <v>315</v>
      </c>
      <c r="T28" s="414"/>
      <c r="U28" s="414"/>
    </row>
    <row r="29" spans="1:21" ht="27" customHeight="1" x14ac:dyDescent="0.3">
      <c r="A29" s="515"/>
      <c r="B29" s="465" t="s">
        <v>407</v>
      </c>
      <c r="C29" s="415" t="s">
        <v>269</v>
      </c>
      <c r="D29" s="414" t="s">
        <v>71</v>
      </c>
      <c r="E29" s="414">
        <v>1</v>
      </c>
      <c r="F29" s="414">
        <v>6</v>
      </c>
      <c r="G29" s="414">
        <v>3</v>
      </c>
      <c r="H29" s="414">
        <f>+E29*F29*G29</f>
        <v>18</v>
      </c>
      <c r="I29" s="414">
        <f>+H29*5</f>
        <v>90</v>
      </c>
      <c r="J29" s="423" t="s">
        <v>381</v>
      </c>
      <c r="K29" s="423">
        <v>2</v>
      </c>
      <c r="L29" s="423">
        <v>0</v>
      </c>
      <c r="M29" s="423" t="s">
        <v>412</v>
      </c>
      <c r="N29" s="414">
        <v>1</v>
      </c>
      <c r="O29" s="414">
        <v>150</v>
      </c>
      <c r="P29" s="414">
        <v>105</v>
      </c>
      <c r="Q29" s="414">
        <v>105</v>
      </c>
      <c r="R29" s="414">
        <v>3</v>
      </c>
      <c r="S29" s="414">
        <f t="shared" ref="S29" si="5">+Q29*R29</f>
        <v>315</v>
      </c>
      <c r="T29" s="414"/>
      <c r="U29" s="414"/>
    </row>
    <row r="30" spans="1:21" ht="32.4" customHeight="1" x14ac:dyDescent="0.3">
      <c r="A30" s="515"/>
      <c r="B30" s="404" t="s">
        <v>21</v>
      </c>
      <c r="C30" s="415" t="s">
        <v>269</v>
      </c>
      <c r="D30" s="414" t="s">
        <v>71</v>
      </c>
      <c r="E30" s="414">
        <v>1</v>
      </c>
      <c r="F30" s="414">
        <v>12</v>
      </c>
      <c r="G30" s="414">
        <v>4</v>
      </c>
      <c r="H30" s="414">
        <f>+E30*F30*G30</f>
        <v>48</v>
      </c>
      <c r="I30" s="414">
        <f>+H30*5</f>
        <v>240</v>
      </c>
      <c r="J30" s="423" t="s">
        <v>380</v>
      </c>
      <c r="K30" s="423">
        <v>2</v>
      </c>
      <c r="L30" s="423">
        <v>0</v>
      </c>
      <c r="M30" s="423" t="s">
        <v>412</v>
      </c>
      <c r="N30" s="414">
        <v>1</v>
      </c>
      <c r="O30" s="414">
        <v>240</v>
      </c>
      <c r="P30" s="414">
        <v>240</v>
      </c>
      <c r="Q30" s="414">
        <f>+P30*N30</f>
        <v>240</v>
      </c>
      <c r="R30" s="414">
        <v>4</v>
      </c>
      <c r="S30" s="414">
        <f>+Q30*R30</f>
        <v>960</v>
      </c>
      <c r="T30" s="414"/>
      <c r="U30" s="414"/>
    </row>
    <row r="31" spans="1:21" ht="14.4" x14ac:dyDescent="0.3">
      <c r="A31" s="482" t="s">
        <v>22</v>
      </c>
      <c r="B31" s="521" t="s">
        <v>8</v>
      </c>
      <c r="C31" s="469" t="s">
        <v>74</v>
      </c>
      <c r="D31" s="469" t="s">
        <v>75</v>
      </c>
      <c r="E31" s="414">
        <v>1</v>
      </c>
      <c r="F31" s="414">
        <v>6</v>
      </c>
      <c r="G31" s="414">
        <v>1</v>
      </c>
      <c r="H31" s="414">
        <f t="shared" ref="H31" si="6">+E31*F31*G31</f>
        <v>6</v>
      </c>
      <c r="I31" s="414">
        <f>+H31*E2</f>
        <v>132</v>
      </c>
      <c r="J31" s="423" t="s">
        <v>365</v>
      </c>
      <c r="K31" s="473" t="s">
        <v>408</v>
      </c>
      <c r="L31" s="423">
        <v>0</v>
      </c>
      <c r="M31" s="423" t="s">
        <v>412</v>
      </c>
      <c r="N31" s="414">
        <v>1</v>
      </c>
      <c r="O31" s="414">
        <v>240</v>
      </c>
      <c r="P31" s="414">
        <v>240</v>
      </c>
      <c r="Q31" s="414">
        <f t="shared" ref="Q31:Q38" si="7">+P31*N31</f>
        <v>240</v>
      </c>
      <c r="R31" s="414">
        <v>1</v>
      </c>
      <c r="S31" s="414">
        <f t="shared" ref="S31:S43" si="8">+Q31*R31</f>
        <v>240</v>
      </c>
      <c r="T31" s="414"/>
      <c r="U31" s="414"/>
    </row>
    <row r="32" spans="1:21" ht="14.4" x14ac:dyDescent="0.3">
      <c r="A32" s="483"/>
      <c r="B32" s="522"/>
      <c r="C32" s="470"/>
      <c r="D32" s="470"/>
      <c r="E32" s="414">
        <v>1</v>
      </c>
      <c r="F32" s="414">
        <v>6</v>
      </c>
      <c r="G32" s="414">
        <v>1</v>
      </c>
      <c r="H32" s="414">
        <f t="shared" ref="H32:H43" si="9">+E32*F32*G32</f>
        <v>6</v>
      </c>
      <c r="I32" s="414">
        <f>+H32*E2</f>
        <v>132</v>
      </c>
      <c r="J32" s="423" t="s">
        <v>385</v>
      </c>
      <c r="K32" s="474"/>
      <c r="L32" s="423">
        <v>0</v>
      </c>
      <c r="M32" s="423" t="s">
        <v>412</v>
      </c>
      <c r="N32" s="414">
        <v>1</v>
      </c>
      <c r="O32" s="414">
        <v>240</v>
      </c>
      <c r="P32" s="414">
        <v>240</v>
      </c>
      <c r="Q32" s="414">
        <f t="shared" si="7"/>
        <v>240</v>
      </c>
      <c r="R32" s="414">
        <v>1</v>
      </c>
      <c r="S32" s="414">
        <f t="shared" si="8"/>
        <v>240</v>
      </c>
      <c r="T32" s="414"/>
      <c r="U32" s="414"/>
    </row>
    <row r="33" spans="1:21" ht="14.4" x14ac:dyDescent="0.3">
      <c r="A33" s="483"/>
      <c r="B33" s="522"/>
      <c r="C33" s="470"/>
      <c r="D33" s="470"/>
      <c r="E33" s="414">
        <v>1</v>
      </c>
      <c r="F33" s="414">
        <v>6</v>
      </c>
      <c r="G33" s="414">
        <v>1</v>
      </c>
      <c r="H33" s="414">
        <f t="shared" si="9"/>
        <v>6</v>
      </c>
      <c r="I33" s="414">
        <f>+H33*E2</f>
        <v>132</v>
      </c>
      <c r="J33" s="423" t="s">
        <v>384</v>
      </c>
      <c r="K33" s="474"/>
      <c r="L33" s="423">
        <v>0</v>
      </c>
      <c r="M33" s="423" t="s">
        <v>412</v>
      </c>
      <c r="N33" s="414">
        <v>1</v>
      </c>
      <c r="O33" s="414">
        <v>240</v>
      </c>
      <c r="P33" s="414">
        <v>240</v>
      </c>
      <c r="Q33" s="414">
        <f t="shared" si="7"/>
        <v>240</v>
      </c>
      <c r="R33" s="414">
        <v>1</v>
      </c>
      <c r="S33" s="414">
        <f t="shared" si="8"/>
        <v>240</v>
      </c>
      <c r="T33" s="414"/>
      <c r="U33" s="414"/>
    </row>
    <row r="34" spans="1:21" ht="14.4" x14ac:dyDescent="0.3">
      <c r="A34" s="483"/>
      <c r="B34" s="522"/>
      <c r="C34" s="470"/>
      <c r="D34" s="470"/>
      <c r="E34" s="414">
        <v>1</v>
      </c>
      <c r="F34" s="414">
        <v>6</v>
      </c>
      <c r="G34" s="414">
        <v>1</v>
      </c>
      <c r="H34" s="414">
        <f t="shared" si="9"/>
        <v>6</v>
      </c>
      <c r="I34" s="414">
        <f>+H34*E2</f>
        <v>132</v>
      </c>
      <c r="J34" s="423" t="s">
        <v>387</v>
      </c>
      <c r="K34" s="474"/>
      <c r="L34" s="423">
        <v>0</v>
      </c>
      <c r="M34" s="423" t="s">
        <v>412</v>
      </c>
      <c r="N34" s="414">
        <v>1</v>
      </c>
      <c r="O34" s="414">
        <v>240</v>
      </c>
      <c r="P34" s="414">
        <v>240</v>
      </c>
      <c r="Q34" s="414">
        <f t="shared" si="7"/>
        <v>240</v>
      </c>
      <c r="R34" s="414">
        <v>1</v>
      </c>
      <c r="S34" s="414">
        <f t="shared" si="8"/>
        <v>240</v>
      </c>
      <c r="T34" s="414"/>
      <c r="U34" s="414"/>
    </row>
    <row r="35" spans="1:21" ht="14.4" x14ac:dyDescent="0.3">
      <c r="A35" s="483"/>
      <c r="B35" s="522"/>
      <c r="C35" s="470"/>
      <c r="D35" s="470"/>
      <c r="E35" s="414">
        <v>1</v>
      </c>
      <c r="F35" s="414">
        <v>6</v>
      </c>
      <c r="G35" s="414">
        <v>1</v>
      </c>
      <c r="H35" s="414">
        <f t="shared" si="9"/>
        <v>6</v>
      </c>
      <c r="I35" s="414">
        <f>+H35*E2</f>
        <v>132</v>
      </c>
      <c r="J35" s="423" t="s">
        <v>388</v>
      </c>
      <c r="K35" s="474"/>
      <c r="L35" s="423">
        <v>0</v>
      </c>
      <c r="M35" s="423" t="s">
        <v>412</v>
      </c>
      <c r="N35" s="414">
        <v>1</v>
      </c>
      <c r="O35" s="414">
        <v>240</v>
      </c>
      <c r="P35" s="414">
        <v>240</v>
      </c>
      <c r="Q35" s="414">
        <f t="shared" si="7"/>
        <v>240</v>
      </c>
      <c r="R35" s="414">
        <v>1</v>
      </c>
      <c r="S35" s="414">
        <f t="shared" si="8"/>
        <v>240</v>
      </c>
      <c r="T35" s="414"/>
      <c r="U35" s="414"/>
    </row>
    <row r="36" spans="1:21" ht="14.4" x14ac:dyDescent="0.3">
      <c r="A36" s="483"/>
      <c r="B36" s="522"/>
      <c r="C36" s="470"/>
      <c r="D36" s="470"/>
      <c r="E36" s="414">
        <v>1</v>
      </c>
      <c r="F36" s="414">
        <v>6</v>
      </c>
      <c r="G36" s="414">
        <v>1</v>
      </c>
      <c r="H36" s="414">
        <f t="shared" si="9"/>
        <v>6</v>
      </c>
      <c r="I36" s="414">
        <f>+H36*E2</f>
        <v>132</v>
      </c>
      <c r="J36" s="423" t="s">
        <v>389</v>
      </c>
      <c r="K36" s="474"/>
      <c r="L36" s="423">
        <v>1</v>
      </c>
      <c r="M36" s="423" t="s">
        <v>410</v>
      </c>
      <c r="N36" s="414">
        <v>1</v>
      </c>
      <c r="O36" s="414">
        <v>240</v>
      </c>
      <c r="P36" s="414">
        <v>240</v>
      </c>
      <c r="Q36" s="414">
        <f t="shared" si="7"/>
        <v>240</v>
      </c>
      <c r="R36" s="414">
        <v>1</v>
      </c>
      <c r="S36" s="414">
        <f t="shared" si="8"/>
        <v>240</v>
      </c>
      <c r="T36" s="414"/>
      <c r="U36" s="414"/>
    </row>
    <row r="37" spans="1:21" ht="14.4" x14ac:dyDescent="0.3">
      <c r="A37" s="483"/>
      <c r="B37" s="523"/>
      <c r="C37" s="471"/>
      <c r="D37" s="471"/>
      <c r="E37" s="414">
        <v>1</v>
      </c>
      <c r="F37" s="414">
        <v>6</v>
      </c>
      <c r="G37" s="414">
        <v>1</v>
      </c>
      <c r="H37" s="414">
        <f t="shared" si="9"/>
        <v>6</v>
      </c>
      <c r="I37" s="414">
        <f>+H37*E2</f>
        <v>132</v>
      </c>
      <c r="J37" s="423" t="s">
        <v>390</v>
      </c>
      <c r="K37" s="475"/>
      <c r="L37" s="423">
        <v>0</v>
      </c>
      <c r="M37" s="423" t="s">
        <v>412</v>
      </c>
      <c r="N37" s="414">
        <v>1</v>
      </c>
      <c r="O37" s="414">
        <v>240</v>
      </c>
      <c r="P37" s="414">
        <v>240</v>
      </c>
      <c r="Q37" s="414">
        <f t="shared" si="7"/>
        <v>240</v>
      </c>
      <c r="R37" s="414">
        <v>1</v>
      </c>
      <c r="S37" s="414">
        <f t="shared" si="8"/>
        <v>240</v>
      </c>
      <c r="T37" s="414"/>
      <c r="U37" s="414"/>
    </row>
    <row r="38" spans="1:21" ht="14.4" x14ac:dyDescent="0.3">
      <c r="A38" s="483"/>
      <c r="B38" s="521" t="s">
        <v>23</v>
      </c>
      <c r="C38" s="476" t="s">
        <v>72</v>
      </c>
      <c r="D38" s="469" t="s">
        <v>76</v>
      </c>
      <c r="E38" s="414">
        <v>1</v>
      </c>
      <c r="F38" s="414">
        <v>12</v>
      </c>
      <c r="G38" s="414">
        <v>2</v>
      </c>
      <c r="H38" s="414">
        <f t="shared" si="9"/>
        <v>24</v>
      </c>
      <c r="I38" s="414">
        <f>+H38*E3</f>
        <v>720</v>
      </c>
      <c r="J38" s="423" t="s">
        <v>370</v>
      </c>
      <c r="K38" s="472" t="s">
        <v>408</v>
      </c>
      <c r="L38" s="423">
        <v>0</v>
      </c>
      <c r="M38" s="423" t="s">
        <v>412</v>
      </c>
      <c r="N38" s="414">
        <v>1</v>
      </c>
      <c r="O38" s="414">
        <v>240</v>
      </c>
      <c r="P38" s="414">
        <v>240</v>
      </c>
      <c r="Q38" s="414">
        <f t="shared" si="7"/>
        <v>240</v>
      </c>
      <c r="R38" s="414">
        <v>2</v>
      </c>
      <c r="S38" s="414">
        <f t="shared" si="8"/>
        <v>480</v>
      </c>
      <c r="T38" s="414"/>
      <c r="U38" s="414"/>
    </row>
    <row r="39" spans="1:21" ht="14.4" x14ac:dyDescent="0.3">
      <c r="A39" s="483"/>
      <c r="B39" s="522"/>
      <c r="C39" s="477"/>
      <c r="D39" s="470"/>
      <c r="E39" s="414">
        <v>1</v>
      </c>
      <c r="F39" s="414">
        <v>12</v>
      </c>
      <c r="G39" s="414">
        <v>2</v>
      </c>
      <c r="H39" s="414">
        <f t="shared" si="9"/>
        <v>24</v>
      </c>
      <c r="I39" s="414">
        <f>+H39*E3</f>
        <v>720</v>
      </c>
      <c r="J39" s="423" t="s">
        <v>385</v>
      </c>
      <c r="K39" s="467"/>
      <c r="L39" s="423">
        <v>0</v>
      </c>
      <c r="M39" s="423" t="s">
        <v>412</v>
      </c>
      <c r="N39" s="414">
        <v>1</v>
      </c>
      <c r="O39" s="414">
        <v>240</v>
      </c>
      <c r="P39" s="414">
        <v>240</v>
      </c>
      <c r="Q39" s="414">
        <f t="shared" ref="Q39:Q43" si="10">+P39*N39</f>
        <v>240</v>
      </c>
      <c r="R39" s="414">
        <v>2</v>
      </c>
      <c r="S39" s="414">
        <f t="shared" si="8"/>
        <v>480</v>
      </c>
      <c r="T39" s="414"/>
      <c r="U39" s="414"/>
    </row>
    <row r="40" spans="1:21" ht="14.4" x14ac:dyDescent="0.3">
      <c r="A40" s="483"/>
      <c r="B40" s="522"/>
      <c r="C40" s="477"/>
      <c r="D40" s="470"/>
      <c r="E40" s="414">
        <v>1</v>
      </c>
      <c r="F40" s="414">
        <v>12</v>
      </c>
      <c r="G40" s="414">
        <v>2</v>
      </c>
      <c r="H40" s="414">
        <f t="shared" si="9"/>
        <v>24</v>
      </c>
      <c r="I40" s="414">
        <f>+H40*E3</f>
        <v>720</v>
      </c>
      <c r="J40" s="423" t="s">
        <v>384</v>
      </c>
      <c r="K40" s="467"/>
      <c r="L40" s="423">
        <v>0</v>
      </c>
      <c r="M40" s="423" t="s">
        <v>412</v>
      </c>
      <c r="N40" s="414">
        <v>1</v>
      </c>
      <c r="O40" s="414">
        <v>240</v>
      </c>
      <c r="P40" s="414">
        <v>240</v>
      </c>
      <c r="Q40" s="414">
        <f t="shared" si="10"/>
        <v>240</v>
      </c>
      <c r="R40" s="414">
        <v>2</v>
      </c>
      <c r="S40" s="414">
        <f t="shared" si="8"/>
        <v>480</v>
      </c>
      <c r="T40" s="414"/>
      <c r="U40" s="414"/>
    </row>
    <row r="41" spans="1:21" ht="14.4" x14ac:dyDescent="0.3">
      <c r="A41" s="483"/>
      <c r="B41" s="522"/>
      <c r="C41" s="477"/>
      <c r="D41" s="470"/>
      <c r="E41" s="414">
        <v>1</v>
      </c>
      <c r="F41" s="414">
        <v>12</v>
      </c>
      <c r="G41" s="414">
        <v>2</v>
      </c>
      <c r="H41" s="414">
        <f t="shared" si="9"/>
        <v>24</v>
      </c>
      <c r="I41" s="414">
        <f>+H41*E3</f>
        <v>720</v>
      </c>
      <c r="J41" s="423" t="s">
        <v>387</v>
      </c>
      <c r="K41" s="467"/>
      <c r="L41" s="423">
        <v>0</v>
      </c>
      <c r="M41" s="423" t="s">
        <v>412</v>
      </c>
      <c r="N41" s="414">
        <v>1</v>
      </c>
      <c r="O41" s="414">
        <v>240</v>
      </c>
      <c r="P41" s="414">
        <v>240</v>
      </c>
      <c r="Q41" s="414">
        <f t="shared" si="10"/>
        <v>240</v>
      </c>
      <c r="R41" s="414">
        <v>2</v>
      </c>
      <c r="S41" s="414">
        <f t="shared" si="8"/>
        <v>480</v>
      </c>
      <c r="T41" s="414"/>
      <c r="U41" s="414"/>
    </row>
    <row r="42" spans="1:21" ht="14.4" x14ac:dyDescent="0.3">
      <c r="A42" s="483"/>
      <c r="B42" s="522"/>
      <c r="C42" s="477"/>
      <c r="D42" s="470"/>
      <c r="E42" s="414">
        <v>1</v>
      </c>
      <c r="F42" s="414">
        <v>12</v>
      </c>
      <c r="G42" s="414">
        <v>2</v>
      </c>
      <c r="H42" s="414">
        <f t="shared" si="9"/>
        <v>24</v>
      </c>
      <c r="I42" s="414">
        <f>+H42*E3</f>
        <v>720</v>
      </c>
      <c r="J42" s="423" t="s">
        <v>388</v>
      </c>
      <c r="K42" s="467"/>
      <c r="L42" s="423">
        <v>0</v>
      </c>
      <c r="M42" s="423" t="s">
        <v>412</v>
      </c>
      <c r="N42" s="414">
        <v>1</v>
      </c>
      <c r="O42" s="414">
        <v>240</v>
      </c>
      <c r="P42" s="414">
        <v>240</v>
      </c>
      <c r="Q42" s="414">
        <f t="shared" si="10"/>
        <v>240</v>
      </c>
      <c r="R42" s="414">
        <v>2</v>
      </c>
      <c r="S42" s="414">
        <f t="shared" si="8"/>
        <v>480</v>
      </c>
      <c r="T42" s="414"/>
      <c r="U42" s="414"/>
    </row>
    <row r="43" spans="1:21" ht="14.4" x14ac:dyDescent="0.3">
      <c r="A43" s="483"/>
      <c r="B43" s="523"/>
      <c r="C43" s="478"/>
      <c r="D43" s="471"/>
      <c r="E43" s="414">
        <v>1</v>
      </c>
      <c r="F43" s="414">
        <v>12</v>
      </c>
      <c r="G43" s="414">
        <v>2</v>
      </c>
      <c r="H43" s="414">
        <f t="shared" si="9"/>
        <v>24</v>
      </c>
      <c r="I43" s="414">
        <f>+H43*E3</f>
        <v>720</v>
      </c>
      <c r="J43" s="423" t="s">
        <v>389</v>
      </c>
      <c r="K43" s="468"/>
      <c r="L43" s="423">
        <v>1</v>
      </c>
      <c r="M43" s="423" t="s">
        <v>410</v>
      </c>
      <c r="N43" s="414">
        <v>1</v>
      </c>
      <c r="O43" s="414">
        <v>240</v>
      </c>
      <c r="P43" s="414">
        <v>240</v>
      </c>
      <c r="Q43" s="414">
        <f t="shared" si="10"/>
        <v>240</v>
      </c>
      <c r="R43" s="414">
        <v>2</v>
      </c>
      <c r="S43" s="414">
        <f t="shared" si="8"/>
        <v>480</v>
      </c>
      <c r="T43" s="414"/>
      <c r="U43" s="414"/>
    </row>
    <row r="44" spans="1:21" ht="28.8" x14ac:dyDescent="0.3">
      <c r="A44" s="483"/>
      <c r="B44" s="521" t="s">
        <v>24</v>
      </c>
      <c r="C44" s="476" t="s">
        <v>72</v>
      </c>
      <c r="D44" s="469" t="s">
        <v>76</v>
      </c>
      <c r="E44" s="414">
        <v>1</v>
      </c>
      <c r="F44" s="414">
        <v>12</v>
      </c>
      <c r="G44" s="414">
        <v>2</v>
      </c>
      <c r="H44" s="414">
        <f t="shared" ref="H44:H55" si="11">+E44*F44*G44</f>
        <v>24</v>
      </c>
      <c r="I44" s="414">
        <f>+H44*E3</f>
        <v>720</v>
      </c>
      <c r="J44" s="423" t="s">
        <v>382</v>
      </c>
      <c r="K44" s="472" t="s">
        <v>408</v>
      </c>
      <c r="L44" s="423">
        <v>0</v>
      </c>
      <c r="M44" s="423" t="s">
        <v>412</v>
      </c>
      <c r="N44" s="414">
        <v>1</v>
      </c>
      <c r="O44" s="414">
        <v>200</v>
      </c>
      <c r="P44" s="414">
        <v>200</v>
      </c>
      <c r="Q44" s="414">
        <f t="shared" ref="Q44" si="12">+P44*N44</f>
        <v>200</v>
      </c>
      <c r="R44" s="414">
        <v>2</v>
      </c>
      <c r="S44" s="414">
        <f t="shared" ref="S44:S48" si="13">+Q44*R44</f>
        <v>400</v>
      </c>
      <c r="T44" s="414"/>
      <c r="U44" s="414"/>
    </row>
    <row r="45" spans="1:21" ht="14.4" x14ac:dyDescent="0.3">
      <c r="A45" s="483"/>
      <c r="B45" s="522"/>
      <c r="C45" s="477"/>
      <c r="D45" s="470"/>
      <c r="E45" s="414">
        <v>1</v>
      </c>
      <c r="F45" s="414">
        <v>12</v>
      </c>
      <c r="G45" s="414">
        <v>2</v>
      </c>
      <c r="H45" s="414">
        <f t="shared" si="11"/>
        <v>24</v>
      </c>
      <c r="I45" s="414">
        <f>+H45*E3</f>
        <v>720</v>
      </c>
      <c r="J45" s="423" t="s">
        <v>385</v>
      </c>
      <c r="K45" s="467"/>
      <c r="L45" s="423">
        <v>0</v>
      </c>
      <c r="M45" s="423" t="s">
        <v>412</v>
      </c>
      <c r="N45" s="414">
        <v>1</v>
      </c>
      <c r="O45" s="414">
        <v>200</v>
      </c>
      <c r="P45" s="414">
        <v>200</v>
      </c>
      <c r="Q45" s="414">
        <f t="shared" ref="Q45:Q49" si="14">+P45*N45</f>
        <v>200</v>
      </c>
      <c r="R45" s="414">
        <v>2</v>
      </c>
      <c r="S45" s="414">
        <f t="shared" si="13"/>
        <v>400</v>
      </c>
      <c r="T45" s="414"/>
      <c r="U45" s="414"/>
    </row>
    <row r="46" spans="1:21" ht="14.4" x14ac:dyDescent="0.3">
      <c r="A46" s="483"/>
      <c r="B46" s="522"/>
      <c r="C46" s="477"/>
      <c r="D46" s="470"/>
      <c r="E46" s="414">
        <v>1</v>
      </c>
      <c r="F46" s="414">
        <v>12</v>
      </c>
      <c r="G46" s="414">
        <v>2</v>
      </c>
      <c r="H46" s="414">
        <f t="shared" si="11"/>
        <v>24</v>
      </c>
      <c r="I46" s="414">
        <f>+H46*E3</f>
        <v>720</v>
      </c>
      <c r="J46" s="423" t="s">
        <v>384</v>
      </c>
      <c r="K46" s="467"/>
      <c r="L46" s="423">
        <v>0</v>
      </c>
      <c r="M46" s="423" t="s">
        <v>412</v>
      </c>
      <c r="N46" s="414">
        <v>1</v>
      </c>
      <c r="O46" s="414">
        <v>200</v>
      </c>
      <c r="P46" s="414">
        <v>200</v>
      </c>
      <c r="Q46" s="414">
        <f t="shared" si="14"/>
        <v>200</v>
      </c>
      <c r="R46" s="414">
        <v>2</v>
      </c>
      <c r="S46" s="414">
        <f t="shared" si="13"/>
        <v>400</v>
      </c>
      <c r="T46" s="414"/>
      <c r="U46" s="414"/>
    </row>
    <row r="47" spans="1:21" ht="14.4" x14ac:dyDescent="0.3">
      <c r="A47" s="483"/>
      <c r="B47" s="522"/>
      <c r="C47" s="477"/>
      <c r="D47" s="470"/>
      <c r="E47" s="414">
        <v>1</v>
      </c>
      <c r="F47" s="414">
        <v>12</v>
      </c>
      <c r="G47" s="414">
        <v>2</v>
      </c>
      <c r="H47" s="414">
        <f t="shared" si="11"/>
        <v>24</v>
      </c>
      <c r="I47" s="414">
        <f>+H47*E3</f>
        <v>720</v>
      </c>
      <c r="J47" s="423" t="s">
        <v>387</v>
      </c>
      <c r="K47" s="467"/>
      <c r="L47" s="423">
        <v>1</v>
      </c>
      <c r="M47" s="423" t="s">
        <v>410</v>
      </c>
      <c r="N47" s="414">
        <v>1</v>
      </c>
      <c r="O47" s="414">
        <v>200</v>
      </c>
      <c r="P47" s="414">
        <v>200</v>
      </c>
      <c r="Q47" s="414">
        <f t="shared" si="14"/>
        <v>200</v>
      </c>
      <c r="R47" s="414">
        <v>2</v>
      </c>
      <c r="S47" s="414">
        <f t="shared" si="13"/>
        <v>400</v>
      </c>
      <c r="T47" s="414"/>
      <c r="U47" s="414"/>
    </row>
    <row r="48" spans="1:21" ht="14.4" x14ac:dyDescent="0.3">
      <c r="A48" s="483"/>
      <c r="B48" s="522"/>
      <c r="C48" s="477"/>
      <c r="D48" s="470"/>
      <c r="E48" s="414">
        <v>1</v>
      </c>
      <c r="F48" s="414">
        <v>12</v>
      </c>
      <c r="G48" s="414">
        <v>2</v>
      </c>
      <c r="H48" s="414">
        <f t="shared" si="11"/>
        <v>24</v>
      </c>
      <c r="I48" s="414">
        <f>+H48*E3</f>
        <v>720</v>
      </c>
      <c r="J48" s="423" t="s">
        <v>388</v>
      </c>
      <c r="K48" s="467"/>
      <c r="L48" s="423">
        <v>0</v>
      </c>
      <c r="M48" s="423" t="s">
        <v>412</v>
      </c>
      <c r="N48" s="414">
        <v>1</v>
      </c>
      <c r="O48" s="414">
        <v>200</v>
      </c>
      <c r="P48" s="414">
        <v>200</v>
      </c>
      <c r="Q48" s="414">
        <f t="shared" si="14"/>
        <v>200</v>
      </c>
      <c r="R48" s="414">
        <v>2</v>
      </c>
      <c r="S48" s="414">
        <f t="shared" si="13"/>
        <v>400</v>
      </c>
      <c r="T48" s="414"/>
      <c r="U48" s="414"/>
    </row>
    <row r="49" spans="1:21" ht="14.4" x14ac:dyDescent="0.3">
      <c r="A49" s="483"/>
      <c r="B49" s="523"/>
      <c r="C49" s="478"/>
      <c r="D49" s="471"/>
      <c r="E49" s="414">
        <v>1</v>
      </c>
      <c r="F49" s="414">
        <v>12</v>
      </c>
      <c r="G49" s="414">
        <v>2</v>
      </c>
      <c r="H49" s="414">
        <f t="shared" si="11"/>
        <v>24</v>
      </c>
      <c r="I49" s="414">
        <f>+H49*E3</f>
        <v>720</v>
      </c>
      <c r="J49" s="423" t="s">
        <v>389</v>
      </c>
      <c r="K49" s="468"/>
      <c r="L49" s="423">
        <v>0</v>
      </c>
      <c r="M49" s="423" t="s">
        <v>412</v>
      </c>
      <c r="N49" s="414">
        <v>1</v>
      </c>
      <c r="O49" s="414">
        <v>200</v>
      </c>
      <c r="P49" s="414">
        <v>200</v>
      </c>
      <c r="Q49" s="414">
        <f t="shared" si="14"/>
        <v>200</v>
      </c>
      <c r="R49" s="414">
        <v>2</v>
      </c>
      <c r="S49" s="414">
        <f>+Q49*R49</f>
        <v>400</v>
      </c>
      <c r="T49" s="414"/>
      <c r="U49" s="414"/>
    </row>
    <row r="50" spans="1:21" ht="14.4" x14ac:dyDescent="0.3">
      <c r="A50" s="483"/>
      <c r="B50" s="498" t="s">
        <v>353</v>
      </c>
      <c r="C50" s="492" t="s">
        <v>72</v>
      </c>
      <c r="D50" s="495" t="s">
        <v>356</v>
      </c>
      <c r="E50" s="414">
        <v>1</v>
      </c>
      <c r="F50" s="414">
        <v>6</v>
      </c>
      <c r="G50" s="414">
        <v>1</v>
      </c>
      <c r="H50" s="414">
        <f t="shared" si="11"/>
        <v>6</v>
      </c>
      <c r="I50" s="432">
        <f>+H50*1</f>
        <v>6</v>
      </c>
      <c r="J50" s="423" t="s">
        <v>366</v>
      </c>
      <c r="K50" s="472" t="s">
        <v>408</v>
      </c>
      <c r="L50" s="423">
        <v>0</v>
      </c>
      <c r="M50" s="423" t="s">
        <v>412</v>
      </c>
      <c r="N50" s="414">
        <v>1</v>
      </c>
      <c r="O50" s="414">
        <v>10</v>
      </c>
      <c r="P50" s="414">
        <v>10</v>
      </c>
      <c r="Q50" s="414">
        <v>10</v>
      </c>
      <c r="R50" s="414">
        <v>1</v>
      </c>
      <c r="S50" s="414">
        <f t="shared" ref="S50:S55" si="15">+Q50*R50</f>
        <v>10</v>
      </c>
      <c r="T50" s="414"/>
      <c r="U50" s="414"/>
    </row>
    <row r="51" spans="1:21" ht="14.4" x14ac:dyDescent="0.3">
      <c r="A51" s="483"/>
      <c r="B51" s="499"/>
      <c r="C51" s="493"/>
      <c r="D51" s="496"/>
      <c r="E51" s="414">
        <v>1</v>
      </c>
      <c r="F51" s="414">
        <v>6</v>
      </c>
      <c r="G51" s="414">
        <v>1</v>
      </c>
      <c r="H51" s="414">
        <f t="shared" si="11"/>
        <v>6</v>
      </c>
      <c r="I51" s="432">
        <f t="shared" ref="I51:I55" si="16">+H51*1</f>
        <v>6</v>
      </c>
      <c r="J51" s="423" t="s">
        <v>385</v>
      </c>
      <c r="K51" s="467"/>
      <c r="L51" s="423">
        <v>0</v>
      </c>
      <c r="M51" s="423" t="s">
        <v>412</v>
      </c>
      <c r="N51" s="414">
        <v>1</v>
      </c>
      <c r="O51" s="414">
        <v>10</v>
      </c>
      <c r="P51" s="414">
        <v>10</v>
      </c>
      <c r="Q51" s="414">
        <v>10</v>
      </c>
      <c r="R51" s="414">
        <v>1</v>
      </c>
      <c r="S51" s="414">
        <f t="shared" si="15"/>
        <v>10</v>
      </c>
      <c r="T51" s="414"/>
      <c r="U51" s="414"/>
    </row>
    <row r="52" spans="1:21" ht="14.4" x14ac:dyDescent="0.3">
      <c r="A52" s="483"/>
      <c r="B52" s="499"/>
      <c r="C52" s="493"/>
      <c r="D52" s="496"/>
      <c r="E52" s="414">
        <v>1</v>
      </c>
      <c r="F52" s="414">
        <v>6</v>
      </c>
      <c r="G52" s="414">
        <v>1</v>
      </c>
      <c r="H52" s="414">
        <f t="shared" si="11"/>
        <v>6</v>
      </c>
      <c r="I52" s="432">
        <f t="shared" si="16"/>
        <v>6</v>
      </c>
      <c r="J52" s="423" t="s">
        <v>384</v>
      </c>
      <c r="K52" s="467"/>
      <c r="L52" s="423">
        <v>0</v>
      </c>
      <c r="M52" s="423" t="s">
        <v>412</v>
      </c>
      <c r="N52" s="414">
        <v>1</v>
      </c>
      <c r="O52" s="414">
        <v>10</v>
      </c>
      <c r="P52" s="414">
        <v>10</v>
      </c>
      <c r="Q52" s="414">
        <v>10</v>
      </c>
      <c r="R52" s="414">
        <v>1</v>
      </c>
      <c r="S52" s="414">
        <f t="shared" si="15"/>
        <v>10</v>
      </c>
      <c r="T52" s="414"/>
      <c r="U52" s="414"/>
    </row>
    <row r="53" spans="1:21" ht="14.4" x14ac:dyDescent="0.3">
      <c r="A53" s="483"/>
      <c r="B53" s="499"/>
      <c r="C53" s="493"/>
      <c r="D53" s="496"/>
      <c r="E53" s="414">
        <v>1</v>
      </c>
      <c r="F53" s="414">
        <v>6</v>
      </c>
      <c r="G53" s="414">
        <v>1</v>
      </c>
      <c r="H53" s="414">
        <f t="shared" si="11"/>
        <v>6</v>
      </c>
      <c r="I53" s="432">
        <f t="shared" si="16"/>
        <v>6</v>
      </c>
      <c r="J53" s="423" t="s">
        <v>387</v>
      </c>
      <c r="K53" s="467"/>
      <c r="L53" s="423">
        <v>0</v>
      </c>
      <c r="M53" s="423" t="s">
        <v>412</v>
      </c>
      <c r="N53" s="414">
        <v>1</v>
      </c>
      <c r="O53" s="414">
        <v>10</v>
      </c>
      <c r="P53" s="414">
        <v>10</v>
      </c>
      <c r="Q53" s="414">
        <v>10</v>
      </c>
      <c r="R53" s="414">
        <v>1</v>
      </c>
      <c r="S53" s="414">
        <f t="shared" si="15"/>
        <v>10</v>
      </c>
      <c r="T53" s="414"/>
      <c r="U53" s="414"/>
    </row>
    <row r="54" spans="1:21" ht="14.4" x14ac:dyDescent="0.3">
      <c r="A54" s="483"/>
      <c r="B54" s="499"/>
      <c r="C54" s="493"/>
      <c r="D54" s="496"/>
      <c r="E54" s="414">
        <v>1</v>
      </c>
      <c r="F54" s="414">
        <v>6</v>
      </c>
      <c r="G54" s="414">
        <v>1</v>
      </c>
      <c r="H54" s="414">
        <f t="shared" si="11"/>
        <v>6</v>
      </c>
      <c r="I54" s="432">
        <f t="shared" si="16"/>
        <v>6</v>
      </c>
      <c r="J54" s="423" t="s">
        <v>388</v>
      </c>
      <c r="K54" s="467"/>
      <c r="L54" s="423">
        <v>0</v>
      </c>
      <c r="M54" s="423" t="s">
        <v>412</v>
      </c>
      <c r="N54" s="414">
        <v>1</v>
      </c>
      <c r="O54" s="414">
        <v>10</v>
      </c>
      <c r="P54" s="414">
        <v>10</v>
      </c>
      <c r="Q54" s="414">
        <v>10</v>
      </c>
      <c r="R54" s="414">
        <v>1</v>
      </c>
      <c r="S54" s="414">
        <f t="shared" si="15"/>
        <v>10</v>
      </c>
      <c r="T54" s="414"/>
      <c r="U54" s="414"/>
    </row>
    <row r="55" spans="1:21" ht="14.4" x14ac:dyDescent="0.3">
      <c r="A55" s="483"/>
      <c r="B55" s="500"/>
      <c r="C55" s="494"/>
      <c r="D55" s="497"/>
      <c r="E55" s="414">
        <v>1</v>
      </c>
      <c r="F55" s="414">
        <v>6</v>
      </c>
      <c r="G55" s="414">
        <v>1</v>
      </c>
      <c r="H55" s="414">
        <f t="shared" si="11"/>
        <v>6</v>
      </c>
      <c r="I55" s="432">
        <f t="shared" si="16"/>
        <v>6</v>
      </c>
      <c r="J55" s="423" t="s">
        <v>389</v>
      </c>
      <c r="K55" s="468"/>
      <c r="L55" s="423">
        <v>1</v>
      </c>
      <c r="M55" s="423" t="s">
        <v>410</v>
      </c>
      <c r="N55" s="414">
        <v>1</v>
      </c>
      <c r="O55" s="414">
        <v>10</v>
      </c>
      <c r="P55" s="414">
        <v>10</v>
      </c>
      <c r="Q55" s="414">
        <v>10</v>
      </c>
      <c r="R55" s="414">
        <v>1</v>
      </c>
      <c r="S55" s="414">
        <f t="shared" si="15"/>
        <v>10</v>
      </c>
      <c r="T55" s="414"/>
      <c r="U55" s="414"/>
    </row>
    <row r="56" spans="1:21" ht="33" customHeight="1" x14ac:dyDescent="0.3">
      <c r="A56" s="483"/>
      <c r="B56" s="504" t="s">
        <v>15</v>
      </c>
      <c r="C56" s="476" t="s">
        <v>77</v>
      </c>
      <c r="D56" s="469" t="s">
        <v>76</v>
      </c>
      <c r="E56" s="414">
        <v>2</v>
      </c>
      <c r="F56" s="414">
        <v>12</v>
      </c>
      <c r="G56" s="414">
        <v>1</v>
      </c>
      <c r="H56" s="414">
        <f>+E56*F56*G56</f>
        <v>24</v>
      </c>
      <c r="I56" s="414">
        <f>+H56*E1</f>
        <v>600</v>
      </c>
      <c r="J56" s="423" t="s">
        <v>373</v>
      </c>
      <c r="K56" s="472" t="s">
        <v>408</v>
      </c>
      <c r="L56" s="423">
        <v>0</v>
      </c>
      <c r="M56" s="423" t="s">
        <v>412</v>
      </c>
      <c r="N56" s="414">
        <v>2</v>
      </c>
      <c r="O56" s="414">
        <v>192</v>
      </c>
      <c r="P56" s="414">
        <v>192</v>
      </c>
      <c r="Q56" s="414">
        <f t="shared" ref="Q56:Q98" si="17">+P56*N56</f>
        <v>384</v>
      </c>
      <c r="R56" s="414">
        <v>1</v>
      </c>
      <c r="S56" s="414">
        <f t="shared" ref="S56:S67" si="18">+Q56*R56</f>
        <v>384</v>
      </c>
      <c r="T56" s="414"/>
      <c r="U56" s="414"/>
    </row>
    <row r="57" spans="1:21" ht="14.4" x14ac:dyDescent="0.3">
      <c r="A57" s="483"/>
      <c r="B57" s="505"/>
      <c r="C57" s="477"/>
      <c r="D57" s="470"/>
      <c r="E57" s="414">
        <v>2</v>
      </c>
      <c r="F57" s="414">
        <v>12</v>
      </c>
      <c r="G57" s="414">
        <v>1</v>
      </c>
      <c r="H57" s="414">
        <f t="shared" ref="H57:H61" si="19">+E57*F57*G57</f>
        <v>24</v>
      </c>
      <c r="I57" s="414">
        <f>+H57*E1</f>
        <v>600</v>
      </c>
      <c r="J57" s="423" t="s">
        <v>385</v>
      </c>
      <c r="K57" s="467"/>
      <c r="L57" s="423">
        <v>0</v>
      </c>
      <c r="M57" s="423" t="s">
        <v>412</v>
      </c>
      <c r="N57" s="414">
        <v>2</v>
      </c>
      <c r="O57" s="414">
        <v>192</v>
      </c>
      <c r="P57" s="414">
        <v>192</v>
      </c>
      <c r="Q57" s="414">
        <f t="shared" si="17"/>
        <v>384</v>
      </c>
      <c r="R57" s="414">
        <v>1</v>
      </c>
      <c r="S57" s="414">
        <f t="shared" si="18"/>
        <v>384</v>
      </c>
      <c r="T57" s="414"/>
      <c r="U57" s="414"/>
    </row>
    <row r="58" spans="1:21" ht="14.4" x14ac:dyDescent="0.3">
      <c r="A58" s="483"/>
      <c r="B58" s="505"/>
      <c r="C58" s="477"/>
      <c r="D58" s="470"/>
      <c r="E58" s="414">
        <v>2</v>
      </c>
      <c r="F58" s="414">
        <v>12</v>
      </c>
      <c r="G58" s="414">
        <v>1</v>
      </c>
      <c r="H58" s="414">
        <f t="shared" si="19"/>
        <v>24</v>
      </c>
      <c r="I58" s="414">
        <f>+H58*E1</f>
        <v>600</v>
      </c>
      <c r="J58" s="423" t="s">
        <v>384</v>
      </c>
      <c r="K58" s="467"/>
      <c r="L58" s="423">
        <v>0</v>
      </c>
      <c r="M58" s="423" t="s">
        <v>412</v>
      </c>
      <c r="N58" s="414">
        <v>2</v>
      </c>
      <c r="O58" s="414">
        <v>192</v>
      </c>
      <c r="P58" s="414">
        <v>192</v>
      </c>
      <c r="Q58" s="414">
        <f t="shared" si="17"/>
        <v>384</v>
      </c>
      <c r="R58" s="414">
        <v>1</v>
      </c>
      <c r="S58" s="414">
        <f t="shared" si="18"/>
        <v>384</v>
      </c>
      <c r="T58" s="414"/>
      <c r="U58" s="414"/>
    </row>
    <row r="59" spans="1:21" ht="14.4" x14ac:dyDescent="0.3">
      <c r="A59" s="483"/>
      <c r="B59" s="505"/>
      <c r="C59" s="477"/>
      <c r="D59" s="470"/>
      <c r="E59" s="414">
        <v>2</v>
      </c>
      <c r="F59" s="414">
        <v>12</v>
      </c>
      <c r="G59" s="414">
        <v>1</v>
      </c>
      <c r="H59" s="414">
        <f t="shared" si="19"/>
        <v>24</v>
      </c>
      <c r="I59" s="414">
        <f>+H59*E1</f>
        <v>600</v>
      </c>
      <c r="J59" s="423" t="s">
        <v>387</v>
      </c>
      <c r="K59" s="467"/>
      <c r="L59" s="423">
        <v>1</v>
      </c>
      <c r="M59" s="423" t="s">
        <v>410</v>
      </c>
      <c r="N59" s="414">
        <v>2</v>
      </c>
      <c r="O59" s="414">
        <v>192</v>
      </c>
      <c r="P59" s="414">
        <v>192</v>
      </c>
      <c r="Q59" s="414">
        <f t="shared" si="17"/>
        <v>384</v>
      </c>
      <c r="R59" s="414">
        <v>1</v>
      </c>
      <c r="S59" s="414">
        <f t="shared" si="18"/>
        <v>384</v>
      </c>
      <c r="T59" s="414"/>
      <c r="U59" s="414"/>
    </row>
    <row r="60" spans="1:21" ht="14.4" x14ac:dyDescent="0.3">
      <c r="A60" s="483"/>
      <c r="B60" s="505"/>
      <c r="C60" s="477"/>
      <c r="D60" s="470"/>
      <c r="E60" s="414">
        <v>2</v>
      </c>
      <c r="F60" s="414">
        <v>12</v>
      </c>
      <c r="G60" s="414">
        <v>1</v>
      </c>
      <c r="H60" s="414">
        <f t="shared" si="19"/>
        <v>24</v>
      </c>
      <c r="I60" s="414">
        <f>+H60*E1</f>
        <v>600</v>
      </c>
      <c r="J60" s="423" t="s">
        <v>388</v>
      </c>
      <c r="K60" s="467"/>
      <c r="L60" s="423">
        <v>0</v>
      </c>
      <c r="M60" s="423" t="s">
        <v>412</v>
      </c>
      <c r="N60" s="414">
        <v>2</v>
      </c>
      <c r="O60" s="414">
        <v>192</v>
      </c>
      <c r="P60" s="414">
        <v>192</v>
      </c>
      <c r="Q60" s="414">
        <f t="shared" si="17"/>
        <v>384</v>
      </c>
      <c r="R60" s="414">
        <v>1</v>
      </c>
      <c r="S60" s="414">
        <f t="shared" si="18"/>
        <v>384</v>
      </c>
      <c r="T60" s="414"/>
      <c r="U60" s="414"/>
    </row>
    <row r="61" spans="1:21" ht="14.4" x14ac:dyDescent="0.3">
      <c r="A61" s="483"/>
      <c r="B61" s="506"/>
      <c r="C61" s="478"/>
      <c r="D61" s="471"/>
      <c r="E61" s="414">
        <v>2</v>
      </c>
      <c r="F61" s="414">
        <v>12</v>
      </c>
      <c r="G61" s="414">
        <v>1</v>
      </c>
      <c r="H61" s="414">
        <f t="shared" si="19"/>
        <v>24</v>
      </c>
      <c r="I61" s="414">
        <f>+H61*E1</f>
        <v>600</v>
      </c>
      <c r="J61" s="423" t="s">
        <v>389</v>
      </c>
      <c r="K61" s="468"/>
      <c r="L61" s="423">
        <v>1</v>
      </c>
      <c r="M61" s="423" t="s">
        <v>410</v>
      </c>
      <c r="N61" s="414">
        <v>2</v>
      </c>
      <c r="O61" s="414">
        <v>192</v>
      </c>
      <c r="P61" s="414">
        <v>192</v>
      </c>
      <c r="Q61" s="414">
        <f t="shared" si="17"/>
        <v>384</v>
      </c>
      <c r="R61" s="414">
        <v>1</v>
      </c>
      <c r="S61" s="414">
        <f t="shared" si="18"/>
        <v>384</v>
      </c>
      <c r="T61" s="414"/>
      <c r="U61" s="414"/>
    </row>
    <row r="62" spans="1:21" ht="19.8" customHeight="1" x14ac:dyDescent="0.3">
      <c r="A62" s="483"/>
      <c r="B62" s="504" t="s">
        <v>25</v>
      </c>
      <c r="C62" s="476" t="s">
        <v>77</v>
      </c>
      <c r="D62" s="469" t="s">
        <v>76</v>
      </c>
      <c r="E62" s="414">
        <v>2</v>
      </c>
      <c r="F62" s="414">
        <v>12</v>
      </c>
      <c r="G62" s="414">
        <v>1</v>
      </c>
      <c r="H62" s="414">
        <f>+E62*F62*G62</f>
        <v>24</v>
      </c>
      <c r="I62" s="414">
        <f>+H62*E3</f>
        <v>720</v>
      </c>
      <c r="J62" s="423" t="s">
        <v>375</v>
      </c>
      <c r="K62" s="472" t="s">
        <v>408</v>
      </c>
      <c r="L62" s="423">
        <v>1</v>
      </c>
      <c r="M62" s="423" t="s">
        <v>413</v>
      </c>
      <c r="N62" s="414">
        <v>6</v>
      </c>
      <c r="O62" s="414">
        <v>192</v>
      </c>
      <c r="P62" s="414">
        <v>192</v>
      </c>
      <c r="Q62" s="414">
        <f t="shared" si="17"/>
        <v>1152</v>
      </c>
      <c r="R62" s="414">
        <v>1</v>
      </c>
      <c r="S62" s="414">
        <f t="shared" si="18"/>
        <v>1152</v>
      </c>
      <c r="T62" s="414"/>
      <c r="U62" s="414"/>
    </row>
    <row r="63" spans="1:21" ht="14.4" x14ac:dyDescent="0.3">
      <c r="A63" s="483"/>
      <c r="B63" s="505"/>
      <c r="C63" s="477"/>
      <c r="D63" s="470"/>
      <c r="E63" s="414">
        <v>2</v>
      </c>
      <c r="F63" s="414">
        <v>12</v>
      </c>
      <c r="G63" s="414">
        <v>1</v>
      </c>
      <c r="H63" s="414">
        <f t="shared" ref="H63:H67" si="20">+E63*F63*G63</f>
        <v>24</v>
      </c>
      <c r="I63" s="414">
        <f>+H63*E3</f>
        <v>720</v>
      </c>
      <c r="J63" s="423" t="s">
        <v>385</v>
      </c>
      <c r="K63" s="467"/>
      <c r="L63" s="423">
        <v>0</v>
      </c>
      <c r="M63" s="423" t="s">
        <v>412</v>
      </c>
      <c r="N63" s="414">
        <v>6</v>
      </c>
      <c r="O63" s="414">
        <v>192</v>
      </c>
      <c r="P63" s="414">
        <v>192</v>
      </c>
      <c r="Q63" s="414">
        <f t="shared" si="17"/>
        <v>1152</v>
      </c>
      <c r="R63" s="414">
        <v>1</v>
      </c>
      <c r="S63" s="414">
        <f t="shared" si="18"/>
        <v>1152</v>
      </c>
      <c r="T63" s="414"/>
      <c r="U63" s="414"/>
    </row>
    <row r="64" spans="1:21" ht="14.4" x14ac:dyDescent="0.3">
      <c r="A64" s="483"/>
      <c r="B64" s="505"/>
      <c r="C64" s="477"/>
      <c r="D64" s="470"/>
      <c r="E64" s="414">
        <v>2</v>
      </c>
      <c r="F64" s="414">
        <v>12</v>
      </c>
      <c r="G64" s="414">
        <v>1</v>
      </c>
      <c r="H64" s="414">
        <f t="shared" si="20"/>
        <v>24</v>
      </c>
      <c r="I64" s="414">
        <f>+H64*E3</f>
        <v>720</v>
      </c>
      <c r="J64" s="423" t="s">
        <v>384</v>
      </c>
      <c r="K64" s="467"/>
      <c r="L64" s="423">
        <v>0</v>
      </c>
      <c r="M64" s="423" t="s">
        <v>412</v>
      </c>
      <c r="N64" s="414">
        <v>6</v>
      </c>
      <c r="O64" s="414">
        <v>192</v>
      </c>
      <c r="P64" s="414">
        <v>192</v>
      </c>
      <c r="Q64" s="414">
        <f t="shared" si="17"/>
        <v>1152</v>
      </c>
      <c r="R64" s="414">
        <v>1</v>
      </c>
      <c r="S64" s="414">
        <f t="shared" si="18"/>
        <v>1152</v>
      </c>
      <c r="T64" s="414"/>
      <c r="U64" s="414"/>
    </row>
    <row r="65" spans="1:21" ht="14.4" x14ac:dyDescent="0.3">
      <c r="A65" s="483"/>
      <c r="B65" s="505"/>
      <c r="C65" s="477"/>
      <c r="D65" s="470"/>
      <c r="E65" s="414">
        <v>2</v>
      </c>
      <c r="F65" s="414">
        <v>12</v>
      </c>
      <c r="G65" s="414">
        <v>1</v>
      </c>
      <c r="H65" s="414">
        <f t="shared" si="20"/>
        <v>24</v>
      </c>
      <c r="I65" s="414">
        <f>+H65*E3</f>
        <v>720</v>
      </c>
      <c r="J65" s="423" t="s">
        <v>387</v>
      </c>
      <c r="K65" s="467"/>
      <c r="L65" s="423">
        <v>1</v>
      </c>
      <c r="M65" s="423" t="s">
        <v>414</v>
      </c>
      <c r="N65" s="414">
        <v>6</v>
      </c>
      <c r="O65" s="414">
        <v>192</v>
      </c>
      <c r="P65" s="414">
        <v>192</v>
      </c>
      <c r="Q65" s="414">
        <f t="shared" si="17"/>
        <v>1152</v>
      </c>
      <c r="R65" s="414">
        <v>1</v>
      </c>
      <c r="S65" s="414">
        <f t="shared" si="18"/>
        <v>1152</v>
      </c>
      <c r="T65" s="414"/>
      <c r="U65" s="414"/>
    </row>
    <row r="66" spans="1:21" ht="14.4" x14ac:dyDescent="0.3">
      <c r="A66" s="483"/>
      <c r="B66" s="505"/>
      <c r="C66" s="477"/>
      <c r="D66" s="470"/>
      <c r="E66" s="414">
        <v>2</v>
      </c>
      <c r="F66" s="414">
        <v>12</v>
      </c>
      <c r="G66" s="414">
        <v>1</v>
      </c>
      <c r="H66" s="414">
        <f t="shared" si="20"/>
        <v>24</v>
      </c>
      <c r="I66" s="414">
        <f>+H66*E3</f>
        <v>720</v>
      </c>
      <c r="J66" s="423" t="s">
        <v>388</v>
      </c>
      <c r="K66" s="467"/>
      <c r="L66" s="423">
        <v>0</v>
      </c>
      <c r="M66" s="423" t="s">
        <v>412</v>
      </c>
      <c r="N66" s="414">
        <v>6</v>
      </c>
      <c r="O66" s="414">
        <v>192</v>
      </c>
      <c r="P66" s="414">
        <v>192</v>
      </c>
      <c r="Q66" s="414">
        <f t="shared" si="17"/>
        <v>1152</v>
      </c>
      <c r="R66" s="414">
        <v>1</v>
      </c>
      <c r="S66" s="414">
        <f t="shared" si="18"/>
        <v>1152</v>
      </c>
      <c r="T66" s="414"/>
      <c r="U66" s="414"/>
    </row>
    <row r="67" spans="1:21" ht="14.4" x14ac:dyDescent="0.3">
      <c r="A67" s="483"/>
      <c r="B67" s="506"/>
      <c r="C67" s="478"/>
      <c r="D67" s="471"/>
      <c r="E67" s="414">
        <v>2</v>
      </c>
      <c r="F67" s="414">
        <v>12</v>
      </c>
      <c r="G67" s="414">
        <v>1</v>
      </c>
      <c r="H67" s="414">
        <f t="shared" si="20"/>
        <v>24</v>
      </c>
      <c r="I67" s="414">
        <f>+H67*E3</f>
        <v>720</v>
      </c>
      <c r="J67" s="423" t="s">
        <v>389</v>
      </c>
      <c r="K67" s="468"/>
      <c r="L67" s="423">
        <v>1</v>
      </c>
      <c r="M67" s="423" t="s">
        <v>414</v>
      </c>
      <c r="N67" s="414">
        <v>6</v>
      </c>
      <c r="O67" s="414">
        <v>192</v>
      </c>
      <c r="P67" s="414">
        <v>192</v>
      </c>
      <c r="Q67" s="414">
        <f t="shared" si="17"/>
        <v>1152</v>
      </c>
      <c r="R67" s="414">
        <v>1</v>
      </c>
      <c r="S67" s="414">
        <f t="shared" si="18"/>
        <v>1152</v>
      </c>
      <c r="T67" s="414"/>
      <c r="U67" s="414"/>
    </row>
    <row r="68" spans="1:21" ht="33" customHeight="1" x14ac:dyDescent="0.3">
      <c r="A68" s="483"/>
      <c r="B68" s="504" t="s">
        <v>26</v>
      </c>
      <c r="C68" s="469" t="s">
        <v>77</v>
      </c>
      <c r="D68" s="469" t="s">
        <v>76</v>
      </c>
      <c r="E68" s="414">
        <v>2</v>
      </c>
      <c r="F68" s="414">
        <v>12</v>
      </c>
      <c r="G68" s="414">
        <v>1</v>
      </c>
      <c r="H68" s="414">
        <f>+E68*F68*G68</f>
        <v>24</v>
      </c>
      <c r="I68" s="414">
        <f>+H68*5</f>
        <v>120</v>
      </c>
      <c r="J68" s="423" t="s">
        <v>377</v>
      </c>
      <c r="K68" s="472" t="s">
        <v>408</v>
      </c>
      <c r="L68" s="423">
        <v>1</v>
      </c>
      <c r="M68" s="423" t="s">
        <v>414</v>
      </c>
      <c r="N68" s="414">
        <v>5</v>
      </c>
      <c r="O68" s="414">
        <v>192</v>
      </c>
      <c r="P68" s="414">
        <v>192</v>
      </c>
      <c r="Q68" s="414">
        <f t="shared" si="17"/>
        <v>960</v>
      </c>
      <c r="R68" s="414">
        <v>1</v>
      </c>
      <c r="S68" s="414">
        <f>+Q68*R68</f>
        <v>960</v>
      </c>
      <c r="T68" s="414"/>
      <c r="U68" s="414"/>
    </row>
    <row r="69" spans="1:21" ht="14.4" x14ac:dyDescent="0.3">
      <c r="A69" s="483"/>
      <c r="B69" s="505"/>
      <c r="C69" s="470"/>
      <c r="D69" s="470"/>
      <c r="E69" s="414">
        <v>2</v>
      </c>
      <c r="F69" s="414">
        <v>12</v>
      </c>
      <c r="G69" s="414">
        <v>1</v>
      </c>
      <c r="H69" s="414">
        <f t="shared" ref="H69:H74" si="21">+E69*F69*G69</f>
        <v>24</v>
      </c>
      <c r="I69" s="414">
        <f t="shared" ref="I69:I74" si="22">+H69*5</f>
        <v>120</v>
      </c>
      <c r="J69" s="423" t="s">
        <v>385</v>
      </c>
      <c r="K69" s="467"/>
      <c r="L69" s="423">
        <v>0</v>
      </c>
      <c r="M69" s="423" t="s">
        <v>412</v>
      </c>
      <c r="N69" s="414">
        <v>5</v>
      </c>
      <c r="O69" s="414">
        <v>192</v>
      </c>
      <c r="P69" s="414">
        <v>192</v>
      </c>
      <c r="Q69" s="414">
        <f t="shared" si="17"/>
        <v>960</v>
      </c>
      <c r="R69" s="414">
        <v>1</v>
      </c>
      <c r="S69" s="414">
        <f t="shared" ref="S69:S74" si="23">+Q69*R69</f>
        <v>960</v>
      </c>
      <c r="T69" s="414"/>
      <c r="U69" s="414"/>
    </row>
    <row r="70" spans="1:21" ht="14.4" x14ac:dyDescent="0.3">
      <c r="A70" s="483"/>
      <c r="B70" s="505"/>
      <c r="C70" s="470"/>
      <c r="D70" s="470"/>
      <c r="E70" s="414">
        <v>2</v>
      </c>
      <c r="F70" s="414">
        <v>12</v>
      </c>
      <c r="G70" s="414">
        <v>1</v>
      </c>
      <c r="H70" s="414">
        <f t="shared" si="21"/>
        <v>24</v>
      </c>
      <c r="I70" s="414">
        <f t="shared" si="22"/>
        <v>120</v>
      </c>
      <c r="J70" s="423" t="s">
        <v>384</v>
      </c>
      <c r="K70" s="467"/>
      <c r="L70" s="423">
        <v>0</v>
      </c>
      <c r="M70" s="423" t="s">
        <v>412</v>
      </c>
      <c r="N70" s="414">
        <v>5</v>
      </c>
      <c r="O70" s="414">
        <v>192</v>
      </c>
      <c r="P70" s="414">
        <v>192</v>
      </c>
      <c r="Q70" s="414">
        <f t="shared" si="17"/>
        <v>960</v>
      </c>
      <c r="R70" s="414">
        <v>1</v>
      </c>
      <c r="S70" s="414">
        <f t="shared" si="23"/>
        <v>960</v>
      </c>
      <c r="T70" s="414"/>
      <c r="U70" s="414"/>
    </row>
    <row r="71" spans="1:21" ht="14.4" x14ac:dyDescent="0.3">
      <c r="A71" s="483"/>
      <c r="B71" s="505"/>
      <c r="C71" s="470"/>
      <c r="D71" s="470"/>
      <c r="E71" s="414">
        <v>2</v>
      </c>
      <c r="F71" s="414">
        <v>12</v>
      </c>
      <c r="G71" s="414">
        <v>1</v>
      </c>
      <c r="H71" s="414">
        <f t="shared" si="21"/>
        <v>24</v>
      </c>
      <c r="I71" s="414">
        <f t="shared" si="22"/>
        <v>120</v>
      </c>
      <c r="J71" s="423" t="s">
        <v>387</v>
      </c>
      <c r="K71" s="467"/>
      <c r="L71" s="423">
        <v>1</v>
      </c>
      <c r="M71" s="423" t="s">
        <v>414</v>
      </c>
      <c r="N71" s="414">
        <v>5</v>
      </c>
      <c r="O71" s="414">
        <v>192</v>
      </c>
      <c r="P71" s="414">
        <v>192</v>
      </c>
      <c r="Q71" s="414">
        <f t="shared" si="17"/>
        <v>960</v>
      </c>
      <c r="R71" s="414">
        <v>1</v>
      </c>
      <c r="S71" s="414">
        <f t="shared" si="23"/>
        <v>960</v>
      </c>
      <c r="T71" s="414"/>
      <c r="U71" s="414"/>
    </row>
    <row r="72" spans="1:21" ht="14.4" x14ac:dyDescent="0.3">
      <c r="A72" s="483"/>
      <c r="B72" s="505"/>
      <c r="C72" s="470"/>
      <c r="D72" s="470"/>
      <c r="E72" s="414">
        <v>2</v>
      </c>
      <c r="F72" s="414">
        <v>12</v>
      </c>
      <c r="G72" s="414">
        <v>1</v>
      </c>
      <c r="H72" s="414">
        <f t="shared" si="21"/>
        <v>24</v>
      </c>
      <c r="I72" s="414">
        <f t="shared" si="22"/>
        <v>120</v>
      </c>
      <c r="J72" s="423" t="s">
        <v>388</v>
      </c>
      <c r="K72" s="467"/>
      <c r="L72" s="423">
        <v>0</v>
      </c>
      <c r="M72" s="423" t="s">
        <v>412</v>
      </c>
      <c r="N72" s="414">
        <v>5</v>
      </c>
      <c r="O72" s="414">
        <v>192</v>
      </c>
      <c r="P72" s="414">
        <v>192</v>
      </c>
      <c r="Q72" s="414">
        <f t="shared" si="17"/>
        <v>960</v>
      </c>
      <c r="R72" s="414">
        <v>1</v>
      </c>
      <c r="S72" s="414">
        <f t="shared" si="23"/>
        <v>960</v>
      </c>
      <c r="T72" s="414"/>
      <c r="U72" s="414"/>
    </row>
    <row r="73" spans="1:21" ht="14.4" x14ac:dyDescent="0.3">
      <c r="A73" s="483"/>
      <c r="B73" s="505"/>
      <c r="C73" s="470"/>
      <c r="D73" s="470"/>
      <c r="E73" s="414">
        <v>2</v>
      </c>
      <c r="F73" s="414">
        <v>12</v>
      </c>
      <c r="G73" s="414">
        <v>1</v>
      </c>
      <c r="H73" s="414">
        <f t="shared" si="21"/>
        <v>24</v>
      </c>
      <c r="I73" s="414">
        <f t="shared" si="22"/>
        <v>120</v>
      </c>
      <c r="J73" s="423" t="s">
        <v>389</v>
      </c>
      <c r="K73" s="467"/>
      <c r="L73" s="423">
        <v>1</v>
      </c>
      <c r="M73" s="423" t="s">
        <v>414</v>
      </c>
      <c r="N73" s="414">
        <v>5</v>
      </c>
      <c r="O73" s="414">
        <v>192</v>
      </c>
      <c r="P73" s="414">
        <v>192</v>
      </c>
      <c r="Q73" s="414">
        <f t="shared" si="17"/>
        <v>960</v>
      </c>
      <c r="R73" s="414">
        <v>1</v>
      </c>
      <c r="S73" s="414">
        <f t="shared" si="23"/>
        <v>960</v>
      </c>
      <c r="T73" s="414"/>
      <c r="U73" s="414"/>
    </row>
    <row r="74" spans="1:21" ht="14.4" x14ac:dyDescent="0.3">
      <c r="A74" s="483"/>
      <c r="B74" s="506"/>
      <c r="C74" s="471"/>
      <c r="D74" s="471"/>
      <c r="E74" s="414">
        <v>2</v>
      </c>
      <c r="F74" s="414">
        <v>12</v>
      </c>
      <c r="G74" s="414">
        <v>1</v>
      </c>
      <c r="H74" s="414">
        <f t="shared" si="21"/>
        <v>24</v>
      </c>
      <c r="I74" s="414">
        <f t="shared" si="22"/>
        <v>120</v>
      </c>
      <c r="J74" s="423" t="s">
        <v>390</v>
      </c>
      <c r="K74" s="468"/>
      <c r="L74" s="423">
        <v>0</v>
      </c>
      <c r="M74" s="423" t="s">
        <v>412</v>
      </c>
      <c r="N74" s="414">
        <v>5</v>
      </c>
      <c r="O74" s="414">
        <v>192</v>
      </c>
      <c r="P74" s="414">
        <v>192</v>
      </c>
      <c r="Q74" s="414">
        <f t="shared" si="17"/>
        <v>960</v>
      </c>
      <c r="R74" s="414">
        <v>1</v>
      </c>
      <c r="S74" s="414">
        <f t="shared" si="23"/>
        <v>960</v>
      </c>
      <c r="T74" s="414"/>
      <c r="U74" s="414"/>
    </row>
    <row r="75" spans="1:21" ht="14.4" customHeight="1" x14ac:dyDescent="0.3">
      <c r="A75" s="483"/>
      <c r="B75" s="524" t="s">
        <v>66</v>
      </c>
      <c r="C75" s="527" t="s">
        <v>72</v>
      </c>
      <c r="D75" s="495" t="s">
        <v>356</v>
      </c>
      <c r="E75" s="414">
        <v>1</v>
      </c>
      <c r="F75" s="414">
        <v>12</v>
      </c>
      <c r="G75" s="414">
        <v>2</v>
      </c>
      <c r="H75" s="414">
        <f t="shared" ref="H75:H80" si="24">+E75*F75*G75</f>
        <v>24</v>
      </c>
      <c r="I75" s="414">
        <f>+H75*E3</f>
        <v>720</v>
      </c>
      <c r="J75" s="423" t="s">
        <v>379</v>
      </c>
      <c r="K75" s="472" t="s">
        <v>408</v>
      </c>
      <c r="L75" s="423">
        <v>0</v>
      </c>
      <c r="M75" s="423" t="s">
        <v>412</v>
      </c>
      <c r="N75" s="414">
        <v>1</v>
      </c>
      <c r="O75" s="414">
        <v>192</v>
      </c>
      <c r="P75" s="414">
        <v>192</v>
      </c>
      <c r="Q75" s="414">
        <f t="shared" si="17"/>
        <v>192</v>
      </c>
      <c r="R75" s="414">
        <v>2</v>
      </c>
      <c r="S75" s="414">
        <f>+Q75*R75</f>
        <v>384</v>
      </c>
      <c r="T75" s="414"/>
      <c r="U75" s="414"/>
    </row>
    <row r="76" spans="1:21" ht="14.4" x14ac:dyDescent="0.3">
      <c r="A76" s="483"/>
      <c r="B76" s="525"/>
      <c r="C76" s="528"/>
      <c r="D76" s="496"/>
      <c r="E76" s="414">
        <v>1</v>
      </c>
      <c r="F76" s="414">
        <v>12</v>
      </c>
      <c r="G76" s="414">
        <v>2</v>
      </c>
      <c r="H76" s="414">
        <f t="shared" si="24"/>
        <v>24</v>
      </c>
      <c r="I76" s="414">
        <f>+H76*E3</f>
        <v>720</v>
      </c>
      <c r="J76" s="423" t="s">
        <v>385</v>
      </c>
      <c r="K76" s="467"/>
      <c r="L76" s="423">
        <v>0</v>
      </c>
      <c r="M76" s="423" t="s">
        <v>412</v>
      </c>
      <c r="N76" s="414">
        <v>1</v>
      </c>
      <c r="O76" s="414">
        <v>192</v>
      </c>
      <c r="P76" s="414">
        <v>192</v>
      </c>
      <c r="Q76" s="414">
        <f t="shared" si="17"/>
        <v>192</v>
      </c>
      <c r="R76" s="414">
        <v>2</v>
      </c>
      <c r="S76" s="414">
        <f>+Q76*R76</f>
        <v>384</v>
      </c>
      <c r="T76" s="414"/>
      <c r="U76" s="414"/>
    </row>
    <row r="77" spans="1:21" ht="14.4" x14ac:dyDescent="0.3">
      <c r="A77" s="483"/>
      <c r="B77" s="525"/>
      <c r="C77" s="528"/>
      <c r="D77" s="496"/>
      <c r="E77" s="414">
        <v>1</v>
      </c>
      <c r="F77" s="414">
        <v>12</v>
      </c>
      <c r="G77" s="414">
        <v>2</v>
      </c>
      <c r="H77" s="414">
        <f t="shared" si="24"/>
        <v>24</v>
      </c>
      <c r="I77" s="414">
        <f>+H77*E3</f>
        <v>720</v>
      </c>
      <c r="J77" s="423" t="s">
        <v>384</v>
      </c>
      <c r="K77" s="467"/>
      <c r="L77" s="423">
        <v>0</v>
      </c>
      <c r="M77" s="423" t="s">
        <v>412</v>
      </c>
      <c r="N77" s="414">
        <v>1</v>
      </c>
      <c r="O77" s="414">
        <v>192</v>
      </c>
      <c r="P77" s="414">
        <v>192</v>
      </c>
      <c r="Q77" s="414">
        <f t="shared" si="17"/>
        <v>192</v>
      </c>
      <c r="R77" s="412">
        <v>2</v>
      </c>
      <c r="S77" s="414">
        <f>+Q77*R78</f>
        <v>384</v>
      </c>
      <c r="T77" s="414"/>
      <c r="U77" s="414"/>
    </row>
    <row r="78" spans="1:21" ht="14.4" x14ac:dyDescent="0.3">
      <c r="A78" s="483"/>
      <c r="B78" s="525"/>
      <c r="C78" s="528"/>
      <c r="D78" s="496"/>
      <c r="E78" s="414">
        <v>1</v>
      </c>
      <c r="F78" s="414">
        <v>12</v>
      </c>
      <c r="G78" s="414">
        <v>2</v>
      </c>
      <c r="H78" s="414">
        <f t="shared" si="24"/>
        <v>24</v>
      </c>
      <c r="I78" s="414">
        <f>+H78*E3</f>
        <v>720</v>
      </c>
      <c r="J78" s="423" t="s">
        <v>387</v>
      </c>
      <c r="K78" s="467"/>
      <c r="L78" s="423">
        <v>0</v>
      </c>
      <c r="M78" s="423" t="s">
        <v>412</v>
      </c>
      <c r="N78" s="414">
        <v>1</v>
      </c>
      <c r="O78" s="414">
        <v>192</v>
      </c>
      <c r="P78" s="414">
        <v>192</v>
      </c>
      <c r="Q78" s="414">
        <f t="shared" si="17"/>
        <v>192</v>
      </c>
      <c r="R78" s="414">
        <v>2</v>
      </c>
      <c r="S78" s="414">
        <f t="shared" ref="S78:S80" si="25">+Q78*R79</f>
        <v>384</v>
      </c>
      <c r="T78" s="414"/>
      <c r="U78" s="414"/>
    </row>
    <row r="79" spans="1:21" ht="14.4" x14ac:dyDescent="0.3">
      <c r="A79" s="483"/>
      <c r="B79" s="525"/>
      <c r="C79" s="528"/>
      <c r="D79" s="496"/>
      <c r="E79" s="414">
        <v>1</v>
      </c>
      <c r="F79" s="414">
        <v>12</v>
      </c>
      <c r="G79" s="414">
        <v>2</v>
      </c>
      <c r="H79" s="414">
        <f t="shared" si="24"/>
        <v>24</v>
      </c>
      <c r="I79" s="414">
        <f>+H79*E3</f>
        <v>720</v>
      </c>
      <c r="J79" s="423" t="s">
        <v>388</v>
      </c>
      <c r="K79" s="467"/>
      <c r="L79" s="423">
        <v>0</v>
      </c>
      <c r="M79" s="423" t="s">
        <v>412</v>
      </c>
      <c r="N79" s="414">
        <v>1</v>
      </c>
      <c r="O79" s="414">
        <v>192</v>
      </c>
      <c r="P79" s="414">
        <v>192</v>
      </c>
      <c r="Q79" s="414">
        <f t="shared" si="17"/>
        <v>192</v>
      </c>
      <c r="R79" s="414">
        <v>2</v>
      </c>
      <c r="S79" s="414">
        <f t="shared" si="25"/>
        <v>384</v>
      </c>
      <c r="T79" s="414"/>
      <c r="U79" s="414"/>
    </row>
    <row r="80" spans="1:21" ht="14.4" x14ac:dyDescent="0.3">
      <c r="A80" s="483"/>
      <c r="B80" s="526"/>
      <c r="C80" s="529"/>
      <c r="D80" s="497"/>
      <c r="E80" s="414">
        <v>1</v>
      </c>
      <c r="F80" s="414">
        <v>12</v>
      </c>
      <c r="G80" s="414">
        <v>2</v>
      </c>
      <c r="H80" s="414">
        <f t="shared" si="24"/>
        <v>24</v>
      </c>
      <c r="I80" s="414">
        <f>+H80*E3</f>
        <v>720</v>
      </c>
      <c r="J80" s="423" t="s">
        <v>389</v>
      </c>
      <c r="K80" s="467"/>
      <c r="L80" s="423">
        <v>0</v>
      </c>
      <c r="M80" s="423" t="s">
        <v>412</v>
      </c>
      <c r="N80" s="414">
        <v>1</v>
      </c>
      <c r="O80" s="414">
        <v>192</v>
      </c>
      <c r="P80" s="414">
        <v>192</v>
      </c>
      <c r="Q80" s="414">
        <f t="shared" si="17"/>
        <v>192</v>
      </c>
      <c r="R80" s="414">
        <v>2</v>
      </c>
      <c r="S80" s="414">
        <f t="shared" si="25"/>
        <v>192</v>
      </c>
      <c r="T80" s="414"/>
      <c r="U80" s="414"/>
    </row>
    <row r="81" spans="1:23" ht="33" customHeight="1" x14ac:dyDescent="0.3">
      <c r="A81" s="483"/>
      <c r="B81" s="504" t="s">
        <v>27</v>
      </c>
      <c r="C81" s="476" t="s">
        <v>77</v>
      </c>
      <c r="D81" s="469" t="s">
        <v>76</v>
      </c>
      <c r="E81" s="414">
        <v>1</v>
      </c>
      <c r="F81" s="414">
        <v>6</v>
      </c>
      <c r="G81" s="414">
        <v>1</v>
      </c>
      <c r="H81" s="414">
        <f>+E81*F81*G81</f>
        <v>6</v>
      </c>
      <c r="I81" s="414">
        <f>+H81*2</f>
        <v>12</v>
      </c>
      <c r="J81" s="423" t="s">
        <v>380</v>
      </c>
      <c r="K81" s="467" t="s">
        <v>415</v>
      </c>
      <c r="L81" s="423">
        <v>0</v>
      </c>
      <c r="M81" s="423" t="s">
        <v>412</v>
      </c>
      <c r="N81" s="414">
        <v>1</v>
      </c>
      <c r="O81" s="414">
        <v>192</v>
      </c>
      <c r="P81" s="414">
        <v>192</v>
      </c>
      <c r="Q81" s="414">
        <f t="shared" si="17"/>
        <v>192</v>
      </c>
      <c r="R81" s="414">
        <v>1</v>
      </c>
      <c r="S81" s="414">
        <f t="shared" ref="S81:S92" si="26">+Q81*R81</f>
        <v>192</v>
      </c>
      <c r="T81" s="414"/>
      <c r="U81" s="414"/>
    </row>
    <row r="82" spans="1:23" ht="14.4" customHeight="1" x14ac:dyDescent="0.3">
      <c r="A82" s="483"/>
      <c r="B82" s="505"/>
      <c r="C82" s="477"/>
      <c r="D82" s="470"/>
      <c r="E82" s="414">
        <v>1</v>
      </c>
      <c r="F82" s="414">
        <v>6</v>
      </c>
      <c r="G82" s="414">
        <v>1</v>
      </c>
      <c r="H82" s="414">
        <f t="shared" ref="H82:H86" si="27">+E82*F82*G82</f>
        <v>6</v>
      </c>
      <c r="I82" s="414">
        <f t="shared" ref="I82:I86" si="28">+H82*2</f>
        <v>12</v>
      </c>
      <c r="J82" s="423" t="s">
        <v>385</v>
      </c>
      <c r="K82" s="467"/>
      <c r="L82" s="423">
        <v>0</v>
      </c>
      <c r="M82" s="423" t="s">
        <v>412</v>
      </c>
      <c r="N82" s="414">
        <v>1</v>
      </c>
      <c r="O82" s="414">
        <v>192</v>
      </c>
      <c r="P82" s="414">
        <v>192</v>
      </c>
      <c r="Q82" s="414">
        <f t="shared" si="17"/>
        <v>192</v>
      </c>
      <c r="R82" s="414">
        <v>1</v>
      </c>
      <c r="S82" s="414">
        <f t="shared" si="26"/>
        <v>192</v>
      </c>
      <c r="T82" s="414"/>
      <c r="U82" s="414"/>
    </row>
    <row r="83" spans="1:23" ht="14.4" x14ac:dyDescent="0.3">
      <c r="A83" s="483"/>
      <c r="B83" s="505"/>
      <c r="C83" s="477"/>
      <c r="D83" s="470"/>
      <c r="E83" s="414">
        <v>1</v>
      </c>
      <c r="F83" s="414">
        <v>6</v>
      </c>
      <c r="G83" s="414">
        <v>1</v>
      </c>
      <c r="H83" s="414">
        <f t="shared" si="27"/>
        <v>6</v>
      </c>
      <c r="I83" s="414">
        <f t="shared" si="28"/>
        <v>12</v>
      </c>
      <c r="J83" s="423" t="s">
        <v>384</v>
      </c>
      <c r="K83" s="467"/>
      <c r="L83" s="423">
        <v>0</v>
      </c>
      <c r="M83" s="423" t="s">
        <v>412</v>
      </c>
      <c r="N83" s="414">
        <v>1</v>
      </c>
      <c r="O83" s="414">
        <v>192</v>
      </c>
      <c r="P83" s="414">
        <v>192</v>
      </c>
      <c r="Q83" s="414">
        <f t="shared" si="17"/>
        <v>192</v>
      </c>
      <c r="R83" s="414">
        <v>1</v>
      </c>
      <c r="S83" s="414">
        <f t="shared" si="26"/>
        <v>192</v>
      </c>
      <c r="T83" s="414"/>
      <c r="U83" s="414"/>
    </row>
    <row r="84" spans="1:23" ht="14.4" x14ac:dyDescent="0.3">
      <c r="A84" s="483"/>
      <c r="B84" s="505"/>
      <c r="C84" s="477"/>
      <c r="D84" s="470"/>
      <c r="E84" s="414">
        <v>1</v>
      </c>
      <c r="F84" s="414">
        <v>6</v>
      </c>
      <c r="G84" s="414">
        <v>1</v>
      </c>
      <c r="H84" s="414">
        <f t="shared" si="27"/>
        <v>6</v>
      </c>
      <c r="I84" s="414">
        <f t="shared" si="28"/>
        <v>12</v>
      </c>
      <c r="J84" s="423" t="s">
        <v>387</v>
      </c>
      <c r="K84" s="467"/>
      <c r="L84" s="423">
        <v>0</v>
      </c>
      <c r="M84" s="423" t="s">
        <v>412</v>
      </c>
      <c r="N84" s="414">
        <v>1</v>
      </c>
      <c r="O84" s="414">
        <v>192</v>
      </c>
      <c r="P84" s="414">
        <v>192</v>
      </c>
      <c r="Q84" s="414">
        <f t="shared" si="17"/>
        <v>192</v>
      </c>
      <c r="R84" s="414">
        <v>1</v>
      </c>
      <c r="S84" s="414">
        <f t="shared" si="26"/>
        <v>192</v>
      </c>
      <c r="T84" s="414"/>
      <c r="U84" s="414"/>
    </row>
    <row r="85" spans="1:23" ht="14.4" x14ac:dyDescent="0.3">
      <c r="A85" s="483"/>
      <c r="B85" s="505"/>
      <c r="C85" s="477"/>
      <c r="D85" s="470"/>
      <c r="E85" s="414">
        <v>1</v>
      </c>
      <c r="F85" s="414">
        <v>6</v>
      </c>
      <c r="G85" s="414">
        <v>1</v>
      </c>
      <c r="H85" s="414">
        <f t="shared" si="27"/>
        <v>6</v>
      </c>
      <c r="I85" s="414">
        <f t="shared" si="28"/>
        <v>12</v>
      </c>
      <c r="J85" s="423" t="s">
        <v>388</v>
      </c>
      <c r="K85" s="467"/>
      <c r="L85" s="423">
        <v>0</v>
      </c>
      <c r="M85" s="423" t="s">
        <v>412</v>
      </c>
      <c r="N85" s="414">
        <v>1</v>
      </c>
      <c r="O85" s="414">
        <v>192</v>
      </c>
      <c r="P85" s="414">
        <v>192</v>
      </c>
      <c r="Q85" s="414">
        <f t="shared" si="17"/>
        <v>192</v>
      </c>
      <c r="R85" s="414">
        <v>1</v>
      </c>
      <c r="S85" s="414">
        <f t="shared" si="26"/>
        <v>192</v>
      </c>
      <c r="T85" s="414"/>
      <c r="U85" s="414"/>
    </row>
    <row r="86" spans="1:23" ht="14.4" x14ac:dyDescent="0.3">
      <c r="A86" s="483"/>
      <c r="B86" s="506"/>
      <c r="C86" s="478"/>
      <c r="D86" s="471"/>
      <c r="E86" s="414">
        <v>1</v>
      </c>
      <c r="F86" s="414">
        <v>6</v>
      </c>
      <c r="G86" s="414">
        <v>1</v>
      </c>
      <c r="H86" s="414">
        <f t="shared" si="27"/>
        <v>6</v>
      </c>
      <c r="I86" s="414">
        <f t="shared" si="28"/>
        <v>12</v>
      </c>
      <c r="J86" s="423" t="s">
        <v>389</v>
      </c>
      <c r="K86" s="468"/>
      <c r="L86" s="423">
        <v>1</v>
      </c>
      <c r="M86" s="423" t="s">
        <v>410</v>
      </c>
      <c r="N86" s="414">
        <v>1</v>
      </c>
      <c r="O86" s="414">
        <v>192</v>
      </c>
      <c r="P86" s="414">
        <v>192</v>
      </c>
      <c r="Q86" s="414">
        <f t="shared" si="17"/>
        <v>192</v>
      </c>
      <c r="R86" s="414">
        <v>1</v>
      </c>
      <c r="S86" s="414">
        <f t="shared" si="26"/>
        <v>192</v>
      </c>
      <c r="T86" s="414"/>
      <c r="U86" s="414"/>
    </row>
    <row r="87" spans="1:23" ht="33" customHeight="1" x14ac:dyDescent="0.3">
      <c r="A87" s="483"/>
      <c r="B87" s="501" t="s">
        <v>355</v>
      </c>
      <c r="C87" s="476" t="s">
        <v>77</v>
      </c>
      <c r="D87" s="495" t="s">
        <v>357</v>
      </c>
      <c r="E87" s="414">
        <v>1</v>
      </c>
      <c r="F87" s="414">
        <v>12</v>
      </c>
      <c r="G87" s="414">
        <v>2</v>
      </c>
      <c r="H87" s="414">
        <f t="shared" ref="H87:H92" si="29">+E87*F87*G87</f>
        <v>24</v>
      </c>
      <c r="I87" s="414">
        <f>+H87*E10</f>
        <v>24</v>
      </c>
      <c r="J87" s="423" t="s">
        <v>348</v>
      </c>
      <c r="K87" s="467" t="s">
        <v>415</v>
      </c>
      <c r="L87" s="423">
        <v>0</v>
      </c>
      <c r="M87" s="423" t="s">
        <v>412</v>
      </c>
      <c r="N87" s="414">
        <v>1</v>
      </c>
      <c r="O87" s="414">
        <v>240</v>
      </c>
      <c r="P87" s="414">
        <v>240</v>
      </c>
      <c r="Q87" s="414">
        <f t="shared" si="17"/>
        <v>240</v>
      </c>
      <c r="R87" s="414">
        <v>2</v>
      </c>
      <c r="S87" s="414">
        <f t="shared" si="26"/>
        <v>480</v>
      </c>
      <c r="T87" s="414"/>
      <c r="U87" s="414"/>
    </row>
    <row r="88" spans="1:23" ht="14.4" x14ac:dyDescent="0.3">
      <c r="A88" s="483"/>
      <c r="B88" s="502"/>
      <c r="C88" s="477"/>
      <c r="D88" s="496"/>
      <c r="E88" s="414">
        <v>1</v>
      </c>
      <c r="F88" s="414">
        <v>12</v>
      </c>
      <c r="G88" s="414">
        <v>2</v>
      </c>
      <c r="H88" s="414">
        <f t="shared" si="29"/>
        <v>24</v>
      </c>
      <c r="I88" s="414">
        <f>+H88*E10</f>
        <v>24</v>
      </c>
      <c r="J88" s="423" t="s">
        <v>385</v>
      </c>
      <c r="K88" s="467"/>
      <c r="L88" s="423">
        <v>0</v>
      </c>
      <c r="M88" s="423" t="s">
        <v>412</v>
      </c>
      <c r="N88" s="414">
        <v>1</v>
      </c>
      <c r="O88" s="414">
        <v>240</v>
      </c>
      <c r="P88" s="414">
        <v>240</v>
      </c>
      <c r="Q88" s="414">
        <f t="shared" ref="Q88:Q92" si="30">+P88*N88</f>
        <v>240</v>
      </c>
      <c r="R88" s="414">
        <v>2</v>
      </c>
      <c r="S88" s="414">
        <f t="shared" si="26"/>
        <v>480</v>
      </c>
      <c r="T88" s="414"/>
      <c r="U88" s="414"/>
    </row>
    <row r="89" spans="1:23" ht="14.4" x14ac:dyDescent="0.3">
      <c r="A89" s="483"/>
      <c r="B89" s="502"/>
      <c r="C89" s="477"/>
      <c r="D89" s="496"/>
      <c r="E89" s="414">
        <v>1</v>
      </c>
      <c r="F89" s="414">
        <v>12</v>
      </c>
      <c r="G89" s="414">
        <v>2</v>
      </c>
      <c r="H89" s="414">
        <f t="shared" si="29"/>
        <v>24</v>
      </c>
      <c r="I89" s="414">
        <f>+H89*E10</f>
        <v>24</v>
      </c>
      <c r="J89" s="423" t="s">
        <v>384</v>
      </c>
      <c r="K89" s="467"/>
      <c r="L89" s="423">
        <v>0</v>
      </c>
      <c r="M89" s="423" t="s">
        <v>412</v>
      </c>
      <c r="N89" s="414">
        <v>1</v>
      </c>
      <c r="O89" s="414">
        <v>240</v>
      </c>
      <c r="P89" s="414">
        <v>240</v>
      </c>
      <c r="Q89" s="414">
        <f t="shared" si="30"/>
        <v>240</v>
      </c>
      <c r="R89" s="414">
        <v>2</v>
      </c>
      <c r="S89" s="414">
        <f t="shared" si="26"/>
        <v>480</v>
      </c>
      <c r="T89" s="414"/>
      <c r="U89" s="414"/>
    </row>
    <row r="90" spans="1:23" ht="14.4" x14ac:dyDescent="0.3">
      <c r="A90" s="483"/>
      <c r="B90" s="502"/>
      <c r="C90" s="477"/>
      <c r="D90" s="496"/>
      <c r="E90" s="414">
        <v>1</v>
      </c>
      <c r="F90" s="414">
        <v>12</v>
      </c>
      <c r="G90" s="414">
        <v>2</v>
      </c>
      <c r="H90" s="414">
        <f t="shared" si="29"/>
        <v>24</v>
      </c>
      <c r="I90" s="414">
        <f>+H90*E10</f>
        <v>24</v>
      </c>
      <c r="J90" s="423" t="s">
        <v>387</v>
      </c>
      <c r="K90" s="467"/>
      <c r="L90" s="423">
        <v>0</v>
      </c>
      <c r="M90" s="423" t="s">
        <v>412</v>
      </c>
      <c r="N90" s="414">
        <v>1</v>
      </c>
      <c r="O90" s="414">
        <v>240</v>
      </c>
      <c r="P90" s="414">
        <v>240</v>
      </c>
      <c r="Q90" s="414">
        <f t="shared" si="30"/>
        <v>240</v>
      </c>
      <c r="R90" s="414">
        <v>2</v>
      </c>
      <c r="S90" s="414">
        <f t="shared" si="26"/>
        <v>480</v>
      </c>
      <c r="T90" s="414"/>
      <c r="U90" s="414"/>
    </row>
    <row r="91" spans="1:23" ht="14.4" x14ac:dyDescent="0.3">
      <c r="A91" s="483"/>
      <c r="B91" s="502"/>
      <c r="C91" s="477"/>
      <c r="D91" s="496"/>
      <c r="E91" s="414">
        <v>1</v>
      </c>
      <c r="F91" s="414">
        <v>12</v>
      </c>
      <c r="G91" s="414">
        <v>2</v>
      </c>
      <c r="H91" s="414">
        <f t="shared" si="29"/>
        <v>24</v>
      </c>
      <c r="I91" s="414">
        <f>+H91*E10</f>
        <v>24</v>
      </c>
      <c r="J91" s="423" t="s">
        <v>388</v>
      </c>
      <c r="K91" s="467"/>
      <c r="L91" s="423">
        <v>0</v>
      </c>
      <c r="M91" s="423" t="s">
        <v>412</v>
      </c>
      <c r="N91" s="414">
        <v>1</v>
      </c>
      <c r="O91" s="414">
        <v>240</v>
      </c>
      <c r="P91" s="414">
        <v>240</v>
      </c>
      <c r="Q91" s="414">
        <f t="shared" si="30"/>
        <v>240</v>
      </c>
      <c r="R91" s="414">
        <v>2</v>
      </c>
      <c r="S91" s="414">
        <f t="shared" si="26"/>
        <v>480</v>
      </c>
      <c r="T91" s="414"/>
      <c r="U91" s="414"/>
    </row>
    <row r="92" spans="1:23" ht="15" thickBot="1" x14ac:dyDescent="0.35">
      <c r="A92" s="484"/>
      <c r="B92" s="503"/>
      <c r="C92" s="478"/>
      <c r="D92" s="497"/>
      <c r="E92" s="414">
        <v>1</v>
      </c>
      <c r="F92" s="414">
        <v>12</v>
      </c>
      <c r="G92" s="414">
        <v>2</v>
      </c>
      <c r="H92" s="414">
        <f t="shared" si="29"/>
        <v>24</v>
      </c>
      <c r="I92" s="414">
        <f>+H92*E10</f>
        <v>24</v>
      </c>
      <c r="J92" s="423" t="s">
        <v>389</v>
      </c>
      <c r="K92" s="468"/>
      <c r="L92" s="423">
        <v>1</v>
      </c>
      <c r="M92" s="423" t="s">
        <v>410</v>
      </c>
      <c r="N92" s="414">
        <v>1</v>
      </c>
      <c r="O92" s="414">
        <v>240</v>
      </c>
      <c r="P92" s="414">
        <v>240</v>
      </c>
      <c r="Q92" s="414">
        <f t="shared" si="30"/>
        <v>240</v>
      </c>
      <c r="R92" s="414">
        <v>2</v>
      </c>
      <c r="S92" s="414">
        <f t="shared" si="26"/>
        <v>480</v>
      </c>
      <c r="T92" s="414"/>
      <c r="U92" s="414"/>
    </row>
    <row r="93" spans="1:23" ht="23.25" customHeight="1" x14ac:dyDescent="0.3">
      <c r="A93" s="482" t="s">
        <v>28</v>
      </c>
      <c r="B93" s="490" t="s">
        <v>29</v>
      </c>
      <c r="C93" s="476" t="s">
        <v>78</v>
      </c>
      <c r="D93" s="469" t="s">
        <v>79</v>
      </c>
      <c r="E93" s="414">
        <v>10</v>
      </c>
      <c r="F93" s="414">
        <v>24</v>
      </c>
      <c r="G93" s="414">
        <v>24</v>
      </c>
      <c r="H93" s="414">
        <v>24</v>
      </c>
      <c r="I93" s="414">
        <f>+H93*E3</f>
        <v>720</v>
      </c>
      <c r="J93" s="423" t="s">
        <v>383</v>
      </c>
      <c r="K93" s="423">
        <v>2</v>
      </c>
      <c r="L93" s="423">
        <v>0</v>
      </c>
      <c r="M93" s="423" t="s">
        <v>412</v>
      </c>
      <c r="N93" s="414">
        <v>5</v>
      </c>
      <c r="O93" s="414">
        <v>192</v>
      </c>
      <c r="P93" s="414">
        <v>192</v>
      </c>
      <c r="Q93" s="414">
        <f>+P93*N93</f>
        <v>960</v>
      </c>
      <c r="R93" s="414">
        <v>24</v>
      </c>
      <c r="S93" s="435">
        <f t="shared" ref="S93" si="31">+Q93*R93</f>
        <v>23040</v>
      </c>
      <c r="T93" s="507" t="s">
        <v>339</v>
      </c>
      <c r="U93" s="508"/>
      <c r="V93" s="509"/>
      <c r="W93" s="510"/>
    </row>
    <row r="94" spans="1:23" ht="23.25" customHeight="1" x14ac:dyDescent="0.3">
      <c r="A94" s="483"/>
      <c r="B94" s="516"/>
      <c r="C94" s="477"/>
      <c r="D94" s="470"/>
      <c r="E94" s="414">
        <v>10</v>
      </c>
      <c r="F94" s="414">
        <v>24</v>
      </c>
      <c r="G94" s="414">
        <v>24</v>
      </c>
      <c r="H94" s="414">
        <v>24</v>
      </c>
      <c r="I94" s="414">
        <f>+H94*E3</f>
        <v>720</v>
      </c>
      <c r="J94" s="423" t="s">
        <v>303</v>
      </c>
      <c r="K94" s="423">
        <v>1</v>
      </c>
      <c r="L94" s="423">
        <v>1</v>
      </c>
      <c r="M94" s="423" t="s">
        <v>410</v>
      </c>
      <c r="N94" s="414">
        <v>4</v>
      </c>
      <c r="O94" s="414">
        <v>192</v>
      </c>
      <c r="P94" s="414">
        <v>192</v>
      </c>
      <c r="Q94" s="414">
        <f>+P94*N94</f>
        <v>768</v>
      </c>
      <c r="R94" s="414">
        <v>24</v>
      </c>
      <c r="S94" s="425">
        <f t="shared" ref="S94" si="32">+Q94*R94</f>
        <v>18432</v>
      </c>
      <c r="T94" s="507"/>
      <c r="U94" s="508"/>
      <c r="V94" s="508"/>
      <c r="W94" s="511"/>
    </row>
    <row r="95" spans="1:23" ht="23.25" customHeight="1" x14ac:dyDescent="0.3">
      <c r="A95" s="483"/>
      <c r="B95" s="516"/>
      <c r="C95" s="477"/>
      <c r="D95" s="470"/>
      <c r="E95" s="414">
        <v>10</v>
      </c>
      <c r="F95" s="414">
        <v>24</v>
      </c>
      <c r="G95" s="414">
        <v>24</v>
      </c>
      <c r="H95" s="414">
        <v>24</v>
      </c>
      <c r="I95" s="414">
        <f>+H95*E3</f>
        <v>720</v>
      </c>
      <c r="J95" s="423" t="s">
        <v>384</v>
      </c>
      <c r="K95" s="423">
        <v>0</v>
      </c>
      <c r="L95" s="423">
        <v>0</v>
      </c>
      <c r="M95" s="423" t="s">
        <v>412</v>
      </c>
      <c r="N95" s="414">
        <v>4</v>
      </c>
      <c r="O95" s="414">
        <v>192</v>
      </c>
      <c r="P95" s="414">
        <v>192</v>
      </c>
      <c r="Q95" s="414">
        <f t="shared" ref="Q95:Q96" si="33">+P95*N95</f>
        <v>768</v>
      </c>
      <c r="R95" s="414">
        <v>24</v>
      </c>
      <c r="S95" s="425">
        <f t="shared" ref="S95:S96" si="34">+Q95*R95</f>
        <v>18432</v>
      </c>
      <c r="T95" s="507"/>
      <c r="U95" s="508"/>
      <c r="V95" s="508"/>
      <c r="W95" s="511"/>
    </row>
    <row r="96" spans="1:23" ht="23.25" customHeight="1" x14ac:dyDescent="0.3">
      <c r="A96" s="483"/>
      <c r="B96" s="516"/>
      <c r="C96" s="477"/>
      <c r="D96" s="470"/>
      <c r="E96" s="414">
        <v>10</v>
      </c>
      <c r="F96" s="414">
        <v>24</v>
      </c>
      <c r="G96" s="414">
        <v>24</v>
      </c>
      <c r="H96" s="414">
        <v>24</v>
      </c>
      <c r="I96" s="414">
        <f>+H96*E3</f>
        <v>720</v>
      </c>
      <c r="J96" s="423" t="s">
        <v>342</v>
      </c>
      <c r="K96" s="423">
        <v>2</v>
      </c>
      <c r="L96" s="423">
        <v>1</v>
      </c>
      <c r="M96" s="423" t="s">
        <v>412</v>
      </c>
      <c r="N96" s="414">
        <v>2</v>
      </c>
      <c r="O96" s="414">
        <v>192</v>
      </c>
      <c r="P96" s="414">
        <v>192</v>
      </c>
      <c r="Q96" s="414">
        <f t="shared" si="33"/>
        <v>384</v>
      </c>
      <c r="R96" s="414">
        <v>24</v>
      </c>
      <c r="S96" s="425">
        <f t="shared" si="34"/>
        <v>9216</v>
      </c>
      <c r="T96" s="507"/>
      <c r="U96" s="508"/>
      <c r="V96" s="508"/>
      <c r="W96" s="511"/>
    </row>
    <row r="97" spans="1:23" ht="23.25" customHeight="1" x14ac:dyDescent="0.3">
      <c r="A97" s="484"/>
      <c r="B97" s="491"/>
      <c r="C97" s="477"/>
      <c r="D97" s="471"/>
      <c r="E97" s="414">
        <v>10</v>
      </c>
      <c r="F97" s="414">
        <v>24</v>
      </c>
      <c r="G97" s="414">
        <v>24</v>
      </c>
      <c r="H97" s="414">
        <v>24</v>
      </c>
      <c r="I97" s="414">
        <f>+H97*E3</f>
        <v>720</v>
      </c>
      <c r="J97" s="423" t="s">
        <v>333</v>
      </c>
      <c r="K97" s="423">
        <v>2</v>
      </c>
      <c r="L97" s="423">
        <v>0</v>
      </c>
      <c r="M97" s="423" t="s">
        <v>412</v>
      </c>
      <c r="N97" s="414">
        <v>2</v>
      </c>
      <c r="O97" s="414">
        <v>192</v>
      </c>
      <c r="P97" s="414">
        <v>192</v>
      </c>
      <c r="Q97" s="414">
        <f t="shared" ref="Q97" si="35">+P97*N97</f>
        <v>384</v>
      </c>
      <c r="R97" s="414">
        <v>24</v>
      </c>
      <c r="S97" s="425">
        <f t="shared" ref="S97" si="36">+Q97*R97</f>
        <v>9216</v>
      </c>
      <c r="T97" s="507"/>
      <c r="U97" s="508"/>
      <c r="V97" s="508"/>
      <c r="W97" s="511"/>
    </row>
    <row r="98" spans="1:23" ht="23.25" customHeight="1" x14ac:dyDescent="0.3">
      <c r="A98" s="482" t="s">
        <v>30</v>
      </c>
      <c r="B98" s="490" t="s">
        <v>31</v>
      </c>
      <c r="C98" s="477"/>
      <c r="D98" s="469" t="s">
        <v>76</v>
      </c>
      <c r="E98" s="414">
        <v>3</v>
      </c>
      <c r="F98" s="414">
        <v>24</v>
      </c>
      <c r="G98" s="414">
        <v>24</v>
      </c>
      <c r="H98" s="414">
        <v>24</v>
      </c>
      <c r="I98" s="414">
        <f>+H98*E3</f>
        <v>720</v>
      </c>
      <c r="J98" s="423" t="s">
        <v>313</v>
      </c>
      <c r="K98" s="423">
        <v>0</v>
      </c>
      <c r="L98" s="423">
        <v>0</v>
      </c>
      <c r="M98" s="423" t="s">
        <v>412</v>
      </c>
      <c r="N98" s="414">
        <v>5</v>
      </c>
      <c r="O98" s="414">
        <v>192</v>
      </c>
      <c r="P98" s="414">
        <v>192</v>
      </c>
      <c r="Q98" s="414">
        <f t="shared" si="17"/>
        <v>960</v>
      </c>
      <c r="R98" s="414">
        <v>24</v>
      </c>
      <c r="S98" s="425">
        <f t="shared" ref="S98:S102" si="37">+Q98*R98</f>
        <v>23040</v>
      </c>
      <c r="T98" s="507"/>
      <c r="U98" s="508"/>
      <c r="V98" s="508"/>
      <c r="W98" s="511"/>
    </row>
    <row r="99" spans="1:23" ht="23.25" customHeight="1" x14ac:dyDescent="0.3">
      <c r="A99" s="483"/>
      <c r="B99" s="516"/>
      <c r="C99" s="477"/>
      <c r="D99" s="470"/>
      <c r="E99" s="414">
        <v>3</v>
      </c>
      <c r="F99" s="414">
        <v>24</v>
      </c>
      <c r="G99" s="414">
        <v>24</v>
      </c>
      <c r="H99" s="414">
        <v>24</v>
      </c>
      <c r="I99" s="414">
        <f>+H99*E3</f>
        <v>720</v>
      </c>
      <c r="J99" s="423" t="s">
        <v>303</v>
      </c>
      <c r="K99" s="423">
        <v>0</v>
      </c>
      <c r="L99" s="423">
        <v>0</v>
      </c>
      <c r="M99" s="423" t="s">
        <v>412</v>
      </c>
      <c r="N99" s="414">
        <v>4</v>
      </c>
      <c r="O99" s="414">
        <v>192</v>
      </c>
      <c r="P99" s="414">
        <v>192</v>
      </c>
      <c r="Q99" s="414">
        <f>+P99*N99</f>
        <v>768</v>
      </c>
      <c r="R99" s="414">
        <v>24</v>
      </c>
      <c r="S99" s="425">
        <f t="shared" si="37"/>
        <v>18432</v>
      </c>
      <c r="T99" s="507"/>
      <c r="U99" s="508"/>
      <c r="V99" s="508"/>
      <c r="W99" s="511"/>
    </row>
    <row r="100" spans="1:23" ht="23.25" customHeight="1" x14ac:dyDescent="0.3">
      <c r="A100" s="483"/>
      <c r="B100" s="516"/>
      <c r="C100" s="477"/>
      <c r="D100" s="470"/>
      <c r="E100" s="414">
        <v>3</v>
      </c>
      <c r="F100" s="414">
        <v>24</v>
      </c>
      <c r="G100" s="414">
        <v>24</v>
      </c>
      <c r="H100" s="414">
        <v>24</v>
      </c>
      <c r="I100" s="414">
        <f>+H100*E3</f>
        <v>720</v>
      </c>
      <c r="J100" s="423" t="s">
        <v>341</v>
      </c>
      <c r="K100" s="423">
        <v>0</v>
      </c>
      <c r="L100" s="423">
        <v>0</v>
      </c>
      <c r="M100" s="423" t="s">
        <v>412</v>
      </c>
      <c r="N100" s="414">
        <v>4</v>
      </c>
      <c r="O100" s="414">
        <v>192</v>
      </c>
      <c r="P100" s="414">
        <v>192</v>
      </c>
      <c r="Q100" s="414">
        <f t="shared" ref="Q100:Q102" si="38">+P100*N100</f>
        <v>768</v>
      </c>
      <c r="R100" s="414">
        <v>24</v>
      </c>
      <c r="S100" s="425">
        <f t="shared" si="37"/>
        <v>18432</v>
      </c>
      <c r="T100" s="507"/>
      <c r="U100" s="508"/>
      <c r="V100" s="508"/>
      <c r="W100" s="511"/>
    </row>
    <row r="101" spans="1:23" ht="23.25" customHeight="1" x14ac:dyDescent="0.3">
      <c r="A101" s="483"/>
      <c r="B101" s="516"/>
      <c r="C101" s="477"/>
      <c r="D101" s="470"/>
      <c r="E101" s="414">
        <v>3</v>
      </c>
      <c r="F101" s="414">
        <v>24</v>
      </c>
      <c r="G101" s="414">
        <v>24</v>
      </c>
      <c r="H101" s="414">
        <v>24</v>
      </c>
      <c r="I101" s="414">
        <f>+H101*E3</f>
        <v>720</v>
      </c>
      <c r="J101" s="423" t="s">
        <v>342</v>
      </c>
      <c r="K101" s="423">
        <v>0</v>
      </c>
      <c r="L101" s="423">
        <v>0</v>
      </c>
      <c r="M101" s="423" t="s">
        <v>412</v>
      </c>
      <c r="N101" s="414">
        <v>2</v>
      </c>
      <c r="O101" s="414">
        <v>192</v>
      </c>
      <c r="P101" s="414">
        <v>192</v>
      </c>
      <c r="Q101" s="414">
        <f t="shared" si="38"/>
        <v>384</v>
      </c>
      <c r="R101" s="414">
        <v>24</v>
      </c>
      <c r="S101" s="425">
        <f t="shared" si="37"/>
        <v>9216</v>
      </c>
      <c r="T101" s="507"/>
      <c r="U101" s="508"/>
      <c r="V101" s="508"/>
      <c r="W101" s="511"/>
    </row>
    <row r="102" spans="1:23" ht="23.25" customHeight="1" thickBot="1" x14ac:dyDescent="0.35">
      <c r="A102" s="484"/>
      <c r="B102" s="491"/>
      <c r="C102" s="478"/>
      <c r="D102" s="471"/>
      <c r="E102" s="414">
        <v>3</v>
      </c>
      <c r="F102" s="414">
        <v>24</v>
      </c>
      <c r="G102" s="414">
        <v>24</v>
      </c>
      <c r="H102" s="414">
        <v>24</v>
      </c>
      <c r="I102" s="414">
        <f>+H102*E3</f>
        <v>720</v>
      </c>
      <c r="J102" s="423" t="s">
        <v>333</v>
      </c>
      <c r="K102" s="423">
        <v>0</v>
      </c>
      <c r="L102" s="423">
        <v>0</v>
      </c>
      <c r="M102" s="423" t="s">
        <v>412</v>
      </c>
      <c r="N102" s="414">
        <v>2</v>
      </c>
      <c r="O102" s="414">
        <v>192</v>
      </c>
      <c r="P102" s="414">
        <v>192</v>
      </c>
      <c r="Q102" s="414">
        <f t="shared" si="38"/>
        <v>384</v>
      </c>
      <c r="R102" s="414">
        <v>24</v>
      </c>
      <c r="S102" s="425">
        <f t="shared" si="37"/>
        <v>9216</v>
      </c>
      <c r="T102" s="512"/>
      <c r="U102" s="513"/>
      <c r="V102" s="513"/>
      <c r="W102" s="514"/>
    </row>
    <row r="103" spans="1:23" ht="33" customHeight="1" x14ac:dyDescent="0.3">
      <c r="A103" s="482" t="s">
        <v>32</v>
      </c>
      <c r="B103" s="479" t="s">
        <v>33</v>
      </c>
      <c r="C103" s="476" t="s">
        <v>77</v>
      </c>
      <c r="D103" s="469" t="s">
        <v>76</v>
      </c>
      <c r="E103" s="414">
        <v>1</v>
      </c>
      <c r="F103" s="414">
        <v>12</v>
      </c>
      <c r="G103" s="414">
        <v>24</v>
      </c>
      <c r="H103" s="414">
        <v>24</v>
      </c>
      <c r="I103" s="414">
        <f>+H103*E3</f>
        <v>720</v>
      </c>
      <c r="J103" s="423" t="s">
        <v>344</v>
      </c>
      <c r="K103" s="423"/>
      <c r="L103" s="423"/>
      <c r="M103" s="423" t="s">
        <v>412</v>
      </c>
      <c r="N103" s="414">
        <v>1</v>
      </c>
      <c r="O103" s="414">
        <v>192</v>
      </c>
      <c r="P103" s="414">
        <v>192</v>
      </c>
      <c r="Q103" s="414">
        <f t="shared" ref="Q103:Q105" si="39">+P103*N103</f>
        <v>192</v>
      </c>
      <c r="R103" s="414">
        <v>24</v>
      </c>
      <c r="S103" s="414">
        <f t="shared" ref="S103:S105" si="40">+Q103*R103</f>
        <v>4608</v>
      </c>
      <c r="T103" s="414"/>
      <c r="U103" s="414"/>
    </row>
    <row r="104" spans="1:23" ht="28.8" x14ac:dyDescent="0.3">
      <c r="A104" s="483"/>
      <c r="B104" s="480"/>
      <c r="C104" s="477"/>
      <c r="D104" s="470"/>
      <c r="E104" s="414">
        <v>1</v>
      </c>
      <c r="F104" s="414">
        <v>24</v>
      </c>
      <c r="G104" s="414">
        <v>24</v>
      </c>
      <c r="H104" s="414">
        <v>24</v>
      </c>
      <c r="I104" s="414">
        <f>+H104*E3</f>
        <v>720</v>
      </c>
      <c r="J104" s="423" t="s">
        <v>345</v>
      </c>
      <c r="K104" s="423">
        <v>2</v>
      </c>
      <c r="L104" s="423">
        <v>2</v>
      </c>
      <c r="M104" s="423" t="s">
        <v>416</v>
      </c>
      <c r="N104" s="414">
        <v>4</v>
      </c>
      <c r="O104" s="414">
        <v>192</v>
      </c>
      <c r="P104" s="414">
        <v>192</v>
      </c>
      <c r="Q104" s="414">
        <f t="shared" si="39"/>
        <v>768</v>
      </c>
      <c r="R104" s="414">
        <v>24</v>
      </c>
      <c r="S104" s="414">
        <f t="shared" si="40"/>
        <v>18432</v>
      </c>
      <c r="T104" s="414"/>
      <c r="U104" s="414"/>
    </row>
    <row r="105" spans="1:23" ht="14.4" x14ac:dyDescent="0.3">
      <c r="A105" s="484"/>
      <c r="B105" s="481"/>
      <c r="C105" s="478"/>
      <c r="D105" s="471"/>
      <c r="E105" s="414">
        <v>1</v>
      </c>
      <c r="F105" s="414">
        <v>24</v>
      </c>
      <c r="G105" s="414">
        <v>24</v>
      </c>
      <c r="H105" s="414">
        <v>24</v>
      </c>
      <c r="I105" s="414">
        <f>+H105*E3</f>
        <v>720</v>
      </c>
      <c r="J105" s="423" t="s">
        <v>346</v>
      </c>
      <c r="K105" s="423"/>
      <c r="L105" s="423"/>
      <c r="M105" s="423" t="s">
        <v>412</v>
      </c>
      <c r="N105" s="414">
        <v>4</v>
      </c>
      <c r="O105" s="414">
        <v>192</v>
      </c>
      <c r="P105" s="414">
        <v>192</v>
      </c>
      <c r="Q105" s="414">
        <f t="shared" si="39"/>
        <v>768</v>
      </c>
      <c r="R105" s="414">
        <v>24</v>
      </c>
      <c r="S105" s="414">
        <f t="shared" si="40"/>
        <v>18432</v>
      </c>
      <c r="T105" s="414"/>
      <c r="U105" s="414"/>
    </row>
    <row r="106" spans="1:23" ht="20.25" customHeight="1" x14ac:dyDescent="0.3">
      <c r="A106" s="482" t="s">
        <v>34</v>
      </c>
      <c r="B106" s="479" t="s">
        <v>35</v>
      </c>
      <c r="C106" s="485" t="s">
        <v>343</v>
      </c>
      <c r="D106" s="469" t="s">
        <v>76</v>
      </c>
      <c r="E106" s="414">
        <v>10</v>
      </c>
      <c r="F106" s="414">
        <v>12</v>
      </c>
      <c r="G106" s="414">
        <v>12</v>
      </c>
      <c r="H106" s="414">
        <v>12</v>
      </c>
      <c r="I106" s="414">
        <f>+H106*E3</f>
        <v>360</v>
      </c>
      <c r="J106" s="423" t="s">
        <v>303</v>
      </c>
      <c r="K106" s="423"/>
      <c r="L106" s="423"/>
      <c r="M106" s="423" t="s">
        <v>412</v>
      </c>
      <c r="N106" s="414">
        <v>1</v>
      </c>
      <c r="O106" s="414">
        <v>192</v>
      </c>
      <c r="P106" s="414">
        <v>192</v>
      </c>
      <c r="Q106" s="414">
        <f>+P106*N106</f>
        <v>192</v>
      </c>
      <c r="R106" s="414">
        <v>12</v>
      </c>
      <c r="S106" s="414">
        <f t="shared" ref="S106" si="41">+Q106*R106</f>
        <v>2304</v>
      </c>
      <c r="T106" s="414"/>
      <c r="U106" s="414"/>
    </row>
    <row r="107" spans="1:23" ht="20.25" customHeight="1" x14ac:dyDescent="0.3">
      <c r="A107" s="483"/>
      <c r="B107" s="480"/>
      <c r="C107" s="487"/>
      <c r="D107" s="471"/>
      <c r="E107" s="414">
        <v>10</v>
      </c>
      <c r="F107" s="414">
        <v>24</v>
      </c>
      <c r="G107" s="414">
        <v>24</v>
      </c>
      <c r="H107" s="414">
        <v>24</v>
      </c>
      <c r="I107" s="414">
        <f>+H107*E3</f>
        <v>720</v>
      </c>
      <c r="J107" s="423" t="s">
        <v>342</v>
      </c>
      <c r="K107" s="423"/>
      <c r="L107" s="423"/>
      <c r="M107" s="423" t="s">
        <v>412</v>
      </c>
      <c r="N107" s="414">
        <v>2</v>
      </c>
      <c r="O107" s="414">
        <v>192</v>
      </c>
      <c r="P107" s="414">
        <v>192</v>
      </c>
      <c r="Q107" s="414">
        <f>+P107*N107</f>
        <v>384</v>
      </c>
      <c r="R107" s="414">
        <v>24</v>
      </c>
      <c r="S107" s="414">
        <f t="shared" ref="S107" si="42">+Q107*R107</f>
        <v>9216</v>
      </c>
      <c r="T107" s="414"/>
      <c r="U107" s="414"/>
    </row>
    <row r="108" spans="1:23" ht="20.25" customHeight="1" x14ac:dyDescent="0.3">
      <c r="A108" s="483"/>
      <c r="B108" s="480"/>
      <c r="C108" s="485" t="s">
        <v>73</v>
      </c>
      <c r="D108" s="469" t="s">
        <v>76</v>
      </c>
      <c r="E108" s="414">
        <v>28</v>
      </c>
      <c r="F108" s="414">
        <v>24</v>
      </c>
      <c r="G108" s="414">
        <v>24</v>
      </c>
      <c r="H108" s="414">
        <v>24</v>
      </c>
      <c r="I108" s="414">
        <f>+H108*E3</f>
        <v>720</v>
      </c>
      <c r="J108" s="423" t="s">
        <v>303</v>
      </c>
      <c r="K108" s="423" t="s">
        <v>417</v>
      </c>
      <c r="L108" s="423">
        <v>5</v>
      </c>
      <c r="M108" s="423" t="s">
        <v>410</v>
      </c>
      <c r="N108" s="414">
        <v>4</v>
      </c>
      <c r="O108" s="414">
        <v>192</v>
      </c>
      <c r="P108" s="414">
        <v>192</v>
      </c>
      <c r="Q108" s="414">
        <f>+P108*N108</f>
        <v>768</v>
      </c>
      <c r="R108" s="414">
        <v>24</v>
      </c>
      <c r="S108" s="414">
        <f t="shared" ref="S108" si="43">+Q108*R108</f>
        <v>18432</v>
      </c>
      <c r="T108" s="414"/>
      <c r="U108" s="414"/>
    </row>
    <row r="109" spans="1:23" ht="20.25" customHeight="1" x14ac:dyDescent="0.3">
      <c r="A109" s="483"/>
      <c r="B109" s="480"/>
      <c r="C109" s="486"/>
      <c r="D109" s="470"/>
      <c r="E109" s="414">
        <v>28</v>
      </c>
      <c r="F109" s="414">
        <v>24</v>
      </c>
      <c r="G109" s="414">
        <v>24</v>
      </c>
      <c r="H109" s="414">
        <v>24</v>
      </c>
      <c r="I109" s="414">
        <f>+H109*E3</f>
        <v>720</v>
      </c>
      <c r="J109" s="423" t="s">
        <v>341</v>
      </c>
      <c r="K109" s="423"/>
      <c r="L109" s="423"/>
      <c r="M109" s="423" t="s">
        <v>412</v>
      </c>
      <c r="N109" s="414">
        <v>3</v>
      </c>
      <c r="O109" s="414">
        <v>192</v>
      </c>
      <c r="P109" s="414">
        <v>192</v>
      </c>
      <c r="Q109" s="414">
        <f t="shared" ref="Q109:Q110" si="44">+P109*N109</f>
        <v>576</v>
      </c>
      <c r="R109" s="414">
        <v>24</v>
      </c>
      <c r="S109" s="414">
        <f t="shared" ref="S109:S110" si="45">+Q109*R109</f>
        <v>13824</v>
      </c>
      <c r="T109" s="414"/>
      <c r="U109" s="414"/>
    </row>
    <row r="110" spans="1:23" ht="20.25" customHeight="1" x14ac:dyDescent="0.3">
      <c r="A110" s="483"/>
      <c r="B110" s="481"/>
      <c r="C110" s="487"/>
      <c r="D110" s="471"/>
      <c r="E110" s="414">
        <v>28</v>
      </c>
      <c r="F110" s="414">
        <v>24</v>
      </c>
      <c r="G110" s="414">
        <v>24</v>
      </c>
      <c r="H110" s="414">
        <v>24</v>
      </c>
      <c r="I110" s="414">
        <f>+H110*E3</f>
        <v>720</v>
      </c>
      <c r="J110" s="423" t="s">
        <v>342</v>
      </c>
      <c r="K110" s="88" t="s">
        <v>418</v>
      </c>
      <c r="L110" s="423">
        <v>1</v>
      </c>
      <c r="M110" s="423" t="s">
        <v>419</v>
      </c>
      <c r="N110" s="414">
        <v>2</v>
      </c>
      <c r="O110" s="412">
        <v>192</v>
      </c>
      <c r="P110" s="414">
        <v>192</v>
      </c>
      <c r="Q110" s="414">
        <f t="shared" si="44"/>
        <v>384</v>
      </c>
      <c r="R110" s="414">
        <v>24</v>
      </c>
      <c r="S110" s="414">
        <f t="shared" si="45"/>
        <v>9216</v>
      </c>
      <c r="T110" s="414"/>
      <c r="U110" s="414"/>
    </row>
    <row r="111" spans="1:23" ht="20.25" customHeight="1" x14ac:dyDescent="0.3">
      <c r="A111" s="483"/>
      <c r="B111" s="479" t="s">
        <v>36</v>
      </c>
      <c r="C111" s="476" t="s">
        <v>73</v>
      </c>
      <c r="D111" s="469" t="s">
        <v>76</v>
      </c>
      <c r="E111" s="414">
        <v>10</v>
      </c>
      <c r="F111" s="414">
        <v>24</v>
      </c>
      <c r="G111" s="414">
        <v>24</v>
      </c>
      <c r="H111" s="414">
        <v>24</v>
      </c>
      <c r="I111" s="414">
        <f>+H111*E3</f>
        <v>720</v>
      </c>
      <c r="J111" s="423" t="s">
        <v>305</v>
      </c>
      <c r="K111" s="423" t="s">
        <v>417</v>
      </c>
      <c r="L111" s="423" t="s">
        <v>417</v>
      </c>
      <c r="M111" s="423" t="s">
        <v>412</v>
      </c>
      <c r="N111" s="414">
        <v>1</v>
      </c>
      <c r="O111" s="414">
        <v>192</v>
      </c>
      <c r="P111" s="414">
        <v>192</v>
      </c>
      <c r="Q111" s="414">
        <f>+P111*N111</f>
        <v>192</v>
      </c>
      <c r="R111" s="414">
        <v>24</v>
      </c>
      <c r="S111" s="414">
        <f t="shared" ref="S111" si="46">+Q111*R111</f>
        <v>4608</v>
      </c>
      <c r="T111" s="414"/>
      <c r="U111" s="414"/>
    </row>
    <row r="112" spans="1:23" ht="20.25" customHeight="1" x14ac:dyDescent="0.3">
      <c r="A112" s="483"/>
      <c r="B112" s="480"/>
      <c r="C112" s="477"/>
      <c r="D112" s="470"/>
      <c r="E112" s="414">
        <v>10</v>
      </c>
      <c r="F112" s="414">
        <v>24</v>
      </c>
      <c r="G112" s="414">
        <v>24</v>
      </c>
      <c r="H112" s="414">
        <v>24</v>
      </c>
      <c r="I112" s="414">
        <f>+H112*E3</f>
        <v>720</v>
      </c>
      <c r="J112" s="423" t="s">
        <v>341</v>
      </c>
      <c r="K112" s="423"/>
      <c r="L112" s="423"/>
      <c r="M112" s="423" t="s">
        <v>412</v>
      </c>
      <c r="N112" s="414">
        <v>2</v>
      </c>
      <c r="O112" s="414">
        <v>192</v>
      </c>
      <c r="P112" s="414">
        <v>192</v>
      </c>
      <c r="Q112" s="414">
        <f t="shared" ref="Q112:Q114" si="47">+P112*N112</f>
        <v>384</v>
      </c>
      <c r="R112" s="414">
        <v>24</v>
      </c>
      <c r="S112" s="414">
        <f t="shared" ref="S112:S114" si="48">+Q112*R112</f>
        <v>9216</v>
      </c>
      <c r="T112" s="414"/>
      <c r="U112" s="414"/>
    </row>
    <row r="113" spans="1:21" ht="20.25" customHeight="1" x14ac:dyDescent="0.3">
      <c r="A113" s="483"/>
      <c r="B113" s="480"/>
      <c r="C113" s="477"/>
      <c r="D113" s="470"/>
      <c r="E113" s="414">
        <v>10</v>
      </c>
      <c r="F113" s="414">
        <v>24</v>
      </c>
      <c r="G113" s="414">
        <v>24</v>
      </c>
      <c r="H113" s="414">
        <v>24</v>
      </c>
      <c r="I113" s="414">
        <f>+H113*E3</f>
        <v>720</v>
      </c>
      <c r="J113" s="423" t="s">
        <v>303</v>
      </c>
      <c r="K113" s="423" t="s">
        <v>417</v>
      </c>
      <c r="L113" s="423">
        <v>2</v>
      </c>
      <c r="M113" s="423" t="s">
        <v>410</v>
      </c>
      <c r="N113" s="414">
        <v>1</v>
      </c>
      <c r="O113" s="414">
        <v>192</v>
      </c>
      <c r="P113" s="414">
        <v>192</v>
      </c>
      <c r="Q113" s="414">
        <f t="shared" ref="Q113" si="49">+P113*N113</f>
        <v>192</v>
      </c>
      <c r="R113" s="414">
        <v>24</v>
      </c>
      <c r="S113" s="414">
        <f t="shared" ref="S113" si="50">+Q113*R113</f>
        <v>4608</v>
      </c>
      <c r="T113" s="414"/>
      <c r="U113" s="414"/>
    </row>
    <row r="114" spans="1:21" ht="24" customHeight="1" x14ac:dyDescent="0.3">
      <c r="A114" s="484"/>
      <c r="B114" s="481"/>
      <c r="C114" s="478"/>
      <c r="D114" s="471"/>
      <c r="E114" s="414">
        <v>10</v>
      </c>
      <c r="F114" s="414">
        <v>24</v>
      </c>
      <c r="G114" s="414">
        <v>24</v>
      </c>
      <c r="H114" s="414">
        <v>24</v>
      </c>
      <c r="I114" s="414">
        <f>+H114*E3</f>
        <v>720</v>
      </c>
      <c r="J114" s="423" t="s">
        <v>342</v>
      </c>
      <c r="K114" s="88" t="s">
        <v>418</v>
      </c>
      <c r="L114" s="423">
        <v>1</v>
      </c>
      <c r="M114" s="423" t="s">
        <v>419</v>
      </c>
      <c r="N114" s="414">
        <v>2</v>
      </c>
      <c r="O114" s="414">
        <v>192</v>
      </c>
      <c r="P114" s="414">
        <v>192</v>
      </c>
      <c r="Q114" s="414">
        <f t="shared" si="47"/>
        <v>384</v>
      </c>
      <c r="R114" s="414">
        <v>24</v>
      </c>
      <c r="S114" s="414">
        <f t="shared" si="48"/>
        <v>9216</v>
      </c>
      <c r="T114" s="414"/>
      <c r="U114" s="414"/>
    </row>
    <row r="115" spans="1:21" ht="45" customHeight="1" x14ac:dyDescent="0.3">
      <c r="A115" s="482" t="s">
        <v>37</v>
      </c>
      <c r="B115" s="490" t="s">
        <v>38</v>
      </c>
      <c r="C115" s="476" t="s">
        <v>67</v>
      </c>
      <c r="D115" s="469" t="s">
        <v>76</v>
      </c>
      <c r="E115" s="414">
        <v>1</v>
      </c>
      <c r="F115" s="414">
        <v>12</v>
      </c>
      <c r="G115" s="414">
        <v>3</v>
      </c>
      <c r="H115" s="414">
        <f t="shared" ref="H115:H122" si="51">+E115*F115*G115</f>
        <v>36</v>
      </c>
      <c r="I115" s="414">
        <f>+H115*3</f>
        <v>108</v>
      </c>
      <c r="J115" s="423" t="s">
        <v>320</v>
      </c>
      <c r="K115" s="423">
        <v>1</v>
      </c>
      <c r="L115" s="423">
        <v>0</v>
      </c>
      <c r="M115" s="423" t="s">
        <v>412</v>
      </c>
      <c r="N115" s="414">
        <v>1</v>
      </c>
      <c r="O115" s="414">
        <v>108</v>
      </c>
      <c r="P115" s="414">
        <v>108</v>
      </c>
      <c r="Q115" s="414">
        <f>+P115*N115</f>
        <v>108</v>
      </c>
      <c r="R115" s="414">
        <v>3</v>
      </c>
      <c r="S115" s="414">
        <f>+Q115*R115</f>
        <v>324</v>
      </c>
      <c r="T115" s="414"/>
      <c r="U115" s="414"/>
    </row>
    <row r="116" spans="1:21" ht="28.8" x14ac:dyDescent="0.3">
      <c r="A116" s="484"/>
      <c r="B116" s="491"/>
      <c r="C116" s="478"/>
      <c r="D116" s="471"/>
      <c r="E116" s="414">
        <v>1</v>
      </c>
      <c r="F116" s="414">
        <v>12</v>
      </c>
      <c r="G116" s="414">
        <v>3</v>
      </c>
      <c r="H116" s="414">
        <f t="shared" ref="H116" si="52">+E116*F116*G116</f>
        <v>36</v>
      </c>
      <c r="I116" s="414">
        <f>+H116*3</f>
        <v>108</v>
      </c>
      <c r="J116" s="423" t="s">
        <v>342</v>
      </c>
      <c r="K116" s="423">
        <v>1</v>
      </c>
      <c r="L116" s="423">
        <v>0</v>
      </c>
      <c r="M116" s="423" t="s">
        <v>412</v>
      </c>
      <c r="N116" s="414">
        <v>1</v>
      </c>
      <c r="O116" s="414">
        <v>108</v>
      </c>
      <c r="P116" s="414">
        <v>108</v>
      </c>
      <c r="Q116" s="414">
        <f>+P116*N116</f>
        <v>108</v>
      </c>
      <c r="R116" s="414">
        <v>3</v>
      </c>
      <c r="S116" s="414">
        <f>+Q116*R116</f>
        <v>324</v>
      </c>
      <c r="T116" s="414"/>
      <c r="U116" s="414"/>
    </row>
    <row r="117" spans="1:21" ht="31.2" customHeight="1" x14ac:dyDescent="0.3">
      <c r="A117" s="419" t="s">
        <v>39</v>
      </c>
      <c r="B117" s="404" t="s">
        <v>40</v>
      </c>
      <c r="C117" s="415" t="s">
        <v>73</v>
      </c>
      <c r="D117" s="414" t="s">
        <v>76</v>
      </c>
      <c r="E117" s="414">
        <v>4</v>
      </c>
      <c r="F117" s="414">
        <v>24</v>
      </c>
      <c r="G117" s="414">
        <v>4</v>
      </c>
      <c r="H117" s="414">
        <f t="shared" si="51"/>
        <v>384</v>
      </c>
      <c r="I117" s="414">
        <f>+H117*E1</f>
        <v>9600</v>
      </c>
      <c r="J117" s="423" t="s">
        <v>331</v>
      </c>
      <c r="K117" s="423">
        <v>1</v>
      </c>
      <c r="L117" s="423">
        <v>0</v>
      </c>
      <c r="M117" s="423" t="s">
        <v>412</v>
      </c>
      <c r="N117" s="414">
        <v>6</v>
      </c>
      <c r="O117" s="414">
        <v>185</v>
      </c>
      <c r="P117" s="414">
        <v>185</v>
      </c>
      <c r="Q117" s="414">
        <f>+P117*N117</f>
        <v>1110</v>
      </c>
      <c r="R117" s="414">
        <v>4</v>
      </c>
      <c r="S117" s="414">
        <f>+Q117*R117</f>
        <v>4440</v>
      </c>
      <c r="T117" s="414"/>
      <c r="U117" s="414"/>
    </row>
    <row r="118" spans="1:21" ht="36.6" customHeight="1" x14ac:dyDescent="0.3">
      <c r="A118" s="403" t="s">
        <v>41</v>
      </c>
      <c r="B118" s="404" t="s">
        <v>42</v>
      </c>
      <c r="C118" s="415" t="s">
        <v>73</v>
      </c>
      <c r="D118" s="414" t="s">
        <v>76</v>
      </c>
      <c r="E118" s="414">
        <v>2</v>
      </c>
      <c r="F118" s="414">
        <v>8</v>
      </c>
      <c r="G118" s="414">
        <v>4</v>
      </c>
      <c r="H118" s="414">
        <f t="shared" si="51"/>
        <v>64</v>
      </c>
      <c r="I118" s="414">
        <f>+H118*E2</f>
        <v>1408</v>
      </c>
      <c r="J118" s="423" t="s">
        <v>332</v>
      </c>
      <c r="K118" s="423">
        <v>1</v>
      </c>
      <c r="L118" s="423">
        <v>0</v>
      </c>
      <c r="M118" s="423" t="s">
        <v>412</v>
      </c>
      <c r="N118" s="414">
        <v>3</v>
      </c>
      <c r="O118" s="414">
        <v>190</v>
      </c>
      <c r="P118" s="414">
        <v>190</v>
      </c>
      <c r="Q118" s="414">
        <f>+P118*E1</f>
        <v>4750</v>
      </c>
      <c r="R118" s="414">
        <v>4</v>
      </c>
      <c r="S118" s="414">
        <f>+Q118*R118</f>
        <v>19000</v>
      </c>
      <c r="T118" s="414"/>
      <c r="U118" s="414"/>
    </row>
    <row r="119" spans="1:21" ht="39.75" customHeight="1" x14ac:dyDescent="0.3">
      <c r="A119" s="515" t="s">
        <v>43</v>
      </c>
      <c r="B119" s="479" t="s">
        <v>44</v>
      </c>
      <c r="C119" s="415" t="s">
        <v>81</v>
      </c>
      <c r="D119" s="432" t="s">
        <v>358</v>
      </c>
      <c r="E119" s="414">
        <v>1</v>
      </c>
      <c r="F119" s="414">
        <v>12</v>
      </c>
      <c r="G119" s="414">
        <v>1.2</v>
      </c>
      <c r="H119" s="414">
        <f t="shared" si="51"/>
        <v>14.399999999999999</v>
      </c>
      <c r="I119" s="414">
        <f>+H119*E3</f>
        <v>431.99999999999994</v>
      </c>
      <c r="J119" s="423" t="s">
        <v>333</v>
      </c>
      <c r="K119" s="423">
        <v>2</v>
      </c>
      <c r="L119" s="423">
        <v>0</v>
      </c>
      <c r="M119" s="423" t="s">
        <v>412</v>
      </c>
      <c r="N119" s="414">
        <v>1</v>
      </c>
      <c r="O119" s="414">
        <v>192</v>
      </c>
      <c r="P119" s="414">
        <v>192</v>
      </c>
      <c r="Q119" s="414">
        <f t="shared" ref="Q119:Q129" si="53">+P119*N119</f>
        <v>192</v>
      </c>
      <c r="R119" s="414">
        <v>1.2</v>
      </c>
      <c r="S119" s="414">
        <f t="shared" ref="S119" si="54">+Q119*R119</f>
        <v>230.39999999999998</v>
      </c>
      <c r="T119" s="414"/>
      <c r="U119" s="414"/>
    </row>
    <row r="120" spans="1:21" ht="39.75" customHeight="1" x14ac:dyDescent="0.3">
      <c r="A120" s="515"/>
      <c r="B120" s="481"/>
      <c r="C120" s="427" t="s">
        <v>343</v>
      </c>
      <c r="D120" s="414"/>
      <c r="E120" s="414">
        <v>1</v>
      </c>
      <c r="F120" s="414"/>
      <c r="G120" s="414"/>
      <c r="H120" s="414">
        <f t="shared" si="51"/>
        <v>0</v>
      </c>
      <c r="I120" s="414">
        <f>+H120*E3</f>
        <v>0</v>
      </c>
      <c r="J120" s="423" t="s">
        <v>333</v>
      </c>
      <c r="K120" s="423">
        <v>2</v>
      </c>
      <c r="L120" s="423">
        <v>0</v>
      </c>
      <c r="M120" s="423" t="s">
        <v>412</v>
      </c>
      <c r="N120" s="414">
        <v>1</v>
      </c>
      <c r="O120" s="414">
        <f>16*3</f>
        <v>48</v>
      </c>
      <c r="P120" s="414">
        <v>48</v>
      </c>
      <c r="Q120" s="414">
        <f t="shared" si="53"/>
        <v>48</v>
      </c>
      <c r="R120" s="414"/>
      <c r="S120" s="414">
        <f t="shared" ref="S120" si="55">+Q120*R120</f>
        <v>0</v>
      </c>
      <c r="T120" s="414"/>
      <c r="U120" s="414"/>
    </row>
    <row r="121" spans="1:21" ht="39.75" customHeight="1" x14ac:dyDescent="0.3">
      <c r="A121" s="515"/>
      <c r="B121" s="479" t="s">
        <v>45</v>
      </c>
      <c r="C121" s="415" t="s">
        <v>70</v>
      </c>
      <c r="D121" s="432" t="s">
        <v>358</v>
      </c>
      <c r="E121" s="414">
        <v>1</v>
      </c>
      <c r="F121" s="414">
        <v>10</v>
      </c>
      <c r="G121" s="414">
        <f>2*2</f>
        <v>4</v>
      </c>
      <c r="H121" s="414">
        <f t="shared" si="51"/>
        <v>40</v>
      </c>
      <c r="I121" s="414">
        <f t="shared" ref="I121:I125" si="56">+H121*5</f>
        <v>200</v>
      </c>
      <c r="J121" s="423" t="s">
        <v>334</v>
      </c>
      <c r="K121" s="423">
        <v>2</v>
      </c>
      <c r="L121" s="423">
        <v>0</v>
      </c>
      <c r="M121" s="423" t="s">
        <v>412</v>
      </c>
      <c r="N121" s="414">
        <v>4</v>
      </c>
      <c r="O121" s="414">
        <v>192</v>
      </c>
      <c r="P121" s="414">
        <v>192</v>
      </c>
      <c r="Q121" s="414">
        <f t="shared" si="53"/>
        <v>768</v>
      </c>
      <c r="R121" s="414">
        <f>2*2</f>
        <v>4</v>
      </c>
      <c r="S121" s="414">
        <f t="shared" ref="S121:S122" si="57">+Q121*R121</f>
        <v>3072</v>
      </c>
      <c r="T121" s="414"/>
      <c r="U121" s="414"/>
    </row>
    <row r="122" spans="1:21" ht="39.75" customHeight="1" x14ac:dyDescent="0.3">
      <c r="A122" s="515"/>
      <c r="B122" s="481"/>
      <c r="C122" s="427" t="s">
        <v>343</v>
      </c>
      <c r="D122" s="414"/>
      <c r="E122" s="414">
        <v>1</v>
      </c>
      <c r="F122" s="414"/>
      <c r="G122" s="414"/>
      <c r="H122" s="414">
        <f t="shared" si="51"/>
        <v>0</v>
      </c>
      <c r="I122" s="414">
        <f t="shared" si="56"/>
        <v>0</v>
      </c>
      <c r="J122" s="423" t="s">
        <v>334</v>
      </c>
      <c r="K122" s="423">
        <v>2</v>
      </c>
      <c r="L122" s="423">
        <v>0</v>
      </c>
      <c r="M122" s="423" t="s">
        <v>412</v>
      </c>
      <c r="N122" s="414">
        <v>1</v>
      </c>
      <c r="O122" s="414">
        <v>48</v>
      </c>
      <c r="P122" s="414">
        <v>48</v>
      </c>
      <c r="Q122" s="414">
        <f t="shared" si="53"/>
        <v>48</v>
      </c>
      <c r="R122" s="414"/>
      <c r="S122" s="414">
        <f t="shared" si="57"/>
        <v>0</v>
      </c>
      <c r="T122" s="414"/>
      <c r="U122" s="414"/>
    </row>
    <row r="123" spans="1:21" ht="39.75" customHeight="1" x14ac:dyDescent="0.3">
      <c r="A123" s="515"/>
      <c r="B123" s="488" t="s">
        <v>347</v>
      </c>
      <c r="C123" s="415" t="s">
        <v>70</v>
      </c>
      <c r="D123" s="432" t="s">
        <v>358</v>
      </c>
      <c r="E123" s="414">
        <v>1</v>
      </c>
      <c r="F123" s="414">
        <v>6</v>
      </c>
      <c r="G123" s="414">
        <v>3</v>
      </c>
      <c r="H123" s="414">
        <f t="shared" ref="H123" si="58">+E123*F123*G123</f>
        <v>18</v>
      </c>
      <c r="I123" s="414">
        <f t="shared" si="56"/>
        <v>90</v>
      </c>
      <c r="J123" s="423" t="s">
        <v>340</v>
      </c>
      <c r="K123" s="423">
        <v>3</v>
      </c>
      <c r="L123" s="423">
        <v>0</v>
      </c>
      <c r="M123" s="423" t="s">
        <v>412</v>
      </c>
      <c r="N123" s="414">
        <v>1</v>
      </c>
      <c r="O123" s="414">
        <v>192</v>
      </c>
      <c r="P123" s="414">
        <v>192</v>
      </c>
      <c r="Q123" s="414">
        <f t="shared" si="53"/>
        <v>192</v>
      </c>
      <c r="R123" s="414">
        <v>3</v>
      </c>
      <c r="S123" s="414">
        <f t="shared" ref="S123" si="59">+Q123*R123</f>
        <v>576</v>
      </c>
      <c r="T123" s="414"/>
      <c r="U123" s="414"/>
    </row>
    <row r="124" spans="1:21" ht="39.75" customHeight="1" x14ac:dyDescent="0.3">
      <c r="A124" s="515"/>
      <c r="B124" s="489"/>
      <c r="C124" s="427" t="s">
        <v>343</v>
      </c>
      <c r="D124" s="432" t="s">
        <v>358</v>
      </c>
      <c r="E124" s="414">
        <v>1</v>
      </c>
      <c r="F124" s="432" t="s">
        <v>386</v>
      </c>
      <c r="G124" s="432" t="s">
        <v>386</v>
      </c>
      <c r="H124" s="432" t="s">
        <v>386</v>
      </c>
      <c r="I124" s="432" t="s">
        <v>386</v>
      </c>
      <c r="J124" s="423" t="s">
        <v>340</v>
      </c>
      <c r="K124" s="423">
        <v>3</v>
      </c>
      <c r="L124" s="423">
        <v>0</v>
      </c>
      <c r="M124" s="423" t="s">
        <v>412</v>
      </c>
      <c r="N124" s="414">
        <v>1</v>
      </c>
      <c r="O124" s="414">
        <v>36</v>
      </c>
      <c r="P124" s="414">
        <v>36</v>
      </c>
      <c r="Q124" s="414">
        <f t="shared" si="53"/>
        <v>36</v>
      </c>
      <c r="R124" s="414"/>
      <c r="S124" s="414">
        <f t="shared" ref="S124" si="60">+Q124*R124</f>
        <v>0</v>
      </c>
      <c r="T124" s="414"/>
      <c r="U124" s="414"/>
    </row>
    <row r="125" spans="1:21" ht="39.75" customHeight="1" x14ac:dyDescent="0.3">
      <c r="A125" s="515"/>
      <c r="B125" s="479" t="s">
        <v>46</v>
      </c>
      <c r="C125" s="415" t="s">
        <v>82</v>
      </c>
      <c r="D125" s="432" t="s">
        <v>358</v>
      </c>
      <c r="E125" s="414">
        <v>1</v>
      </c>
      <c r="F125" s="414">
        <v>8</v>
      </c>
      <c r="G125" s="414">
        <v>3</v>
      </c>
      <c r="H125" s="414">
        <f t="shared" ref="H125" si="61">+E125*F125*G125</f>
        <v>24</v>
      </c>
      <c r="I125" s="414">
        <f t="shared" si="56"/>
        <v>120</v>
      </c>
      <c r="J125" s="423" t="s">
        <v>335</v>
      </c>
      <c r="K125" s="423">
        <v>2</v>
      </c>
      <c r="L125" s="423">
        <v>0</v>
      </c>
      <c r="M125" s="423" t="s">
        <v>412</v>
      </c>
      <c r="N125" s="414">
        <v>1</v>
      </c>
      <c r="O125" s="414">
        <v>192</v>
      </c>
      <c r="P125" s="414">
        <v>40</v>
      </c>
      <c r="Q125" s="414">
        <f t="shared" si="53"/>
        <v>40</v>
      </c>
      <c r="R125" s="414">
        <v>3</v>
      </c>
      <c r="S125" s="414">
        <f t="shared" ref="S125:S126" si="62">+Q125*R125</f>
        <v>120</v>
      </c>
      <c r="T125" s="414"/>
      <c r="U125" s="414"/>
    </row>
    <row r="126" spans="1:21" ht="39.75" customHeight="1" x14ac:dyDescent="0.3">
      <c r="A126" s="515"/>
      <c r="B126" s="481"/>
      <c r="C126" s="427" t="s">
        <v>343</v>
      </c>
      <c r="D126" s="414"/>
      <c r="E126" s="414">
        <v>1</v>
      </c>
      <c r="F126" s="432" t="s">
        <v>386</v>
      </c>
      <c r="G126" s="432" t="s">
        <v>386</v>
      </c>
      <c r="H126" s="432" t="s">
        <v>386</v>
      </c>
      <c r="I126" s="432" t="s">
        <v>386</v>
      </c>
      <c r="J126" s="423" t="s">
        <v>335</v>
      </c>
      <c r="K126" s="423">
        <v>2</v>
      </c>
      <c r="L126" s="423">
        <v>0</v>
      </c>
      <c r="M126" s="423" t="s">
        <v>412</v>
      </c>
      <c r="N126" s="414">
        <v>1</v>
      </c>
      <c r="O126" s="414">
        <v>36</v>
      </c>
      <c r="P126" s="414">
        <v>36</v>
      </c>
      <c r="Q126" s="414">
        <f t="shared" si="53"/>
        <v>36</v>
      </c>
      <c r="R126" s="414"/>
      <c r="S126" s="414">
        <f t="shared" si="62"/>
        <v>0</v>
      </c>
      <c r="T126" s="414"/>
      <c r="U126" s="414"/>
    </row>
    <row r="127" spans="1:21" ht="30" x14ac:dyDescent="0.3">
      <c r="A127" s="403" t="s">
        <v>47</v>
      </c>
      <c r="B127" s="404" t="s">
        <v>48</v>
      </c>
      <c r="C127" s="415" t="s">
        <v>73</v>
      </c>
      <c r="D127" s="436" t="s">
        <v>83</v>
      </c>
      <c r="E127" s="414">
        <v>1</v>
      </c>
      <c r="F127" s="414">
        <v>24</v>
      </c>
      <c r="G127" s="432">
        <v>24</v>
      </c>
      <c r="H127" s="414">
        <v>30</v>
      </c>
      <c r="I127" s="414">
        <v>30</v>
      </c>
      <c r="J127" s="423" t="s">
        <v>336</v>
      </c>
      <c r="K127" s="423">
        <v>1</v>
      </c>
      <c r="L127" s="423">
        <v>1</v>
      </c>
      <c r="M127" s="423" t="s">
        <v>420</v>
      </c>
      <c r="N127" s="414">
        <v>1</v>
      </c>
      <c r="O127" s="414">
        <v>184</v>
      </c>
      <c r="P127" s="414">
        <v>184</v>
      </c>
      <c r="Q127" s="414">
        <f t="shared" si="53"/>
        <v>184</v>
      </c>
      <c r="R127" s="432" t="s">
        <v>386</v>
      </c>
      <c r="S127" s="414">
        <v>0</v>
      </c>
      <c r="T127" s="414"/>
      <c r="U127" s="414"/>
    </row>
    <row r="128" spans="1:21" ht="30" x14ac:dyDescent="0.3">
      <c r="A128" s="403" t="s">
        <v>49</v>
      </c>
      <c r="B128" s="404" t="s">
        <v>50</v>
      </c>
      <c r="C128" s="415" t="s">
        <v>81</v>
      </c>
      <c r="D128" s="432" t="s">
        <v>358</v>
      </c>
      <c r="E128" s="414">
        <v>5</v>
      </c>
      <c r="F128" s="414">
        <v>24</v>
      </c>
      <c r="G128" s="432">
        <v>24</v>
      </c>
      <c r="H128" s="414">
        <v>30</v>
      </c>
      <c r="I128" s="414">
        <v>30</v>
      </c>
      <c r="J128" s="423" t="s">
        <v>336</v>
      </c>
      <c r="K128" s="423">
        <v>1</v>
      </c>
      <c r="L128" s="423">
        <v>1</v>
      </c>
      <c r="M128" s="423" t="s">
        <v>420</v>
      </c>
      <c r="N128" s="414">
        <v>9</v>
      </c>
      <c r="O128" s="414">
        <v>184</v>
      </c>
      <c r="P128" s="414">
        <v>200</v>
      </c>
      <c r="Q128" s="414">
        <f t="shared" si="53"/>
        <v>1800</v>
      </c>
      <c r="R128" s="432" t="s">
        <v>386</v>
      </c>
      <c r="S128" s="414">
        <v>0</v>
      </c>
      <c r="T128" s="414"/>
      <c r="U128" s="414"/>
    </row>
    <row r="129" spans="1:21" ht="45" x14ac:dyDescent="0.3">
      <c r="A129" s="403" t="s">
        <v>51</v>
      </c>
      <c r="B129" s="404" t="s">
        <v>52</v>
      </c>
      <c r="C129" s="415" t="s">
        <v>84</v>
      </c>
      <c r="D129" s="432" t="s">
        <v>358</v>
      </c>
      <c r="E129" s="414">
        <v>1</v>
      </c>
      <c r="F129" s="414">
        <v>24</v>
      </c>
      <c r="G129" s="432">
        <v>24</v>
      </c>
      <c r="H129" s="414">
        <v>30</v>
      </c>
      <c r="I129" s="414">
        <v>30</v>
      </c>
      <c r="J129" s="423" t="s">
        <v>391</v>
      </c>
      <c r="K129" s="423">
        <v>0</v>
      </c>
      <c r="L129" s="423">
        <v>0</v>
      </c>
      <c r="M129" s="423" t="s">
        <v>412</v>
      </c>
      <c r="N129" s="414">
        <v>8</v>
      </c>
      <c r="O129" s="414">
        <v>192</v>
      </c>
      <c r="P129" s="414">
        <v>168</v>
      </c>
      <c r="Q129" s="414">
        <f t="shared" si="53"/>
        <v>1344</v>
      </c>
      <c r="R129" s="432" t="s">
        <v>386</v>
      </c>
      <c r="S129" s="414">
        <v>0</v>
      </c>
      <c r="T129" s="414"/>
      <c r="U129" s="414"/>
    </row>
    <row r="130" spans="1:21" ht="16.5" customHeight="1" x14ac:dyDescent="0.3">
      <c r="A130" s="482" t="s">
        <v>53</v>
      </c>
      <c r="B130" s="479" t="s">
        <v>54</v>
      </c>
      <c r="C130" s="469" t="s">
        <v>85</v>
      </c>
      <c r="D130" s="469" t="s">
        <v>68</v>
      </c>
      <c r="E130" s="414">
        <v>2</v>
      </c>
      <c r="F130" s="414">
        <v>24</v>
      </c>
      <c r="G130" s="414">
        <v>0.25</v>
      </c>
      <c r="H130" s="414">
        <f>+E130*G130</f>
        <v>0.5</v>
      </c>
      <c r="I130" s="414">
        <f>+H130*30</f>
        <v>15</v>
      </c>
      <c r="J130" s="423" t="s">
        <v>392</v>
      </c>
      <c r="K130" s="423">
        <v>0</v>
      </c>
      <c r="L130" s="423">
        <v>0</v>
      </c>
      <c r="M130" s="423" t="s">
        <v>412</v>
      </c>
      <c r="N130" s="414">
        <v>5</v>
      </c>
      <c r="O130" s="414">
        <v>184</v>
      </c>
      <c r="P130" s="414">
        <v>200</v>
      </c>
      <c r="Q130" s="414">
        <v>200</v>
      </c>
      <c r="R130" s="432" t="s">
        <v>386</v>
      </c>
      <c r="S130" s="414">
        <v>0</v>
      </c>
      <c r="T130" s="414"/>
      <c r="U130" s="414"/>
    </row>
    <row r="131" spans="1:21" ht="14.4" x14ac:dyDescent="0.3">
      <c r="A131" s="483"/>
      <c r="B131" s="481"/>
      <c r="C131" s="471"/>
      <c r="D131" s="471"/>
      <c r="E131" s="414">
        <v>2</v>
      </c>
      <c r="F131" s="414">
        <v>24</v>
      </c>
      <c r="G131" s="414">
        <v>0.25</v>
      </c>
      <c r="H131" s="414">
        <f t="shared" ref="H131:H134" si="63">+E131*G131</f>
        <v>0.5</v>
      </c>
      <c r="I131" s="414">
        <f t="shared" ref="I131:I134" si="64">+H131*30</f>
        <v>15</v>
      </c>
      <c r="J131" s="423" t="s">
        <v>393</v>
      </c>
      <c r="K131" s="423">
        <v>0</v>
      </c>
      <c r="L131" s="423">
        <v>0</v>
      </c>
      <c r="M131" s="423" t="s">
        <v>412</v>
      </c>
      <c r="N131" s="414">
        <v>5</v>
      </c>
      <c r="O131" s="414">
        <v>184</v>
      </c>
      <c r="P131" s="414">
        <v>200</v>
      </c>
      <c r="Q131" s="414">
        <v>200</v>
      </c>
      <c r="R131" s="432" t="s">
        <v>386</v>
      </c>
      <c r="S131" s="414">
        <v>0</v>
      </c>
      <c r="T131" s="414"/>
      <c r="U131" s="414"/>
    </row>
    <row r="132" spans="1:21" ht="14.4" x14ac:dyDescent="0.3">
      <c r="A132" s="483"/>
      <c r="B132" s="479" t="s">
        <v>55</v>
      </c>
      <c r="C132" s="469" t="s">
        <v>85</v>
      </c>
      <c r="D132" s="469" t="s">
        <v>76</v>
      </c>
      <c r="E132" s="414">
        <v>1</v>
      </c>
      <c r="F132" s="414">
        <v>24</v>
      </c>
      <c r="G132" s="414">
        <v>0.25</v>
      </c>
      <c r="H132" s="414">
        <f t="shared" si="63"/>
        <v>0.25</v>
      </c>
      <c r="I132" s="414">
        <f t="shared" si="64"/>
        <v>7.5</v>
      </c>
      <c r="J132" s="423" t="s">
        <v>392</v>
      </c>
      <c r="K132" s="423">
        <v>0</v>
      </c>
      <c r="L132" s="423">
        <v>0</v>
      </c>
      <c r="M132" s="423" t="s">
        <v>412</v>
      </c>
      <c r="N132" s="414">
        <v>5</v>
      </c>
      <c r="O132" s="414">
        <v>184</v>
      </c>
      <c r="P132" s="414">
        <v>200</v>
      </c>
      <c r="Q132" s="414">
        <v>200</v>
      </c>
      <c r="R132" s="432" t="s">
        <v>386</v>
      </c>
      <c r="S132" s="414">
        <v>0</v>
      </c>
      <c r="T132" s="414"/>
      <c r="U132" s="414"/>
    </row>
    <row r="133" spans="1:21" ht="14.4" x14ac:dyDescent="0.3">
      <c r="A133" s="483"/>
      <c r="B133" s="480"/>
      <c r="C133" s="470"/>
      <c r="D133" s="470"/>
      <c r="E133" s="414">
        <v>1</v>
      </c>
      <c r="F133" s="414">
        <v>24</v>
      </c>
      <c r="G133" s="414">
        <v>0.25</v>
      </c>
      <c r="H133" s="414">
        <f t="shared" si="63"/>
        <v>0.25</v>
      </c>
      <c r="I133" s="414">
        <f t="shared" si="64"/>
        <v>7.5</v>
      </c>
      <c r="J133" s="423" t="s">
        <v>393</v>
      </c>
      <c r="K133" s="423">
        <v>0</v>
      </c>
      <c r="L133" s="423">
        <v>0</v>
      </c>
      <c r="M133" s="423" t="s">
        <v>412</v>
      </c>
      <c r="N133" s="414">
        <v>5</v>
      </c>
      <c r="O133" s="414">
        <v>184</v>
      </c>
      <c r="P133" s="414">
        <v>200</v>
      </c>
      <c r="Q133" s="414">
        <v>200</v>
      </c>
      <c r="R133" s="432" t="s">
        <v>386</v>
      </c>
      <c r="S133" s="414">
        <v>0</v>
      </c>
      <c r="T133" s="414"/>
      <c r="U133" s="414"/>
    </row>
    <row r="134" spans="1:21" ht="14.4" x14ac:dyDescent="0.3">
      <c r="A134" s="484"/>
      <c r="B134" s="481"/>
      <c r="C134" s="471"/>
      <c r="D134" s="471"/>
      <c r="E134" s="414">
        <v>1</v>
      </c>
      <c r="F134" s="414">
        <v>24</v>
      </c>
      <c r="G134" s="414">
        <v>0.25</v>
      </c>
      <c r="H134" s="414">
        <f t="shared" si="63"/>
        <v>0.25</v>
      </c>
      <c r="I134" s="414">
        <f t="shared" si="64"/>
        <v>7.5</v>
      </c>
      <c r="J134" s="423" t="s">
        <v>387</v>
      </c>
      <c r="K134" s="423">
        <v>0</v>
      </c>
      <c r="L134" s="423">
        <v>0</v>
      </c>
      <c r="M134" s="423" t="s">
        <v>412</v>
      </c>
      <c r="N134" s="414">
        <v>2</v>
      </c>
      <c r="O134" s="414">
        <v>184</v>
      </c>
      <c r="P134" s="414">
        <v>200</v>
      </c>
      <c r="Q134" s="414">
        <v>200</v>
      </c>
      <c r="R134" s="432" t="s">
        <v>386</v>
      </c>
      <c r="S134" s="414">
        <v>0</v>
      </c>
      <c r="T134" s="414"/>
      <c r="U134" s="414"/>
    </row>
    <row r="135" spans="1:21" ht="14.4" x14ac:dyDescent="0.3">
      <c r="A135" s="482" t="s">
        <v>56</v>
      </c>
      <c r="B135" s="479" t="s">
        <v>57</v>
      </c>
      <c r="C135" s="476" t="s">
        <v>73</v>
      </c>
      <c r="D135" s="469" t="s">
        <v>76</v>
      </c>
      <c r="E135" s="414">
        <v>5</v>
      </c>
      <c r="F135" s="414">
        <v>4</v>
      </c>
      <c r="G135" s="414">
        <v>2</v>
      </c>
      <c r="H135" s="414">
        <f t="shared" ref="H135" si="65">+E135*F135*G135</f>
        <v>40</v>
      </c>
      <c r="I135" s="414">
        <f>+H135*5</f>
        <v>200</v>
      </c>
      <c r="J135" s="423" t="s">
        <v>303</v>
      </c>
      <c r="K135" s="423">
        <v>5</v>
      </c>
      <c r="L135" s="423">
        <v>1</v>
      </c>
      <c r="M135" s="423" t="s">
        <v>412</v>
      </c>
      <c r="N135" s="414">
        <v>10</v>
      </c>
      <c r="O135" s="414">
        <v>192</v>
      </c>
      <c r="P135" s="414">
        <v>168</v>
      </c>
      <c r="Q135" s="414">
        <f>+P135*N135</f>
        <v>1680</v>
      </c>
      <c r="R135" s="414">
        <v>2</v>
      </c>
      <c r="S135" s="414">
        <f t="shared" ref="S135" si="66">+Q135*R135</f>
        <v>3360</v>
      </c>
      <c r="T135" s="414"/>
      <c r="U135" s="414"/>
    </row>
    <row r="136" spans="1:21" ht="19.8" customHeight="1" x14ac:dyDescent="0.3">
      <c r="A136" s="483"/>
      <c r="B136" s="480"/>
      <c r="C136" s="477"/>
      <c r="D136" s="470"/>
      <c r="E136" s="414">
        <v>5</v>
      </c>
      <c r="F136" s="414">
        <v>4</v>
      </c>
      <c r="G136" s="414">
        <v>2</v>
      </c>
      <c r="H136" s="414">
        <f t="shared" ref="H136:H137" si="67">+E136*F136*G136</f>
        <v>40</v>
      </c>
      <c r="I136" s="414">
        <f t="shared" ref="I136:I137" si="68">+H136*5</f>
        <v>200</v>
      </c>
      <c r="J136" s="423" t="s">
        <v>341</v>
      </c>
      <c r="K136" s="423"/>
      <c r="L136" s="423"/>
      <c r="M136" s="423" t="s">
        <v>412</v>
      </c>
      <c r="N136" s="414">
        <v>6</v>
      </c>
      <c r="O136" s="414">
        <v>192</v>
      </c>
      <c r="P136" s="414">
        <v>168</v>
      </c>
      <c r="Q136" s="414">
        <f t="shared" ref="Q136:Q137" si="69">+P136*N136</f>
        <v>1008</v>
      </c>
      <c r="R136" s="414">
        <v>2</v>
      </c>
      <c r="S136" s="414">
        <f t="shared" ref="S136:S137" si="70">+Q136*R136</f>
        <v>2016</v>
      </c>
      <c r="T136" s="414"/>
      <c r="U136" s="414"/>
    </row>
    <row r="137" spans="1:21" ht="22.2" customHeight="1" x14ac:dyDescent="0.3">
      <c r="A137" s="484"/>
      <c r="B137" s="481"/>
      <c r="C137" s="478"/>
      <c r="D137" s="471"/>
      <c r="E137" s="414">
        <v>5</v>
      </c>
      <c r="F137" s="414">
        <v>4</v>
      </c>
      <c r="G137" s="414">
        <v>2</v>
      </c>
      <c r="H137" s="414">
        <f t="shared" si="67"/>
        <v>40</v>
      </c>
      <c r="I137" s="414">
        <f t="shared" si="68"/>
        <v>200</v>
      </c>
      <c r="J137" s="423" t="s">
        <v>342</v>
      </c>
      <c r="K137" s="423">
        <v>1</v>
      </c>
      <c r="L137" s="423">
        <v>1</v>
      </c>
      <c r="M137" s="423" t="s">
        <v>412</v>
      </c>
      <c r="N137" s="414">
        <v>4</v>
      </c>
      <c r="O137" s="414">
        <v>192</v>
      </c>
      <c r="P137" s="414">
        <v>168</v>
      </c>
      <c r="Q137" s="414">
        <f t="shared" si="69"/>
        <v>672</v>
      </c>
      <c r="R137" s="414">
        <v>2</v>
      </c>
      <c r="S137" s="414">
        <f t="shared" si="70"/>
        <v>1344</v>
      </c>
      <c r="T137" s="414"/>
      <c r="U137" s="414"/>
    </row>
    <row r="138" spans="1:21" ht="30" x14ac:dyDescent="0.3">
      <c r="A138" s="403" t="s">
        <v>58</v>
      </c>
      <c r="B138" s="404" t="s">
        <v>59</v>
      </c>
      <c r="C138" s="415" t="s">
        <v>80</v>
      </c>
      <c r="D138" s="414" t="s">
        <v>68</v>
      </c>
      <c r="E138" s="414">
        <v>1</v>
      </c>
      <c r="F138" s="414">
        <v>8</v>
      </c>
      <c r="G138" s="414">
        <v>4</v>
      </c>
      <c r="H138" s="414">
        <f>+E138*F138*G138</f>
        <v>32</v>
      </c>
      <c r="I138" s="414">
        <f>+H138*E2</f>
        <v>704</v>
      </c>
      <c r="J138" s="423" t="s">
        <v>316</v>
      </c>
      <c r="K138" s="423">
        <v>1</v>
      </c>
      <c r="L138" s="423">
        <v>1</v>
      </c>
      <c r="M138" s="423" t="s">
        <v>421</v>
      </c>
      <c r="N138" s="414">
        <v>1</v>
      </c>
      <c r="O138" s="414">
        <v>176</v>
      </c>
      <c r="P138" s="414">
        <v>176</v>
      </c>
      <c r="Q138" s="414">
        <f>+P138*E2</f>
        <v>3872</v>
      </c>
      <c r="R138" s="414">
        <v>4</v>
      </c>
      <c r="S138" s="414">
        <f>+Q138*R138</f>
        <v>15488</v>
      </c>
      <c r="T138" s="414"/>
      <c r="U138" s="414"/>
    </row>
    <row r="139" spans="1:21" ht="30" x14ac:dyDescent="0.3">
      <c r="A139" s="403" t="s">
        <v>60</v>
      </c>
      <c r="B139" s="404" t="s">
        <v>61</v>
      </c>
      <c r="C139" s="415" t="s">
        <v>73</v>
      </c>
      <c r="D139" s="414" t="s">
        <v>76</v>
      </c>
      <c r="E139" s="414">
        <v>1</v>
      </c>
      <c r="F139" s="414">
        <v>8</v>
      </c>
      <c r="G139" s="414">
        <v>4</v>
      </c>
      <c r="H139" s="414">
        <f>+E139*F139*G139</f>
        <v>32</v>
      </c>
      <c r="I139" s="414">
        <f>+H139*E3</f>
        <v>960</v>
      </c>
      <c r="J139" s="423" t="s">
        <v>306</v>
      </c>
      <c r="K139" s="423">
        <v>1</v>
      </c>
      <c r="L139" s="423">
        <v>1</v>
      </c>
      <c r="M139" s="423" t="s">
        <v>410</v>
      </c>
      <c r="N139" s="414">
        <v>4</v>
      </c>
      <c r="O139" s="414">
        <v>192</v>
      </c>
      <c r="P139" s="414">
        <v>192</v>
      </c>
      <c r="Q139" s="414">
        <f>+P139*N139</f>
        <v>768</v>
      </c>
      <c r="R139" s="414">
        <v>4</v>
      </c>
      <c r="S139" s="414">
        <f t="shared" ref="S139" si="71">+Q139*R139</f>
        <v>3072</v>
      </c>
      <c r="T139" s="414"/>
      <c r="U139" s="414"/>
    </row>
    <row r="140" spans="1:21" ht="60" x14ac:dyDescent="0.3">
      <c r="A140" s="403" t="s">
        <v>62</v>
      </c>
      <c r="B140" s="404" t="s">
        <v>63</v>
      </c>
      <c r="C140" s="415" t="s">
        <v>86</v>
      </c>
      <c r="D140" s="414" t="s">
        <v>87</v>
      </c>
      <c r="E140" s="414">
        <v>1</v>
      </c>
      <c r="F140" s="414">
        <v>12</v>
      </c>
      <c r="G140" s="414">
        <v>3</v>
      </c>
      <c r="H140" s="414">
        <f>+E140*F140*G140</f>
        <v>36</v>
      </c>
      <c r="I140" s="414">
        <f>+H140*E2</f>
        <v>792</v>
      </c>
      <c r="J140" s="414" t="s">
        <v>316</v>
      </c>
      <c r="K140" s="414">
        <v>2</v>
      </c>
      <c r="L140" s="414">
        <v>1</v>
      </c>
      <c r="M140" s="423" t="s">
        <v>422</v>
      </c>
      <c r="N140" s="414">
        <v>1</v>
      </c>
      <c r="O140" s="414">
        <v>176</v>
      </c>
      <c r="P140" s="414">
        <v>176</v>
      </c>
      <c r="Q140" s="414">
        <f>+P140*E2</f>
        <v>3872</v>
      </c>
      <c r="R140" s="414">
        <v>3</v>
      </c>
      <c r="S140" s="414">
        <f>+Q140*R140</f>
        <v>11616</v>
      </c>
      <c r="T140" s="414"/>
      <c r="U140" s="414"/>
    </row>
  </sheetData>
  <autoFilter ref="A5:S140" xr:uid="{00000000-0009-0000-0000-000000000000}"/>
  <mergeCells count="86">
    <mergeCell ref="A130:A134"/>
    <mergeCell ref="C130:C131"/>
    <mergeCell ref="C132:C134"/>
    <mergeCell ref="D68:D74"/>
    <mergeCell ref="B75:B80"/>
    <mergeCell ref="C75:C80"/>
    <mergeCell ref="D130:D131"/>
    <mergeCell ref="D132:D134"/>
    <mergeCell ref="B132:B134"/>
    <mergeCell ref="B130:B131"/>
    <mergeCell ref="A115:A116"/>
    <mergeCell ref="D98:D102"/>
    <mergeCell ref="D115:D116"/>
    <mergeCell ref="N4:S4"/>
    <mergeCell ref="E4:I4"/>
    <mergeCell ref="A10:A30"/>
    <mergeCell ref="A119:A126"/>
    <mergeCell ref="C106:C107"/>
    <mergeCell ref="B31:B37"/>
    <mergeCell ref="C31:C37"/>
    <mergeCell ref="D31:D37"/>
    <mergeCell ref="B38:B43"/>
    <mergeCell ref="C38:C43"/>
    <mergeCell ref="D38:D43"/>
    <mergeCell ref="B44:B49"/>
    <mergeCell ref="C44:C49"/>
    <mergeCell ref="D44:D49"/>
    <mergeCell ref="D93:D97"/>
    <mergeCell ref="C115:C116"/>
    <mergeCell ref="T93:W102"/>
    <mergeCell ref="A6:A9"/>
    <mergeCell ref="A93:A97"/>
    <mergeCell ref="B93:B97"/>
    <mergeCell ref="B98:B102"/>
    <mergeCell ref="A98:A102"/>
    <mergeCell ref="C93:C102"/>
    <mergeCell ref="D75:D80"/>
    <mergeCell ref="B56:B61"/>
    <mergeCell ref="C56:C61"/>
    <mergeCell ref="D56:D61"/>
    <mergeCell ref="B62:B67"/>
    <mergeCell ref="C62:C67"/>
    <mergeCell ref="D62:D67"/>
    <mergeCell ref="A31:A92"/>
    <mergeCell ref="B81:B86"/>
    <mergeCell ref="C50:C55"/>
    <mergeCell ref="D50:D55"/>
    <mergeCell ref="B50:B55"/>
    <mergeCell ref="D111:D114"/>
    <mergeCell ref="D108:D110"/>
    <mergeCell ref="D106:D107"/>
    <mergeCell ref="C81:C86"/>
    <mergeCell ref="D81:D86"/>
    <mergeCell ref="B87:B92"/>
    <mergeCell ref="C87:C92"/>
    <mergeCell ref="D87:D92"/>
    <mergeCell ref="B68:B74"/>
    <mergeCell ref="C68:C74"/>
    <mergeCell ref="C135:C137"/>
    <mergeCell ref="B135:B137"/>
    <mergeCell ref="A135:A137"/>
    <mergeCell ref="B103:B105"/>
    <mergeCell ref="A103:A105"/>
    <mergeCell ref="C103:C105"/>
    <mergeCell ref="C108:C110"/>
    <mergeCell ref="B106:B110"/>
    <mergeCell ref="B111:B114"/>
    <mergeCell ref="C111:C114"/>
    <mergeCell ref="A106:A114"/>
    <mergeCell ref="B119:B120"/>
    <mergeCell ref="B121:B122"/>
    <mergeCell ref="B123:B124"/>
    <mergeCell ref="B125:B126"/>
    <mergeCell ref="B115:B116"/>
    <mergeCell ref="K31:K37"/>
    <mergeCell ref="K38:K43"/>
    <mergeCell ref="K44:K49"/>
    <mergeCell ref="K50:K55"/>
    <mergeCell ref="K56:K61"/>
    <mergeCell ref="K81:K86"/>
    <mergeCell ref="K87:K92"/>
    <mergeCell ref="D103:D105"/>
    <mergeCell ref="D135:D137"/>
    <mergeCell ref="K62:K67"/>
    <mergeCell ref="K68:K74"/>
    <mergeCell ref="K75:K80"/>
  </mergeCells>
  <conditionalFormatting sqref="E106:I114 J82 L82 K81 N82:Q82">
    <cfRule type="cellIs" dxfId="33" priority="35" operator="equal">
      <formula>"NA"</formula>
    </cfRule>
  </conditionalFormatting>
  <conditionalFormatting sqref="E127:I127 H128:I140">
    <cfRule type="cellIs" dxfId="32" priority="93" operator="equal">
      <formula>"NA"</formula>
    </cfRule>
  </conditionalFormatting>
  <conditionalFormatting sqref="G3 G9:I9">
    <cfRule type="cellIs" dxfId="31" priority="130" operator="equal">
      <formula>"NA"</formula>
    </cfRule>
  </conditionalFormatting>
  <conditionalFormatting sqref="H115:I126">
    <cfRule type="cellIs" dxfId="30" priority="55" operator="equal">
      <formula>"NA"</formula>
    </cfRule>
  </conditionalFormatting>
  <conditionalFormatting sqref="H1:S2 G5:U5 H6:Q6 H7:I8 H141:S1048576 M7">
    <cfRule type="cellIs" dxfId="29" priority="88" operator="equal">
      <formula>"NA"</formula>
    </cfRule>
  </conditionalFormatting>
  <conditionalFormatting sqref="J88:J92 L92:M92 J110 L110:M110 J93:M109 J111:M113 J115:M115 J114 L114:M114">
    <cfRule type="cellIs" dxfId="28" priority="8" operator="equal">
      <formula>"NA"</formula>
    </cfRule>
  </conditionalFormatting>
  <conditionalFormatting sqref="J38:K38 J32:J37 J7:L7 N7:Q7 J8:Q30 J31:L31 L32:L37 M31:Q37 J39:J81 L38:Q81 J83:J87 L83:L85 N83:Q85 M82:M85 L86:Q87 L88:M91">
    <cfRule type="cellIs" dxfId="27" priority="10" operator="equal">
      <formula>"NA"</formula>
    </cfRule>
  </conditionalFormatting>
  <conditionalFormatting sqref="N88:Q108 N109:O109 P109:Q110 N110 N111:Q115 E139">
    <cfRule type="cellIs" dxfId="26" priority="82" operator="equal">
      <formula>"NA"</formula>
    </cfRule>
  </conditionalFormatting>
  <conditionalFormatting sqref="R9">
    <cfRule type="cellIs" dxfId="25" priority="32" operator="equal">
      <formula>"NA"</formula>
    </cfRule>
  </conditionalFormatting>
  <conditionalFormatting sqref="R106:R114">
    <cfRule type="cellIs" dxfId="24" priority="29" operator="equal">
      <formula>"NA"</formula>
    </cfRule>
  </conditionalFormatting>
  <conditionalFormatting sqref="R127:R128">
    <cfRule type="cellIs" dxfId="23" priority="31" operator="equal">
      <formula>"NA"</formula>
    </cfRule>
  </conditionalFormatting>
  <conditionalFormatting sqref="T6:U92 S6:S140 H10:I105 E93:E102 T103:U140 E130:G134 R130:R134 J116:Q140">
    <cfRule type="cellIs" dxfId="22" priority="127" operator="equal">
      <formula>"NA"</formula>
    </cfRule>
  </conditionalFormatting>
  <conditionalFormatting sqref="K44">
    <cfRule type="cellIs" dxfId="21" priority="7" operator="equal">
      <formula>"NA"</formula>
    </cfRule>
  </conditionalFormatting>
  <conditionalFormatting sqref="K50">
    <cfRule type="cellIs" dxfId="20" priority="6" operator="equal">
      <formula>"NA"</formula>
    </cfRule>
  </conditionalFormatting>
  <conditionalFormatting sqref="K56">
    <cfRule type="cellIs" dxfId="19" priority="5" operator="equal">
      <formula>"NA"</formula>
    </cfRule>
  </conditionalFormatting>
  <conditionalFormatting sqref="K62">
    <cfRule type="cellIs" dxfId="18" priority="4" operator="equal">
      <formula>"NA"</formula>
    </cfRule>
  </conditionalFormatting>
  <conditionalFormatting sqref="K68">
    <cfRule type="cellIs" dxfId="17" priority="3" operator="equal">
      <formula>"NA"</formula>
    </cfRule>
  </conditionalFormatting>
  <conditionalFormatting sqref="K75">
    <cfRule type="cellIs" dxfId="16" priority="2" operator="equal">
      <formula>"NA"</formula>
    </cfRule>
  </conditionalFormatting>
  <conditionalFormatting sqref="K87">
    <cfRule type="cellIs" dxfId="15" priority="1" operator="equal">
      <formula>"NA"</formula>
    </cfRule>
  </conditionalFormatting>
  <pageMargins left="0.7" right="0.7" top="0.75" bottom="0.75" header="0.3" footer="0.3"/>
  <pageSetup paperSize="9" orientation="portrait" r:id="rId1"/>
  <ignoredErrors>
    <ignoredError sqref="I61:I62" formula="1"/>
  </ignoredErrors>
  <drawing r:id="rId2"/>
  <legacyDrawing r:id="rId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F8CEFBB-2FA3-4363-B094-14CBA56A4E96}">
  <dimension ref="A1:T11"/>
  <sheetViews>
    <sheetView topLeftCell="C5" zoomScale="90" zoomScaleNormal="90" workbookViewId="0">
      <selection activeCell="K10" sqref="K10"/>
    </sheetView>
  </sheetViews>
  <sheetFormatPr baseColWidth="10" defaultColWidth="11.44140625" defaultRowHeight="13.8" x14ac:dyDescent="0.3"/>
  <cols>
    <col min="1" max="1" width="26.44140625" style="412" customWidth="1"/>
    <col min="2" max="2" width="57.5546875" style="413" customWidth="1"/>
    <col min="3" max="3" width="28" style="413" bestFit="1" customWidth="1"/>
    <col min="4" max="4" width="17" style="412" customWidth="1"/>
    <col min="5" max="6" width="11.6640625" style="412" hidden="1" customWidth="1"/>
    <col min="7" max="7" width="10.6640625" style="412" hidden="1" customWidth="1"/>
    <col min="8" max="9" width="10.44140625" style="412" hidden="1" customWidth="1"/>
    <col min="10" max="10" width="16.109375" style="412" customWidth="1"/>
    <col min="11" max="15" width="10.44140625" style="412" customWidth="1"/>
    <col min="16" max="16" width="10" style="412" customWidth="1"/>
    <col min="17" max="17" width="16.6640625" style="412" customWidth="1"/>
    <col min="18" max="18" width="18.109375" style="412" customWidth="1"/>
    <col min="19" max="19" width="21.109375" style="412" customWidth="1"/>
    <col min="20" max="20" width="15" style="409" customWidth="1"/>
    <col min="21" max="16384" width="11.44140625" style="409"/>
  </cols>
  <sheetData>
    <row r="1" spans="1:20" ht="27.6" x14ac:dyDescent="0.3">
      <c r="A1" s="408"/>
      <c r="B1" s="407" t="s">
        <v>91</v>
      </c>
      <c r="D1" s="412" t="s">
        <v>277</v>
      </c>
      <c r="E1" s="412">
        <v>25</v>
      </c>
      <c r="F1" s="412" t="s">
        <v>278</v>
      </c>
    </row>
    <row r="2" spans="1:20" ht="27.6" x14ac:dyDescent="0.3">
      <c r="A2" s="410"/>
      <c r="B2" s="407" t="s">
        <v>90</v>
      </c>
      <c r="D2" s="412" t="s">
        <v>286</v>
      </c>
      <c r="E2" s="412">
        <v>22</v>
      </c>
      <c r="F2" s="412" t="s">
        <v>278</v>
      </c>
    </row>
    <row r="3" spans="1:20" ht="20.25" customHeight="1" x14ac:dyDescent="0.3">
      <c r="A3" s="411"/>
      <c r="B3" s="407" t="s">
        <v>89</v>
      </c>
      <c r="D3" s="412" t="s">
        <v>287</v>
      </c>
      <c r="E3" s="412">
        <v>30</v>
      </c>
      <c r="F3" s="412" t="s">
        <v>278</v>
      </c>
      <c r="G3" s="421"/>
      <c r="H3" s="421"/>
      <c r="I3" s="421"/>
      <c r="J3" s="420"/>
      <c r="K3" s="421"/>
      <c r="L3" s="421"/>
      <c r="M3" s="421"/>
      <c r="N3" s="421"/>
      <c r="O3" s="421"/>
      <c r="P3" s="421"/>
      <c r="Q3" s="421"/>
      <c r="R3" s="421"/>
      <c r="S3" s="421"/>
    </row>
    <row r="4" spans="1:20" ht="33" customHeight="1" x14ac:dyDescent="0.3">
      <c r="D4" s="418"/>
      <c r="E4" s="518" t="s">
        <v>279</v>
      </c>
      <c r="F4" s="519"/>
      <c r="G4" s="519"/>
      <c r="H4" s="519"/>
      <c r="I4" s="520"/>
      <c r="J4" s="416"/>
      <c r="K4" s="517" t="s">
        <v>280</v>
      </c>
      <c r="L4" s="517"/>
      <c r="M4" s="517"/>
      <c r="N4" s="517"/>
      <c r="O4" s="517"/>
      <c r="P4" s="517"/>
      <c r="Q4" s="466"/>
      <c r="R4" s="466"/>
      <c r="S4" s="466"/>
    </row>
    <row r="5" spans="1:20" s="412" customFormat="1" ht="75.599999999999994" customHeight="1" x14ac:dyDescent="0.3">
      <c r="A5" s="402" t="s">
        <v>265</v>
      </c>
      <c r="B5" s="402" t="s">
        <v>266</v>
      </c>
      <c r="C5" s="426" t="s">
        <v>267</v>
      </c>
      <c r="D5" s="402" t="s">
        <v>268</v>
      </c>
      <c r="E5" s="402" t="s">
        <v>272</v>
      </c>
      <c r="F5" s="402" t="s">
        <v>273</v>
      </c>
      <c r="G5" s="402" t="s">
        <v>274</v>
      </c>
      <c r="H5" s="402" t="s">
        <v>275</v>
      </c>
      <c r="I5" s="402" t="s">
        <v>276</v>
      </c>
      <c r="J5" s="402" t="s">
        <v>302</v>
      </c>
      <c r="K5" s="402" t="s">
        <v>281</v>
      </c>
      <c r="L5" s="402" t="s">
        <v>283</v>
      </c>
      <c r="M5" s="402" t="s">
        <v>282</v>
      </c>
      <c r="N5" s="402" t="s">
        <v>284</v>
      </c>
      <c r="O5" s="402" t="s">
        <v>285</v>
      </c>
      <c r="P5" s="402" t="s">
        <v>288</v>
      </c>
      <c r="Q5" s="402" t="s">
        <v>406</v>
      </c>
      <c r="R5" s="402" t="s">
        <v>404</v>
      </c>
      <c r="S5" s="402" t="s">
        <v>409</v>
      </c>
      <c r="T5" s="402" t="s">
        <v>272</v>
      </c>
    </row>
    <row r="6" spans="1:20" ht="32.25" customHeight="1" x14ac:dyDescent="0.3">
      <c r="A6" s="515" t="s">
        <v>95</v>
      </c>
      <c r="B6" s="404" t="s">
        <v>271</v>
      </c>
      <c r="C6" s="429" t="s">
        <v>269</v>
      </c>
      <c r="D6" s="414" t="s">
        <v>68</v>
      </c>
      <c r="E6" s="414">
        <v>2</v>
      </c>
      <c r="F6" s="414">
        <v>10</v>
      </c>
      <c r="G6" s="414">
        <v>2</v>
      </c>
      <c r="H6" s="414">
        <f t="shared" ref="H6:H10" si="0">+E6*F6*G6</f>
        <v>40</v>
      </c>
      <c r="I6" s="414">
        <f>+H6*$E$1</f>
        <v>1000</v>
      </c>
      <c r="J6" s="423" t="s">
        <v>303</v>
      </c>
      <c r="K6" s="414">
        <v>5</v>
      </c>
      <c r="L6" s="414">
        <v>184</v>
      </c>
      <c r="M6" s="414">
        <v>184</v>
      </c>
      <c r="N6" s="414">
        <f>+M6*K6</f>
        <v>920</v>
      </c>
      <c r="O6" s="414">
        <v>2</v>
      </c>
      <c r="P6" s="414">
        <f>+N6*O6</f>
        <v>1840</v>
      </c>
      <c r="Q6" s="414">
        <v>0</v>
      </c>
      <c r="R6" s="414">
        <v>0</v>
      </c>
      <c r="S6" s="432" t="s">
        <v>412</v>
      </c>
      <c r="T6" s="407">
        <v>6</v>
      </c>
    </row>
    <row r="7" spans="1:20" ht="28.8" x14ac:dyDescent="0.3">
      <c r="A7" s="515"/>
      <c r="B7" s="404" t="s">
        <v>2</v>
      </c>
      <c r="C7" s="429" t="s">
        <v>269</v>
      </c>
      <c r="D7" s="414" t="s">
        <v>68</v>
      </c>
      <c r="E7" s="414">
        <v>1</v>
      </c>
      <c r="F7" s="414">
        <v>10</v>
      </c>
      <c r="G7" s="414">
        <v>2</v>
      </c>
      <c r="H7" s="414">
        <f t="shared" si="0"/>
        <v>20</v>
      </c>
      <c r="I7" s="414">
        <f>+H7*$E$2</f>
        <v>440</v>
      </c>
      <c r="J7" s="423" t="s">
        <v>360</v>
      </c>
      <c r="K7" s="414">
        <v>5</v>
      </c>
      <c r="L7" s="414">
        <v>186</v>
      </c>
      <c r="M7" s="414">
        <v>186</v>
      </c>
      <c r="N7" s="414">
        <f>+M7*K7</f>
        <v>930</v>
      </c>
      <c r="O7" s="414">
        <v>3</v>
      </c>
      <c r="P7" s="414">
        <f t="shared" ref="P7:P10" si="1">+N7*O7</f>
        <v>2790</v>
      </c>
      <c r="Q7" s="414">
        <v>4</v>
      </c>
      <c r="R7" s="414">
        <v>2</v>
      </c>
      <c r="S7" s="432" t="s">
        <v>421</v>
      </c>
      <c r="T7" s="407">
        <v>2</v>
      </c>
    </row>
    <row r="8" spans="1:20" ht="27" customHeight="1" x14ac:dyDescent="0.3">
      <c r="A8" s="515"/>
      <c r="B8" s="479" t="s">
        <v>3</v>
      </c>
      <c r="C8" s="415" t="s">
        <v>69</v>
      </c>
      <c r="D8" s="414" t="s">
        <v>68</v>
      </c>
      <c r="E8" s="414">
        <v>2</v>
      </c>
      <c r="F8" s="414">
        <v>10</v>
      </c>
      <c r="G8" s="414">
        <v>3</v>
      </c>
      <c r="H8" s="414">
        <f t="shared" si="0"/>
        <v>60</v>
      </c>
      <c r="I8" s="414">
        <f>+H8*$E$1</f>
        <v>1500</v>
      </c>
      <c r="J8" s="423" t="s">
        <v>361</v>
      </c>
      <c r="K8" s="414">
        <v>3</v>
      </c>
      <c r="L8" s="414">
        <v>184</v>
      </c>
      <c r="M8" s="414">
        <v>184</v>
      </c>
      <c r="N8" s="414">
        <f>+M8*K8</f>
        <v>552</v>
      </c>
      <c r="O8" s="414">
        <v>3</v>
      </c>
      <c r="P8" s="414">
        <f>+N8*O8</f>
        <v>1656</v>
      </c>
      <c r="Q8" s="414">
        <v>2</v>
      </c>
      <c r="R8" s="414">
        <v>0</v>
      </c>
      <c r="S8" s="432" t="s">
        <v>412</v>
      </c>
      <c r="T8" s="441" t="s">
        <v>395</v>
      </c>
    </row>
    <row r="9" spans="1:20" ht="20.399999999999999" customHeight="1" x14ac:dyDescent="0.3">
      <c r="A9" s="515"/>
      <c r="B9" s="481"/>
      <c r="C9" s="415" t="s">
        <v>69</v>
      </c>
      <c r="D9" s="414" t="s">
        <v>68</v>
      </c>
      <c r="E9" s="414"/>
      <c r="F9" s="414"/>
      <c r="G9" s="414"/>
      <c r="H9" s="414"/>
      <c r="I9" s="414"/>
      <c r="J9" s="423" t="s">
        <v>394</v>
      </c>
      <c r="K9" s="414">
        <v>2</v>
      </c>
      <c r="L9" s="414">
        <v>184</v>
      </c>
      <c r="M9" s="414">
        <v>184</v>
      </c>
      <c r="N9" s="414">
        <f>+M9*K9</f>
        <v>368</v>
      </c>
      <c r="O9" s="414">
        <v>3</v>
      </c>
      <c r="P9" s="414">
        <f>+N9*O9</f>
        <v>1104</v>
      </c>
      <c r="Q9" s="414">
        <v>0</v>
      </c>
      <c r="R9" s="414">
        <v>0</v>
      </c>
      <c r="S9" s="432" t="s">
        <v>412</v>
      </c>
      <c r="T9" s="407"/>
    </row>
    <row r="10" spans="1:20" ht="37.200000000000003" customHeight="1" x14ac:dyDescent="0.3">
      <c r="A10" s="515"/>
      <c r="B10" s="404" t="s">
        <v>4</v>
      </c>
      <c r="C10" s="415" t="s">
        <v>69</v>
      </c>
      <c r="D10" s="414" t="s">
        <v>68</v>
      </c>
      <c r="E10" s="414">
        <v>1</v>
      </c>
      <c r="F10" s="414">
        <v>6</v>
      </c>
      <c r="G10" s="414">
        <v>2</v>
      </c>
      <c r="H10" s="414">
        <f t="shared" si="0"/>
        <v>12</v>
      </c>
      <c r="I10" s="414">
        <f>+H10*$E$2</f>
        <v>264</v>
      </c>
      <c r="J10" s="423" t="s">
        <v>362</v>
      </c>
      <c r="K10" s="414">
        <v>1</v>
      </c>
      <c r="L10" s="414">
        <v>184</v>
      </c>
      <c r="M10" s="414">
        <v>184</v>
      </c>
      <c r="N10" s="414">
        <f t="shared" ref="N10" si="2">+M10*K10</f>
        <v>184</v>
      </c>
      <c r="O10" s="414">
        <v>2</v>
      </c>
      <c r="P10" s="414">
        <f t="shared" si="1"/>
        <v>368</v>
      </c>
      <c r="Q10" s="414">
        <v>1</v>
      </c>
      <c r="R10" s="414">
        <v>1</v>
      </c>
      <c r="S10" s="432" t="s">
        <v>423</v>
      </c>
      <c r="T10" s="407">
        <v>1</v>
      </c>
    </row>
    <row r="11" spans="1:20" ht="60" x14ac:dyDescent="0.3">
      <c r="A11" s="403" t="s">
        <v>62</v>
      </c>
      <c r="B11" s="404" t="s">
        <v>63</v>
      </c>
      <c r="C11" s="415" t="s">
        <v>69</v>
      </c>
      <c r="D11" s="414" t="s">
        <v>87</v>
      </c>
      <c r="E11" s="414">
        <v>1</v>
      </c>
      <c r="F11" s="414">
        <v>12</v>
      </c>
      <c r="G11" s="414">
        <v>3</v>
      </c>
      <c r="H11" s="414">
        <f>+E11*F11*G11</f>
        <v>36</v>
      </c>
      <c r="I11" s="414">
        <f>+H11*E2</f>
        <v>792</v>
      </c>
      <c r="J11" s="423" t="s">
        <v>360</v>
      </c>
      <c r="K11" s="414">
        <v>3</v>
      </c>
      <c r="L11" s="414">
        <v>186</v>
      </c>
      <c r="M11" s="414">
        <v>186</v>
      </c>
      <c r="N11" s="414">
        <f>+M11*E2</f>
        <v>4092</v>
      </c>
      <c r="O11" s="414">
        <v>2</v>
      </c>
      <c r="P11" s="414">
        <f>+N11*O11</f>
        <v>8184</v>
      </c>
      <c r="Q11" s="414">
        <v>2</v>
      </c>
      <c r="R11" s="414">
        <v>1</v>
      </c>
      <c r="S11" s="432" t="s">
        <v>421</v>
      </c>
      <c r="T11" s="407">
        <v>1</v>
      </c>
    </row>
  </sheetData>
  <autoFilter ref="A5:P11" xr:uid="{00000000-0009-0000-0000-000000000000}"/>
  <mergeCells count="4">
    <mergeCell ref="E4:I4"/>
    <mergeCell ref="K4:P4"/>
    <mergeCell ref="A6:A10"/>
    <mergeCell ref="B8:B9"/>
  </mergeCells>
  <conditionalFormatting sqref="G3 H6:S1048576 G5:P5">
    <cfRule type="cellIs" dxfId="14" priority="13" operator="equal">
      <formula>"NA"</formula>
    </cfRule>
  </conditionalFormatting>
  <conditionalFormatting sqref="H1:S2">
    <cfRule type="cellIs" dxfId="13" priority="10" operator="equal">
      <formula>"NA"</formula>
    </cfRule>
  </conditionalFormatting>
  <conditionalFormatting sqref="Q5:S5">
    <cfRule type="cellIs" dxfId="12" priority="1" operator="equal">
      <formula>"NA"</formula>
    </cfRule>
  </conditionalFormatting>
  <pageMargins left="0.7" right="0.7" top="0.75" bottom="0.75" header="0.3" footer="0.3"/>
  <pageSetup paperSize="9" orientation="portrait" r:id="rId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EB50091-C7F3-4C55-A04A-01A19127CAB2}">
  <dimension ref="A1:T143"/>
  <sheetViews>
    <sheetView view="pageBreakPreview" topLeftCell="A3" zoomScale="80" zoomScaleNormal="80" zoomScaleSheetLayoutView="80" workbookViewId="0">
      <pane ySplit="1" topLeftCell="A4" activePane="bottomLeft" state="frozen"/>
      <selection activeCell="A3" sqref="A3"/>
      <selection pane="bottomLeft" activeCell="E4" sqref="E4"/>
    </sheetView>
  </sheetViews>
  <sheetFormatPr baseColWidth="10" defaultColWidth="11.44140625" defaultRowHeight="13.8" x14ac:dyDescent="0.3"/>
  <cols>
    <col min="1" max="1" width="26.44140625" style="412" customWidth="1"/>
    <col min="2" max="2" width="57.5546875" style="413" customWidth="1"/>
    <col min="3" max="3" width="28" style="413" bestFit="1" customWidth="1"/>
    <col min="4" max="4" width="17" style="412" customWidth="1"/>
    <col min="5" max="6" width="11.6640625" style="412" customWidth="1"/>
    <col min="7" max="7" width="10.6640625" style="412" customWidth="1"/>
    <col min="8" max="9" width="10.44140625" style="412" customWidth="1"/>
    <col min="10" max="10" width="19.44140625" style="412" customWidth="1"/>
    <col min="11" max="15" width="10.44140625" style="412" customWidth="1"/>
    <col min="16" max="16" width="10" style="412" customWidth="1"/>
    <col min="17" max="17" width="26.6640625" style="409" customWidth="1"/>
    <col min="18" max="18" width="28" style="409" customWidth="1"/>
    <col min="19" max="19" width="14.33203125" style="409" bestFit="1" customWidth="1"/>
    <col min="20" max="16384" width="11.44140625" style="409"/>
  </cols>
  <sheetData>
    <row r="1" spans="1:18" ht="20.25" hidden="1" customHeight="1" x14ac:dyDescent="0.3">
      <c r="A1" s="409"/>
      <c r="B1" s="409"/>
      <c r="D1" s="412" t="s">
        <v>287</v>
      </c>
      <c r="E1" s="412">
        <v>30</v>
      </c>
      <c r="F1" s="412" t="s">
        <v>278</v>
      </c>
      <c r="G1" s="421"/>
      <c r="H1" s="421"/>
      <c r="I1" s="421"/>
      <c r="J1" s="420"/>
      <c r="K1" s="421"/>
      <c r="L1" s="421"/>
      <c r="M1" s="421"/>
      <c r="N1" s="421"/>
      <c r="O1" s="421"/>
      <c r="P1" s="421"/>
    </row>
    <row r="2" spans="1:18" ht="33" hidden="1" customHeight="1" x14ac:dyDescent="0.3">
      <c r="D2" s="418"/>
      <c r="E2" s="518" t="s">
        <v>279</v>
      </c>
      <c r="F2" s="519"/>
      <c r="G2" s="519"/>
      <c r="H2" s="519"/>
      <c r="I2" s="520"/>
      <c r="J2" s="416"/>
      <c r="K2" s="517" t="s">
        <v>280</v>
      </c>
      <c r="L2" s="517"/>
      <c r="M2" s="517"/>
      <c r="N2" s="517"/>
      <c r="O2" s="517"/>
      <c r="P2" s="517"/>
    </row>
    <row r="3" spans="1:18" s="412" customFormat="1" ht="55.2" x14ac:dyDescent="0.3">
      <c r="A3" s="402" t="s">
        <v>265</v>
      </c>
      <c r="B3" s="402" t="s">
        <v>266</v>
      </c>
      <c r="C3" s="426" t="s">
        <v>267</v>
      </c>
      <c r="D3" s="402" t="s">
        <v>268</v>
      </c>
      <c r="E3" s="402" t="s">
        <v>272</v>
      </c>
      <c r="F3" s="402" t="s">
        <v>273</v>
      </c>
      <c r="G3" s="402" t="s">
        <v>274</v>
      </c>
      <c r="H3" s="402" t="s">
        <v>275</v>
      </c>
      <c r="I3" s="402" t="s">
        <v>276</v>
      </c>
      <c r="J3" s="402" t="s">
        <v>302</v>
      </c>
      <c r="K3" s="434" t="s">
        <v>281</v>
      </c>
      <c r="L3" s="402" t="s">
        <v>283</v>
      </c>
      <c r="M3" s="402" t="s">
        <v>282</v>
      </c>
      <c r="N3" s="402" t="s">
        <v>284</v>
      </c>
      <c r="O3" s="402" t="s">
        <v>285</v>
      </c>
      <c r="P3" s="402" t="s">
        <v>288</v>
      </c>
      <c r="Q3" s="402" t="s">
        <v>402</v>
      </c>
      <c r="R3" s="402" t="s">
        <v>403</v>
      </c>
    </row>
    <row r="4" spans="1:18" ht="32.25" customHeight="1" x14ac:dyDescent="0.3">
      <c r="A4" s="530" t="s">
        <v>0</v>
      </c>
      <c r="B4" s="443" t="s">
        <v>1</v>
      </c>
      <c r="C4" s="430" t="s">
        <v>351</v>
      </c>
      <c r="D4" s="428" t="s">
        <v>68</v>
      </c>
      <c r="E4" s="414">
        <v>3</v>
      </c>
      <c r="F4" s="414">
        <v>11</v>
      </c>
      <c r="G4" s="414">
        <v>3</v>
      </c>
      <c r="H4" s="414">
        <f>+E4*F4*G4</f>
        <v>99</v>
      </c>
      <c r="I4" s="414">
        <f t="shared" ref="I4:I11" si="0">+H4*E$1</f>
        <v>2970</v>
      </c>
      <c r="J4" s="423" t="s">
        <v>303</v>
      </c>
      <c r="K4" s="414">
        <v>4</v>
      </c>
      <c r="L4" s="414">
        <v>184</v>
      </c>
      <c r="M4" s="414">
        <v>184</v>
      </c>
      <c r="N4" s="414">
        <f>+M4*K4</f>
        <v>736</v>
      </c>
      <c r="O4" s="414">
        <v>3</v>
      </c>
      <c r="P4" s="414">
        <f t="shared" ref="P4:P15" si="1">+N4*O4</f>
        <v>2208</v>
      </c>
      <c r="Q4" s="414">
        <v>0</v>
      </c>
      <c r="R4" s="414">
        <v>0</v>
      </c>
    </row>
    <row r="5" spans="1:18" ht="28.8" x14ac:dyDescent="0.3">
      <c r="A5" s="530"/>
      <c r="B5" s="444" t="s">
        <v>396</v>
      </c>
      <c r="C5" s="430" t="s">
        <v>351</v>
      </c>
      <c r="D5" s="414" t="s">
        <v>68</v>
      </c>
      <c r="E5" s="414">
        <v>2</v>
      </c>
      <c r="F5" s="414">
        <v>10</v>
      </c>
      <c r="G5" s="414">
        <v>3</v>
      </c>
      <c r="H5" s="414">
        <f t="shared" ref="H5:H11" si="2">+E5*F5*G5</f>
        <v>60</v>
      </c>
      <c r="I5" s="414">
        <f t="shared" si="0"/>
        <v>1800</v>
      </c>
      <c r="J5" s="423" t="s">
        <v>360</v>
      </c>
      <c r="K5" s="414">
        <v>3</v>
      </c>
      <c r="L5" s="414">
        <v>186</v>
      </c>
      <c r="M5" s="414">
        <v>186</v>
      </c>
      <c r="N5" s="414">
        <f t="shared" ref="N5:N68" si="3">+M5*K5</f>
        <v>558</v>
      </c>
      <c r="O5" s="414">
        <v>3</v>
      </c>
      <c r="P5" s="414">
        <f t="shared" si="1"/>
        <v>1674</v>
      </c>
      <c r="Q5" s="414">
        <v>2</v>
      </c>
      <c r="R5" s="414">
        <v>0</v>
      </c>
    </row>
    <row r="6" spans="1:18" ht="26.4" customHeight="1" x14ac:dyDescent="0.3">
      <c r="A6" s="530"/>
      <c r="B6" s="443" t="s">
        <v>4</v>
      </c>
      <c r="C6" s="430" t="s">
        <v>351</v>
      </c>
      <c r="D6" s="414" t="s">
        <v>68</v>
      </c>
      <c r="E6" s="414">
        <v>1</v>
      </c>
      <c r="F6" s="414">
        <v>8</v>
      </c>
      <c r="G6" s="414">
        <v>2</v>
      </c>
      <c r="H6" s="414">
        <f t="shared" si="2"/>
        <v>16</v>
      </c>
      <c r="I6" s="414">
        <f t="shared" si="0"/>
        <v>480</v>
      </c>
      <c r="J6" s="423" t="s">
        <v>362</v>
      </c>
      <c r="K6" s="414">
        <v>3</v>
      </c>
      <c r="L6" s="414">
        <v>184</v>
      </c>
      <c r="M6" s="414">
        <v>184</v>
      </c>
      <c r="N6" s="414">
        <f t="shared" si="3"/>
        <v>552</v>
      </c>
      <c r="O6" s="414">
        <v>2</v>
      </c>
      <c r="P6" s="414">
        <f t="shared" si="1"/>
        <v>1104</v>
      </c>
      <c r="Q6" s="414"/>
      <c r="R6" s="414"/>
    </row>
    <row r="7" spans="1:18" ht="30" customHeight="1" x14ac:dyDescent="0.3">
      <c r="A7" s="530"/>
      <c r="B7" s="443" t="s">
        <v>5</v>
      </c>
      <c r="C7" s="430" t="s">
        <v>351</v>
      </c>
      <c r="D7" s="414" t="s">
        <v>68</v>
      </c>
      <c r="E7" s="414">
        <v>1</v>
      </c>
      <c r="F7" s="414">
        <v>9</v>
      </c>
      <c r="G7" s="414">
        <v>3</v>
      </c>
      <c r="H7" s="414">
        <f t="shared" si="2"/>
        <v>27</v>
      </c>
      <c r="I7" s="414">
        <f t="shared" si="0"/>
        <v>810</v>
      </c>
      <c r="J7" s="423" t="s">
        <v>318</v>
      </c>
      <c r="K7" s="414">
        <v>3</v>
      </c>
      <c r="L7" s="414">
        <v>184</v>
      </c>
      <c r="M7" s="414">
        <v>184</v>
      </c>
      <c r="N7" s="414">
        <f t="shared" si="3"/>
        <v>552</v>
      </c>
      <c r="O7" s="414">
        <v>3</v>
      </c>
      <c r="P7" s="414">
        <f t="shared" si="1"/>
        <v>1656</v>
      </c>
      <c r="Q7" s="414"/>
      <c r="R7" s="414"/>
    </row>
    <row r="8" spans="1:18" ht="14.4" x14ac:dyDescent="0.3">
      <c r="A8" s="531" t="s">
        <v>6</v>
      </c>
      <c r="B8" s="445" t="s">
        <v>7</v>
      </c>
      <c r="C8" s="430" t="s">
        <v>351</v>
      </c>
      <c r="D8" s="414" t="s">
        <v>71</v>
      </c>
      <c r="E8" s="414">
        <v>0.5</v>
      </c>
      <c r="F8" s="414">
        <v>7</v>
      </c>
      <c r="G8" s="414">
        <v>2</v>
      </c>
      <c r="H8" s="414">
        <f t="shared" si="2"/>
        <v>7</v>
      </c>
      <c r="I8" s="414">
        <f t="shared" si="0"/>
        <v>210</v>
      </c>
      <c r="J8" s="423" t="s">
        <v>363</v>
      </c>
      <c r="K8" s="414">
        <v>1</v>
      </c>
      <c r="L8" s="414">
        <v>56</v>
      </c>
      <c r="M8" s="414">
        <v>56</v>
      </c>
      <c r="N8" s="414">
        <f t="shared" si="3"/>
        <v>56</v>
      </c>
      <c r="O8" s="414">
        <v>2</v>
      </c>
      <c r="P8" s="414">
        <f t="shared" si="1"/>
        <v>112</v>
      </c>
      <c r="Q8" s="414"/>
      <c r="R8" s="414"/>
    </row>
    <row r="9" spans="1:18" ht="27.6" x14ac:dyDescent="0.3">
      <c r="A9" s="531"/>
      <c r="B9" s="446" t="s">
        <v>397</v>
      </c>
      <c r="C9" s="430" t="s">
        <v>351</v>
      </c>
      <c r="D9" s="414" t="s">
        <v>71</v>
      </c>
      <c r="E9" s="414">
        <v>0.5</v>
      </c>
      <c r="F9" s="414">
        <v>7</v>
      </c>
      <c r="G9" s="414">
        <v>2</v>
      </c>
      <c r="H9" s="414">
        <f t="shared" si="2"/>
        <v>7</v>
      </c>
      <c r="I9" s="414">
        <f t="shared" si="0"/>
        <v>210</v>
      </c>
      <c r="J9" s="423" t="s">
        <v>363</v>
      </c>
      <c r="K9" s="414">
        <v>1</v>
      </c>
      <c r="L9" s="414">
        <v>56</v>
      </c>
      <c r="M9" s="414">
        <v>56</v>
      </c>
      <c r="N9" s="414">
        <f t="shared" si="3"/>
        <v>56</v>
      </c>
      <c r="O9" s="414">
        <v>2</v>
      </c>
      <c r="P9" s="414">
        <f t="shared" si="1"/>
        <v>112</v>
      </c>
      <c r="Q9" s="414"/>
      <c r="R9" s="414"/>
    </row>
    <row r="10" spans="1:18" ht="14.4" x14ac:dyDescent="0.3">
      <c r="A10" s="531"/>
      <c r="B10" s="443" t="s">
        <v>8</v>
      </c>
      <c r="C10" s="430" t="s">
        <v>351</v>
      </c>
      <c r="D10" s="414" t="s">
        <v>71</v>
      </c>
      <c r="E10" s="414">
        <v>0.5</v>
      </c>
      <c r="F10" s="414">
        <v>10</v>
      </c>
      <c r="G10" s="414">
        <v>3</v>
      </c>
      <c r="H10" s="414">
        <f t="shared" si="2"/>
        <v>15</v>
      </c>
      <c r="I10" s="414">
        <f t="shared" si="0"/>
        <v>450</v>
      </c>
      <c r="J10" s="423" t="s">
        <v>365</v>
      </c>
      <c r="K10" s="414">
        <v>1</v>
      </c>
      <c r="L10" s="414">
        <v>56</v>
      </c>
      <c r="M10" s="414">
        <v>56</v>
      </c>
      <c r="N10" s="414">
        <f t="shared" si="3"/>
        <v>56</v>
      </c>
      <c r="O10" s="414">
        <v>3</v>
      </c>
      <c r="P10" s="414">
        <f t="shared" si="1"/>
        <v>168</v>
      </c>
      <c r="Q10" s="414"/>
      <c r="R10" s="414"/>
    </row>
    <row r="11" spans="1:18" ht="14.4" x14ac:dyDescent="0.3">
      <c r="A11" s="531"/>
      <c r="B11" s="447" t="s">
        <v>88</v>
      </c>
      <c r="C11" s="430" t="s">
        <v>351</v>
      </c>
      <c r="D11" s="414" t="s">
        <v>71</v>
      </c>
      <c r="E11" s="414">
        <v>0.5</v>
      </c>
      <c r="F11" s="414">
        <v>12</v>
      </c>
      <c r="G11" s="414">
        <v>3</v>
      </c>
      <c r="H11" s="414">
        <f t="shared" si="2"/>
        <v>18</v>
      </c>
      <c r="I11" s="414">
        <f t="shared" si="0"/>
        <v>540</v>
      </c>
      <c r="J11" s="423" t="s">
        <v>364</v>
      </c>
      <c r="K11" s="414">
        <v>1</v>
      </c>
      <c r="L11" s="414">
        <v>46</v>
      </c>
      <c r="M11" s="414">
        <v>46</v>
      </c>
      <c r="N11" s="414">
        <f t="shared" si="3"/>
        <v>46</v>
      </c>
      <c r="O11" s="414">
        <v>3</v>
      </c>
      <c r="P11" s="414">
        <f t="shared" si="1"/>
        <v>138</v>
      </c>
      <c r="Q11" s="414"/>
      <c r="R11" s="414"/>
    </row>
    <row r="12" spans="1:18" ht="14.4" x14ac:dyDescent="0.3">
      <c r="A12" s="531"/>
      <c r="B12" s="447" t="s">
        <v>398</v>
      </c>
      <c r="C12" s="430" t="s">
        <v>351</v>
      </c>
      <c r="D12" s="414" t="s">
        <v>71</v>
      </c>
      <c r="E12" s="414">
        <v>0.5</v>
      </c>
      <c r="F12" s="414">
        <v>12</v>
      </c>
      <c r="G12" s="414">
        <v>3</v>
      </c>
      <c r="H12" s="414">
        <f t="shared" ref="H12:H15" si="4">+E12*F12*G12</f>
        <v>18</v>
      </c>
      <c r="I12" s="414">
        <f t="shared" ref="I12:I15" si="5">+H12*E$1</f>
        <v>540</v>
      </c>
      <c r="J12" s="423" t="s">
        <v>364</v>
      </c>
      <c r="K12" s="414">
        <v>1</v>
      </c>
      <c r="L12" s="414">
        <v>60</v>
      </c>
      <c r="M12" s="414">
        <v>60</v>
      </c>
      <c r="N12" s="414">
        <f t="shared" si="3"/>
        <v>60</v>
      </c>
      <c r="O12" s="414">
        <v>4</v>
      </c>
      <c r="P12" s="414">
        <f t="shared" si="1"/>
        <v>240</v>
      </c>
      <c r="Q12" s="414"/>
      <c r="R12" s="414"/>
    </row>
    <row r="13" spans="1:18" ht="14.4" x14ac:dyDescent="0.3">
      <c r="A13" s="531"/>
      <c r="B13" s="442" t="s">
        <v>353</v>
      </c>
      <c r="C13" s="448" t="s">
        <v>351</v>
      </c>
      <c r="D13" s="449" t="s">
        <v>71</v>
      </c>
      <c r="E13" s="449">
        <v>0</v>
      </c>
      <c r="F13" s="450">
        <v>0</v>
      </c>
      <c r="G13" s="449">
        <v>0</v>
      </c>
      <c r="H13" s="449">
        <f t="shared" si="4"/>
        <v>0</v>
      </c>
      <c r="I13" s="449">
        <f t="shared" si="5"/>
        <v>0</v>
      </c>
      <c r="J13" s="451" t="s">
        <v>366</v>
      </c>
      <c r="K13" s="450">
        <v>0</v>
      </c>
      <c r="L13" s="450">
        <v>0</v>
      </c>
      <c r="M13" s="450">
        <v>0</v>
      </c>
      <c r="N13" s="449">
        <f t="shared" si="3"/>
        <v>0</v>
      </c>
      <c r="O13" s="449">
        <v>0</v>
      </c>
      <c r="P13" s="449">
        <f t="shared" si="1"/>
        <v>0</v>
      </c>
      <c r="Q13" s="449"/>
      <c r="R13" s="449"/>
    </row>
    <row r="14" spans="1:18" ht="28.5" customHeight="1" x14ac:dyDescent="0.3">
      <c r="A14" s="531"/>
      <c r="B14" s="456" t="s">
        <v>354</v>
      </c>
      <c r="C14" s="430" t="s">
        <v>351</v>
      </c>
      <c r="D14" s="414" t="s">
        <v>71</v>
      </c>
      <c r="E14" s="414">
        <v>0.5</v>
      </c>
      <c r="F14" s="414">
        <v>11</v>
      </c>
      <c r="G14" s="414">
        <v>4</v>
      </c>
      <c r="H14" s="414">
        <f t="shared" si="4"/>
        <v>22</v>
      </c>
      <c r="I14" s="414">
        <f t="shared" si="5"/>
        <v>660</v>
      </c>
      <c r="J14" s="423" t="s">
        <v>348</v>
      </c>
      <c r="K14" s="414">
        <v>3</v>
      </c>
      <c r="L14" s="414">
        <v>44</v>
      </c>
      <c r="M14" s="414">
        <v>44</v>
      </c>
      <c r="N14" s="414">
        <f t="shared" si="3"/>
        <v>132</v>
      </c>
      <c r="O14" s="414">
        <v>4</v>
      </c>
      <c r="P14" s="414">
        <f t="shared" si="1"/>
        <v>528</v>
      </c>
      <c r="Q14" s="414"/>
      <c r="R14" s="414"/>
    </row>
    <row r="15" spans="1:18" ht="28.8" x14ac:dyDescent="0.3">
      <c r="A15" s="531"/>
      <c r="B15" s="444" t="s">
        <v>352</v>
      </c>
      <c r="C15" s="430" t="s">
        <v>351</v>
      </c>
      <c r="D15" s="414" t="s">
        <v>71</v>
      </c>
      <c r="E15" s="414">
        <v>0.5</v>
      </c>
      <c r="F15" s="414">
        <v>9</v>
      </c>
      <c r="G15" s="414">
        <v>2</v>
      </c>
      <c r="H15" s="414">
        <f t="shared" si="4"/>
        <v>9</v>
      </c>
      <c r="I15" s="414">
        <f t="shared" si="5"/>
        <v>270</v>
      </c>
      <c r="J15" s="423" t="s">
        <v>367</v>
      </c>
      <c r="K15" s="414">
        <v>1</v>
      </c>
      <c r="L15" s="414">
        <v>18</v>
      </c>
      <c r="M15" s="414">
        <v>18</v>
      </c>
      <c r="N15" s="414">
        <f t="shared" si="3"/>
        <v>18</v>
      </c>
      <c r="O15" s="414">
        <v>2</v>
      </c>
      <c r="P15" s="414">
        <f t="shared" si="1"/>
        <v>36</v>
      </c>
      <c r="Q15" s="414"/>
      <c r="R15" s="414"/>
    </row>
    <row r="16" spans="1:18" ht="14.4" x14ac:dyDescent="0.3">
      <c r="A16" s="531"/>
      <c r="B16" s="443" t="s">
        <v>289</v>
      </c>
      <c r="C16" s="430" t="s">
        <v>351</v>
      </c>
      <c r="D16" s="414" t="s">
        <v>71</v>
      </c>
      <c r="E16" s="414">
        <v>2</v>
      </c>
      <c r="F16" s="414">
        <v>9</v>
      </c>
      <c r="G16" s="414">
        <v>3</v>
      </c>
      <c r="H16" s="414">
        <f t="shared" ref="H16:H33" si="6">+E16*F16*G16</f>
        <v>54</v>
      </c>
      <c r="I16" s="414">
        <f t="shared" ref="I16:I33" si="7">+H16*E$1</f>
        <v>1620</v>
      </c>
      <c r="J16" s="423" t="s">
        <v>368</v>
      </c>
      <c r="K16" s="414">
        <v>3</v>
      </c>
      <c r="L16" s="414">
        <v>121</v>
      </c>
      <c r="M16" s="414">
        <v>121</v>
      </c>
      <c r="N16" s="414">
        <f t="shared" si="3"/>
        <v>363</v>
      </c>
      <c r="O16" s="414">
        <v>3</v>
      </c>
      <c r="P16" s="414">
        <f t="shared" ref="P16:P79" si="8">+N16*O16</f>
        <v>1089</v>
      </c>
      <c r="Q16" s="414"/>
      <c r="R16" s="414"/>
    </row>
    <row r="17" spans="1:20" ht="14.4" x14ac:dyDescent="0.3">
      <c r="A17" s="531"/>
      <c r="B17" s="443" t="s">
        <v>10</v>
      </c>
      <c r="C17" s="430" t="s">
        <v>351</v>
      </c>
      <c r="D17" s="414" t="s">
        <v>71</v>
      </c>
      <c r="E17" s="414">
        <v>0.5</v>
      </c>
      <c r="F17" s="414">
        <v>6</v>
      </c>
      <c r="G17" s="414">
        <v>2</v>
      </c>
      <c r="H17" s="414">
        <f t="shared" si="6"/>
        <v>6</v>
      </c>
      <c r="I17" s="414">
        <f t="shared" si="7"/>
        <v>180</v>
      </c>
      <c r="J17" s="423" t="s">
        <v>369</v>
      </c>
      <c r="K17" s="414">
        <v>3</v>
      </c>
      <c r="L17" s="414">
        <v>72</v>
      </c>
      <c r="M17" s="414">
        <v>72</v>
      </c>
      <c r="N17" s="414">
        <f t="shared" si="3"/>
        <v>216</v>
      </c>
      <c r="O17" s="414">
        <v>2</v>
      </c>
      <c r="P17" s="414">
        <f t="shared" si="8"/>
        <v>432</v>
      </c>
      <c r="Q17" s="414"/>
      <c r="R17" s="414"/>
    </row>
    <row r="18" spans="1:20" ht="30.75" customHeight="1" x14ac:dyDescent="0.3">
      <c r="A18" s="531"/>
      <c r="B18" s="436" t="s">
        <v>11</v>
      </c>
      <c r="C18" s="430" t="s">
        <v>351</v>
      </c>
      <c r="D18" s="414" t="s">
        <v>71</v>
      </c>
      <c r="E18" s="414">
        <v>1</v>
      </c>
      <c r="F18" s="414">
        <v>11</v>
      </c>
      <c r="G18" s="414">
        <v>4</v>
      </c>
      <c r="H18" s="414">
        <f t="shared" si="6"/>
        <v>44</v>
      </c>
      <c r="I18" s="414">
        <f t="shared" si="7"/>
        <v>1320</v>
      </c>
      <c r="J18" s="423" t="s">
        <v>370</v>
      </c>
      <c r="K18" s="414">
        <v>3</v>
      </c>
      <c r="L18" s="414">
        <v>123</v>
      </c>
      <c r="M18" s="414">
        <v>123</v>
      </c>
      <c r="N18" s="414">
        <f t="shared" si="3"/>
        <v>369</v>
      </c>
      <c r="O18" s="414">
        <v>4</v>
      </c>
      <c r="P18" s="414">
        <f t="shared" si="8"/>
        <v>1476</v>
      </c>
      <c r="Q18" s="414"/>
      <c r="R18" s="414"/>
    </row>
    <row r="19" spans="1:20" ht="28.8" x14ac:dyDescent="0.3">
      <c r="A19" s="531"/>
      <c r="B19" s="452" t="s">
        <v>12</v>
      </c>
      <c r="C19" s="430" t="s">
        <v>351</v>
      </c>
      <c r="D19" s="414" t="s">
        <v>71</v>
      </c>
      <c r="E19" s="414">
        <v>0.5</v>
      </c>
      <c r="F19" s="414">
        <v>8</v>
      </c>
      <c r="G19" s="414">
        <v>3</v>
      </c>
      <c r="H19" s="414">
        <f t="shared" si="6"/>
        <v>12</v>
      </c>
      <c r="I19" s="414">
        <f t="shared" si="7"/>
        <v>360</v>
      </c>
      <c r="J19" s="423" t="s">
        <v>371</v>
      </c>
      <c r="K19" s="414">
        <v>0.5</v>
      </c>
      <c r="L19" s="414">
        <v>51</v>
      </c>
      <c r="M19" s="414">
        <v>51</v>
      </c>
      <c r="N19" s="414">
        <f t="shared" si="3"/>
        <v>25.5</v>
      </c>
      <c r="O19" s="414">
        <v>3</v>
      </c>
      <c r="P19" s="414">
        <f t="shared" si="8"/>
        <v>76.5</v>
      </c>
      <c r="Q19" s="414"/>
      <c r="R19" s="414"/>
    </row>
    <row r="20" spans="1:20" ht="28.8" x14ac:dyDescent="0.3">
      <c r="A20" s="531"/>
      <c r="B20" s="453" t="s">
        <v>399</v>
      </c>
      <c r="C20" s="430" t="s">
        <v>351</v>
      </c>
      <c r="D20" s="414" t="s">
        <v>71</v>
      </c>
      <c r="E20" s="414">
        <v>0.5</v>
      </c>
      <c r="F20" s="414">
        <v>6</v>
      </c>
      <c r="G20" s="414">
        <v>4</v>
      </c>
      <c r="H20" s="414">
        <f t="shared" si="6"/>
        <v>12</v>
      </c>
      <c r="I20" s="414">
        <f t="shared" si="7"/>
        <v>360</v>
      </c>
      <c r="J20" s="423" t="s">
        <v>371</v>
      </c>
      <c r="K20" s="414">
        <v>0.5</v>
      </c>
      <c r="L20" s="414">
        <v>6</v>
      </c>
      <c r="M20" s="414">
        <v>6</v>
      </c>
      <c r="N20" s="414">
        <f t="shared" si="3"/>
        <v>3</v>
      </c>
      <c r="O20" s="414">
        <v>4</v>
      </c>
      <c r="P20" s="414">
        <f t="shared" si="8"/>
        <v>12</v>
      </c>
      <c r="Q20" s="414"/>
      <c r="R20" s="414"/>
    </row>
    <row r="21" spans="1:20" ht="14.4" x14ac:dyDescent="0.3">
      <c r="A21" s="531"/>
      <c r="B21" s="443" t="s">
        <v>13</v>
      </c>
      <c r="C21" s="430" t="s">
        <v>351</v>
      </c>
      <c r="D21" s="414" t="s">
        <v>71</v>
      </c>
      <c r="E21" s="414">
        <v>0.5</v>
      </c>
      <c r="F21" s="414">
        <v>8</v>
      </c>
      <c r="G21" s="414">
        <v>2</v>
      </c>
      <c r="H21" s="414">
        <f t="shared" si="6"/>
        <v>8</v>
      </c>
      <c r="I21" s="414">
        <f t="shared" si="7"/>
        <v>240</v>
      </c>
      <c r="J21" s="423" t="s">
        <v>326</v>
      </c>
      <c r="K21" s="414">
        <v>1</v>
      </c>
      <c r="L21" s="414">
        <v>85</v>
      </c>
      <c r="M21" s="414">
        <v>85</v>
      </c>
      <c r="N21" s="414">
        <f t="shared" si="3"/>
        <v>85</v>
      </c>
      <c r="O21" s="414">
        <v>2</v>
      </c>
      <c r="P21" s="414">
        <f t="shared" si="8"/>
        <v>170</v>
      </c>
      <c r="Q21" s="414"/>
      <c r="R21" s="414"/>
    </row>
    <row r="22" spans="1:20" ht="29.25" customHeight="1" x14ac:dyDescent="0.3">
      <c r="A22" s="531"/>
      <c r="B22" s="443" t="s">
        <v>14</v>
      </c>
      <c r="C22" s="430" t="s">
        <v>351</v>
      </c>
      <c r="D22" s="414" t="s">
        <v>71</v>
      </c>
      <c r="E22" s="414">
        <v>0.5</v>
      </c>
      <c r="F22" s="414">
        <v>6</v>
      </c>
      <c r="G22" s="414">
        <v>3</v>
      </c>
      <c r="H22" s="414">
        <f t="shared" si="6"/>
        <v>9</v>
      </c>
      <c r="I22" s="414">
        <f t="shared" si="7"/>
        <v>270</v>
      </c>
      <c r="J22" s="423" t="s">
        <v>372</v>
      </c>
      <c r="K22" s="414">
        <v>5</v>
      </c>
      <c r="L22" s="414">
        <v>37</v>
      </c>
      <c r="M22" s="414">
        <v>37</v>
      </c>
      <c r="N22" s="414">
        <f t="shared" si="3"/>
        <v>185</v>
      </c>
      <c r="O22" s="414">
        <v>3</v>
      </c>
      <c r="P22" s="414">
        <f t="shared" si="8"/>
        <v>555</v>
      </c>
      <c r="Q22" s="414"/>
      <c r="R22" s="414"/>
    </row>
    <row r="23" spans="1:20" ht="27" customHeight="1" x14ac:dyDescent="0.3">
      <c r="A23" s="531"/>
      <c r="B23" s="443" t="s">
        <v>15</v>
      </c>
      <c r="C23" s="430" t="s">
        <v>351</v>
      </c>
      <c r="D23" s="414" t="s">
        <v>71</v>
      </c>
      <c r="E23" s="414">
        <v>0.5</v>
      </c>
      <c r="F23" s="414">
        <v>6</v>
      </c>
      <c r="G23" s="414">
        <v>3</v>
      </c>
      <c r="H23" s="414">
        <f t="shared" si="6"/>
        <v>9</v>
      </c>
      <c r="I23" s="414">
        <f t="shared" si="7"/>
        <v>270</v>
      </c>
      <c r="J23" s="423" t="s">
        <v>373</v>
      </c>
      <c r="K23" s="414">
        <v>3</v>
      </c>
      <c r="L23" s="414">
        <v>62</v>
      </c>
      <c r="M23" s="414">
        <v>62</v>
      </c>
      <c r="N23" s="414">
        <f t="shared" si="3"/>
        <v>186</v>
      </c>
      <c r="O23" s="414">
        <v>3</v>
      </c>
      <c r="P23" s="414">
        <f t="shared" si="8"/>
        <v>558</v>
      </c>
      <c r="Q23" s="414"/>
      <c r="R23" s="414"/>
      <c r="T23" s="457"/>
    </row>
    <row r="24" spans="1:20" ht="28.5" customHeight="1" x14ac:dyDescent="0.3">
      <c r="A24" s="531"/>
      <c r="B24" s="454" t="s">
        <v>16</v>
      </c>
      <c r="C24" s="430" t="s">
        <v>351</v>
      </c>
      <c r="D24" s="414" t="s">
        <v>71</v>
      </c>
      <c r="E24" s="414">
        <v>1</v>
      </c>
      <c r="F24" s="414">
        <v>3</v>
      </c>
      <c r="G24" s="414">
        <v>3</v>
      </c>
      <c r="H24" s="414">
        <f t="shared" si="6"/>
        <v>9</v>
      </c>
      <c r="I24" s="414">
        <f t="shared" si="7"/>
        <v>270</v>
      </c>
      <c r="J24" s="423" t="s">
        <v>374</v>
      </c>
      <c r="K24" s="414">
        <v>0.5</v>
      </c>
      <c r="L24" s="414">
        <v>18</v>
      </c>
      <c r="M24" s="414">
        <v>18</v>
      </c>
      <c r="N24" s="414">
        <f t="shared" si="3"/>
        <v>9</v>
      </c>
      <c r="O24" s="414">
        <v>3</v>
      </c>
      <c r="P24" s="414">
        <f t="shared" si="8"/>
        <v>27</v>
      </c>
      <c r="Q24" s="414"/>
      <c r="R24" s="414"/>
    </row>
    <row r="25" spans="1:20" ht="28.5" customHeight="1" x14ac:dyDescent="0.3">
      <c r="A25" s="531"/>
      <c r="B25" s="455" t="s">
        <v>400</v>
      </c>
      <c r="C25" s="430" t="s">
        <v>351</v>
      </c>
      <c r="D25" s="414" t="s">
        <v>71</v>
      </c>
      <c r="E25" s="414">
        <v>1</v>
      </c>
      <c r="F25" s="414">
        <v>6</v>
      </c>
      <c r="G25" s="414">
        <v>3</v>
      </c>
      <c r="H25" s="414">
        <f t="shared" si="6"/>
        <v>18</v>
      </c>
      <c r="I25" s="414">
        <f t="shared" si="7"/>
        <v>540</v>
      </c>
      <c r="J25" s="423" t="s">
        <v>374</v>
      </c>
      <c r="K25" s="414">
        <v>0.5</v>
      </c>
      <c r="L25" s="414">
        <v>92.5</v>
      </c>
      <c r="M25" s="414">
        <v>92.5</v>
      </c>
      <c r="N25" s="414">
        <f t="shared" si="3"/>
        <v>46.25</v>
      </c>
      <c r="O25" s="414">
        <v>3</v>
      </c>
      <c r="P25" s="414">
        <f t="shared" si="8"/>
        <v>138.75</v>
      </c>
      <c r="Q25" s="414"/>
      <c r="R25" s="414"/>
    </row>
    <row r="26" spans="1:20" ht="30.75" customHeight="1" x14ac:dyDescent="0.3">
      <c r="A26" s="531"/>
      <c r="B26" s="443" t="s">
        <v>17</v>
      </c>
      <c r="C26" s="430" t="s">
        <v>351</v>
      </c>
      <c r="D26" s="414" t="s">
        <v>71</v>
      </c>
      <c r="E26" s="414">
        <v>1</v>
      </c>
      <c r="F26" s="414">
        <v>12</v>
      </c>
      <c r="G26" s="414">
        <v>2</v>
      </c>
      <c r="H26" s="414">
        <f t="shared" si="6"/>
        <v>24</v>
      </c>
      <c r="I26" s="414">
        <f t="shared" si="7"/>
        <v>720</v>
      </c>
      <c r="J26" s="423" t="s">
        <v>375</v>
      </c>
      <c r="K26" s="414">
        <v>5</v>
      </c>
      <c r="L26" s="414">
        <v>30</v>
      </c>
      <c r="M26" s="414">
        <v>30</v>
      </c>
      <c r="N26" s="414">
        <f t="shared" si="3"/>
        <v>150</v>
      </c>
      <c r="O26" s="414">
        <v>2</v>
      </c>
      <c r="P26" s="414">
        <f t="shared" si="8"/>
        <v>300</v>
      </c>
      <c r="Q26" s="414"/>
      <c r="R26" s="414"/>
    </row>
    <row r="27" spans="1:20" ht="27.75" customHeight="1" x14ac:dyDescent="0.3">
      <c r="A27" s="531"/>
      <c r="B27" s="443" t="s">
        <v>18</v>
      </c>
      <c r="C27" s="430" t="s">
        <v>351</v>
      </c>
      <c r="D27" s="414" t="s">
        <v>71</v>
      </c>
      <c r="E27" s="414">
        <v>0.5</v>
      </c>
      <c r="F27" s="414">
        <v>7</v>
      </c>
      <c r="G27" s="414">
        <v>2</v>
      </c>
      <c r="H27" s="414">
        <f t="shared" si="6"/>
        <v>7</v>
      </c>
      <c r="I27" s="414">
        <f t="shared" si="7"/>
        <v>210</v>
      </c>
      <c r="J27" s="423" t="s">
        <v>376</v>
      </c>
      <c r="K27" s="414">
        <v>5</v>
      </c>
      <c r="L27" s="414">
        <v>42</v>
      </c>
      <c r="M27" s="414">
        <v>42</v>
      </c>
      <c r="N27" s="414">
        <f t="shared" si="3"/>
        <v>210</v>
      </c>
      <c r="O27" s="414">
        <v>2</v>
      </c>
      <c r="P27" s="414">
        <f t="shared" si="8"/>
        <v>420</v>
      </c>
      <c r="Q27" s="414"/>
      <c r="R27" s="414"/>
    </row>
    <row r="28" spans="1:20" ht="14.4" x14ac:dyDescent="0.3">
      <c r="A28" s="531"/>
      <c r="B28" s="443" t="s">
        <v>19</v>
      </c>
      <c r="C28" s="430" t="s">
        <v>351</v>
      </c>
      <c r="D28" s="414" t="s">
        <v>71</v>
      </c>
      <c r="E28" s="414">
        <v>1</v>
      </c>
      <c r="F28" s="414">
        <v>12</v>
      </c>
      <c r="G28" s="414">
        <v>3</v>
      </c>
      <c r="H28" s="414">
        <f t="shared" si="6"/>
        <v>36</v>
      </c>
      <c r="I28" s="414">
        <f t="shared" si="7"/>
        <v>1080</v>
      </c>
      <c r="J28" s="423" t="s">
        <v>377</v>
      </c>
      <c r="K28" s="414">
        <v>7</v>
      </c>
      <c r="L28" s="414">
        <v>38</v>
      </c>
      <c r="M28" s="414">
        <v>38</v>
      </c>
      <c r="N28" s="414">
        <f t="shared" si="3"/>
        <v>266</v>
      </c>
      <c r="O28" s="414">
        <v>3</v>
      </c>
      <c r="P28" s="414">
        <f t="shared" si="8"/>
        <v>798</v>
      </c>
      <c r="Q28" s="414"/>
      <c r="R28" s="414"/>
    </row>
    <row r="29" spans="1:20" ht="14.4" x14ac:dyDescent="0.3">
      <c r="A29" s="531"/>
      <c r="B29" s="443" t="s">
        <v>20</v>
      </c>
      <c r="C29" s="430" t="s">
        <v>351</v>
      </c>
      <c r="D29" s="414" t="s">
        <v>71</v>
      </c>
      <c r="E29" s="414">
        <v>1</v>
      </c>
      <c r="F29" s="414">
        <v>12</v>
      </c>
      <c r="G29" s="414">
        <v>3</v>
      </c>
      <c r="H29" s="414">
        <f t="shared" si="6"/>
        <v>36</v>
      </c>
      <c r="I29" s="414">
        <f t="shared" si="7"/>
        <v>1080</v>
      </c>
      <c r="J29" s="423" t="s">
        <v>378</v>
      </c>
      <c r="K29" s="414">
        <v>3</v>
      </c>
      <c r="L29" s="414">
        <v>180</v>
      </c>
      <c r="M29" s="414">
        <v>180</v>
      </c>
      <c r="N29" s="414">
        <f t="shared" si="3"/>
        <v>540</v>
      </c>
      <c r="O29" s="414">
        <v>3</v>
      </c>
      <c r="P29" s="414">
        <f t="shared" si="8"/>
        <v>1620</v>
      </c>
      <c r="Q29" s="414"/>
      <c r="R29" s="414"/>
    </row>
    <row r="30" spans="1:20" ht="32.25" customHeight="1" x14ac:dyDescent="0.3">
      <c r="A30" s="531"/>
      <c r="B30" s="443" t="s">
        <v>64</v>
      </c>
      <c r="C30" s="415" t="s">
        <v>269</v>
      </c>
      <c r="D30" s="414" t="s">
        <v>71</v>
      </c>
      <c r="E30" s="414">
        <v>0.5</v>
      </c>
      <c r="F30" s="414">
        <v>10</v>
      </c>
      <c r="G30" s="414">
        <v>3</v>
      </c>
      <c r="H30" s="414">
        <f t="shared" si="6"/>
        <v>15</v>
      </c>
      <c r="I30" s="414">
        <f t="shared" si="7"/>
        <v>450</v>
      </c>
      <c r="J30" s="423" t="s">
        <v>379</v>
      </c>
      <c r="K30" s="414">
        <v>1</v>
      </c>
      <c r="L30" s="414">
        <v>130</v>
      </c>
      <c r="M30" s="414">
        <v>130</v>
      </c>
      <c r="N30" s="414">
        <f t="shared" si="3"/>
        <v>130</v>
      </c>
      <c r="O30" s="414">
        <v>3</v>
      </c>
      <c r="P30" s="414">
        <f t="shared" si="8"/>
        <v>390</v>
      </c>
      <c r="Q30" s="414"/>
      <c r="R30" s="414"/>
    </row>
    <row r="31" spans="1:20" ht="27" customHeight="1" x14ac:dyDescent="0.3">
      <c r="A31" s="531"/>
      <c r="B31" s="444" t="s">
        <v>65</v>
      </c>
      <c r="C31" s="415" t="s">
        <v>269</v>
      </c>
      <c r="D31" s="414" t="s">
        <v>71</v>
      </c>
      <c r="E31" s="414">
        <v>0.5</v>
      </c>
      <c r="F31" s="414">
        <v>6</v>
      </c>
      <c r="G31" s="414">
        <v>2</v>
      </c>
      <c r="H31" s="414">
        <f t="shared" si="6"/>
        <v>6</v>
      </c>
      <c r="I31" s="414">
        <f t="shared" si="7"/>
        <v>180</v>
      </c>
      <c r="J31" s="423" t="s">
        <v>381</v>
      </c>
      <c r="K31" s="414">
        <v>1</v>
      </c>
      <c r="L31" s="414">
        <v>24</v>
      </c>
      <c r="M31" s="414">
        <v>24</v>
      </c>
      <c r="N31" s="414">
        <f t="shared" si="3"/>
        <v>24</v>
      </c>
      <c r="O31" s="414">
        <v>2</v>
      </c>
      <c r="P31" s="414">
        <f t="shared" si="8"/>
        <v>48</v>
      </c>
      <c r="Q31" s="414"/>
      <c r="R31" s="414"/>
    </row>
    <row r="32" spans="1:20" ht="27" customHeight="1" x14ac:dyDescent="0.3">
      <c r="A32" s="531"/>
      <c r="B32" s="444" t="s">
        <v>401</v>
      </c>
      <c r="C32" s="415" t="s">
        <v>269</v>
      </c>
      <c r="D32" s="414" t="s">
        <v>71</v>
      </c>
      <c r="E32" s="414">
        <v>0.5</v>
      </c>
      <c r="F32" s="414">
        <v>5</v>
      </c>
      <c r="G32" s="414">
        <v>2</v>
      </c>
      <c r="H32" s="414">
        <f t="shared" si="6"/>
        <v>5</v>
      </c>
      <c r="I32" s="414">
        <f t="shared" si="7"/>
        <v>150</v>
      </c>
      <c r="J32" s="423" t="s">
        <v>381</v>
      </c>
      <c r="K32" s="414">
        <v>1</v>
      </c>
      <c r="L32" s="414">
        <v>5</v>
      </c>
      <c r="M32" s="414">
        <v>5</v>
      </c>
      <c r="N32" s="414">
        <f t="shared" si="3"/>
        <v>5</v>
      </c>
      <c r="O32" s="414">
        <v>2</v>
      </c>
      <c r="P32" s="414">
        <f t="shared" si="8"/>
        <v>10</v>
      </c>
      <c r="Q32" s="414"/>
      <c r="R32" s="414"/>
    </row>
    <row r="33" spans="1:18" ht="14.4" x14ac:dyDescent="0.3">
      <c r="A33" s="531"/>
      <c r="B33" s="443" t="s">
        <v>21</v>
      </c>
      <c r="C33" s="415" t="s">
        <v>269</v>
      </c>
      <c r="D33" s="414" t="s">
        <v>71</v>
      </c>
      <c r="E33" s="414">
        <v>0.5</v>
      </c>
      <c r="F33" s="414">
        <v>6</v>
      </c>
      <c r="G33" s="414">
        <v>3</v>
      </c>
      <c r="H33" s="414">
        <f t="shared" si="6"/>
        <v>9</v>
      </c>
      <c r="I33" s="414">
        <f t="shared" si="7"/>
        <v>270</v>
      </c>
      <c r="J33" s="423" t="s">
        <v>380</v>
      </c>
      <c r="K33" s="414">
        <v>5</v>
      </c>
      <c r="L33" s="414">
        <v>24</v>
      </c>
      <c r="M33" s="414">
        <v>24</v>
      </c>
      <c r="N33" s="414">
        <f t="shared" si="3"/>
        <v>120</v>
      </c>
      <c r="O33" s="414">
        <v>3</v>
      </c>
      <c r="P33" s="414">
        <f t="shared" si="8"/>
        <v>360</v>
      </c>
      <c r="Q33" s="414"/>
      <c r="R33" s="414"/>
    </row>
    <row r="34" spans="1:18" s="460" customFormat="1" ht="14.4" x14ac:dyDescent="0.3">
      <c r="A34" s="532" t="s">
        <v>22</v>
      </c>
      <c r="B34" s="535" t="s">
        <v>8</v>
      </c>
      <c r="C34" s="538" t="s">
        <v>74</v>
      </c>
      <c r="D34" s="538" t="s">
        <v>75</v>
      </c>
      <c r="E34" s="458"/>
      <c r="F34" s="458"/>
      <c r="G34" s="458"/>
      <c r="H34" s="414">
        <f t="shared" ref="H34:H95" si="9">+E34*F34*G34</f>
        <v>0</v>
      </c>
      <c r="I34" s="414">
        <f t="shared" ref="I34:I95" si="10">+H34*E$1</f>
        <v>0</v>
      </c>
      <c r="J34" s="459" t="s">
        <v>365</v>
      </c>
      <c r="K34" s="458"/>
      <c r="L34" s="458"/>
      <c r="M34" s="458"/>
      <c r="N34" s="414">
        <f t="shared" si="3"/>
        <v>0</v>
      </c>
      <c r="O34" s="458"/>
      <c r="P34" s="414">
        <f t="shared" si="8"/>
        <v>0</v>
      </c>
      <c r="Q34" s="458"/>
      <c r="R34" s="458"/>
    </row>
    <row r="35" spans="1:18" s="460" customFormat="1" ht="14.4" x14ac:dyDescent="0.3">
      <c r="A35" s="533"/>
      <c r="B35" s="536"/>
      <c r="C35" s="539"/>
      <c r="D35" s="539"/>
      <c r="E35" s="458"/>
      <c r="F35" s="458"/>
      <c r="G35" s="458"/>
      <c r="H35" s="414">
        <f t="shared" si="9"/>
        <v>0</v>
      </c>
      <c r="I35" s="414">
        <f t="shared" si="10"/>
        <v>0</v>
      </c>
      <c r="J35" s="459" t="s">
        <v>385</v>
      </c>
      <c r="K35" s="458"/>
      <c r="L35" s="458"/>
      <c r="M35" s="458"/>
      <c r="N35" s="414">
        <f t="shared" si="3"/>
        <v>0</v>
      </c>
      <c r="O35" s="458"/>
      <c r="P35" s="414">
        <f t="shared" si="8"/>
        <v>0</v>
      </c>
      <c r="Q35" s="458"/>
      <c r="R35" s="458"/>
    </row>
    <row r="36" spans="1:18" s="460" customFormat="1" ht="14.4" x14ac:dyDescent="0.3">
      <c r="A36" s="533"/>
      <c r="B36" s="536"/>
      <c r="C36" s="539"/>
      <c r="D36" s="539"/>
      <c r="E36" s="458"/>
      <c r="F36" s="458"/>
      <c r="G36" s="458"/>
      <c r="H36" s="414">
        <f t="shared" si="9"/>
        <v>0</v>
      </c>
      <c r="I36" s="414">
        <f t="shared" si="10"/>
        <v>0</v>
      </c>
      <c r="J36" s="459" t="s">
        <v>384</v>
      </c>
      <c r="K36" s="458"/>
      <c r="L36" s="458"/>
      <c r="M36" s="458"/>
      <c r="N36" s="414">
        <f t="shared" si="3"/>
        <v>0</v>
      </c>
      <c r="O36" s="458"/>
      <c r="P36" s="414">
        <f t="shared" si="8"/>
        <v>0</v>
      </c>
      <c r="Q36" s="458"/>
      <c r="R36" s="458"/>
    </row>
    <row r="37" spans="1:18" s="460" customFormat="1" ht="14.4" x14ac:dyDescent="0.3">
      <c r="A37" s="533"/>
      <c r="B37" s="536"/>
      <c r="C37" s="539"/>
      <c r="D37" s="539"/>
      <c r="E37" s="458"/>
      <c r="F37" s="458"/>
      <c r="G37" s="458"/>
      <c r="H37" s="414">
        <f t="shared" si="9"/>
        <v>0</v>
      </c>
      <c r="I37" s="414">
        <f t="shared" si="10"/>
        <v>0</v>
      </c>
      <c r="J37" s="459" t="s">
        <v>387</v>
      </c>
      <c r="K37" s="458"/>
      <c r="L37" s="458"/>
      <c r="M37" s="458"/>
      <c r="N37" s="414">
        <f t="shared" si="3"/>
        <v>0</v>
      </c>
      <c r="O37" s="458"/>
      <c r="P37" s="414">
        <f t="shared" si="8"/>
        <v>0</v>
      </c>
      <c r="Q37" s="458"/>
      <c r="R37" s="458"/>
    </row>
    <row r="38" spans="1:18" s="460" customFormat="1" ht="14.4" x14ac:dyDescent="0.3">
      <c r="A38" s="533"/>
      <c r="B38" s="536"/>
      <c r="C38" s="539"/>
      <c r="D38" s="539"/>
      <c r="E38" s="458"/>
      <c r="F38" s="458"/>
      <c r="G38" s="458"/>
      <c r="H38" s="414">
        <f t="shared" si="9"/>
        <v>0</v>
      </c>
      <c r="I38" s="414">
        <f t="shared" si="10"/>
        <v>0</v>
      </c>
      <c r="J38" s="459" t="s">
        <v>388</v>
      </c>
      <c r="K38" s="458"/>
      <c r="L38" s="458"/>
      <c r="M38" s="458"/>
      <c r="N38" s="414">
        <f t="shared" si="3"/>
        <v>0</v>
      </c>
      <c r="O38" s="458"/>
      <c r="P38" s="414">
        <f t="shared" si="8"/>
        <v>0</v>
      </c>
      <c r="Q38" s="458"/>
      <c r="R38" s="458"/>
    </row>
    <row r="39" spans="1:18" s="460" customFormat="1" ht="14.4" x14ac:dyDescent="0.3">
      <c r="A39" s="533"/>
      <c r="B39" s="536"/>
      <c r="C39" s="539"/>
      <c r="D39" s="539"/>
      <c r="E39" s="458"/>
      <c r="F39" s="458"/>
      <c r="G39" s="458"/>
      <c r="H39" s="414">
        <f t="shared" si="9"/>
        <v>0</v>
      </c>
      <c r="I39" s="414">
        <f t="shared" si="10"/>
        <v>0</v>
      </c>
      <c r="J39" s="459" t="s">
        <v>389</v>
      </c>
      <c r="K39" s="458"/>
      <c r="L39" s="458"/>
      <c r="M39" s="458"/>
      <c r="N39" s="414">
        <f t="shared" si="3"/>
        <v>0</v>
      </c>
      <c r="O39" s="458"/>
      <c r="P39" s="414">
        <f t="shared" si="8"/>
        <v>0</v>
      </c>
      <c r="Q39" s="458"/>
      <c r="R39" s="458"/>
    </row>
    <row r="40" spans="1:18" s="460" customFormat="1" ht="14.4" x14ac:dyDescent="0.3">
      <c r="A40" s="533"/>
      <c r="B40" s="537"/>
      <c r="C40" s="540"/>
      <c r="D40" s="540"/>
      <c r="E40" s="458"/>
      <c r="F40" s="458"/>
      <c r="G40" s="458"/>
      <c r="H40" s="414">
        <f t="shared" si="9"/>
        <v>0</v>
      </c>
      <c r="I40" s="414">
        <f t="shared" si="10"/>
        <v>0</v>
      </c>
      <c r="J40" s="459" t="s">
        <v>390</v>
      </c>
      <c r="K40" s="458"/>
      <c r="L40" s="458"/>
      <c r="M40" s="458"/>
      <c r="N40" s="414">
        <f t="shared" si="3"/>
        <v>0</v>
      </c>
      <c r="O40" s="458"/>
      <c r="P40" s="414">
        <f t="shared" si="8"/>
        <v>0</v>
      </c>
      <c r="Q40" s="458"/>
      <c r="R40" s="458"/>
    </row>
    <row r="41" spans="1:18" s="460" customFormat="1" ht="14.4" x14ac:dyDescent="0.3">
      <c r="A41" s="533"/>
      <c r="B41" s="535" t="s">
        <v>23</v>
      </c>
      <c r="C41" s="541" t="s">
        <v>72</v>
      </c>
      <c r="D41" s="538" t="s">
        <v>76</v>
      </c>
      <c r="E41" s="458"/>
      <c r="F41" s="458"/>
      <c r="G41" s="458"/>
      <c r="H41" s="414">
        <f t="shared" si="9"/>
        <v>0</v>
      </c>
      <c r="I41" s="414">
        <f t="shared" si="10"/>
        <v>0</v>
      </c>
      <c r="J41" s="459" t="s">
        <v>370</v>
      </c>
      <c r="K41" s="458"/>
      <c r="L41" s="458"/>
      <c r="M41" s="458"/>
      <c r="N41" s="414">
        <f t="shared" si="3"/>
        <v>0</v>
      </c>
      <c r="O41" s="458"/>
      <c r="P41" s="414">
        <f t="shared" si="8"/>
        <v>0</v>
      </c>
      <c r="Q41" s="458"/>
      <c r="R41" s="458"/>
    </row>
    <row r="42" spans="1:18" s="460" customFormat="1" ht="14.4" x14ac:dyDescent="0.3">
      <c r="A42" s="533"/>
      <c r="B42" s="536"/>
      <c r="C42" s="542"/>
      <c r="D42" s="539"/>
      <c r="E42" s="458"/>
      <c r="F42" s="458"/>
      <c r="G42" s="458"/>
      <c r="H42" s="414">
        <f t="shared" si="9"/>
        <v>0</v>
      </c>
      <c r="I42" s="414">
        <f t="shared" si="10"/>
        <v>0</v>
      </c>
      <c r="J42" s="459" t="s">
        <v>385</v>
      </c>
      <c r="K42" s="458"/>
      <c r="L42" s="458"/>
      <c r="M42" s="458"/>
      <c r="N42" s="414">
        <f t="shared" si="3"/>
        <v>0</v>
      </c>
      <c r="O42" s="458"/>
      <c r="P42" s="414">
        <f t="shared" si="8"/>
        <v>0</v>
      </c>
      <c r="Q42" s="458"/>
      <c r="R42" s="458"/>
    </row>
    <row r="43" spans="1:18" s="460" customFormat="1" ht="14.4" x14ac:dyDescent="0.3">
      <c r="A43" s="533"/>
      <c r="B43" s="536"/>
      <c r="C43" s="542"/>
      <c r="D43" s="539"/>
      <c r="E43" s="458"/>
      <c r="F43" s="458"/>
      <c r="G43" s="458"/>
      <c r="H43" s="414">
        <f t="shared" si="9"/>
        <v>0</v>
      </c>
      <c r="I43" s="414">
        <f t="shared" si="10"/>
        <v>0</v>
      </c>
      <c r="J43" s="459" t="s">
        <v>384</v>
      </c>
      <c r="K43" s="458"/>
      <c r="L43" s="458"/>
      <c r="M43" s="458"/>
      <c r="N43" s="414">
        <f t="shared" si="3"/>
        <v>0</v>
      </c>
      <c r="O43" s="458"/>
      <c r="P43" s="414">
        <f t="shared" si="8"/>
        <v>0</v>
      </c>
      <c r="Q43" s="458"/>
      <c r="R43" s="458"/>
    </row>
    <row r="44" spans="1:18" s="460" customFormat="1" ht="14.4" x14ac:dyDescent="0.3">
      <c r="A44" s="533"/>
      <c r="B44" s="536"/>
      <c r="C44" s="542"/>
      <c r="D44" s="539"/>
      <c r="E44" s="458"/>
      <c r="F44" s="458"/>
      <c r="G44" s="458"/>
      <c r="H44" s="414">
        <f t="shared" si="9"/>
        <v>0</v>
      </c>
      <c r="I44" s="414">
        <f t="shared" si="10"/>
        <v>0</v>
      </c>
      <c r="J44" s="459" t="s">
        <v>387</v>
      </c>
      <c r="K44" s="458"/>
      <c r="L44" s="458"/>
      <c r="M44" s="458"/>
      <c r="N44" s="414">
        <f t="shared" si="3"/>
        <v>0</v>
      </c>
      <c r="O44" s="458"/>
      <c r="P44" s="414">
        <f t="shared" si="8"/>
        <v>0</v>
      </c>
      <c r="Q44" s="458"/>
      <c r="R44" s="458"/>
    </row>
    <row r="45" spans="1:18" s="460" customFormat="1" ht="14.4" x14ac:dyDescent="0.3">
      <c r="A45" s="533"/>
      <c r="B45" s="536"/>
      <c r="C45" s="542"/>
      <c r="D45" s="539"/>
      <c r="E45" s="458"/>
      <c r="F45" s="458"/>
      <c r="G45" s="458"/>
      <c r="H45" s="414">
        <f t="shared" si="9"/>
        <v>0</v>
      </c>
      <c r="I45" s="414">
        <f t="shared" si="10"/>
        <v>0</v>
      </c>
      <c r="J45" s="459" t="s">
        <v>388</v>
      </c>
      <c r="K45" s="458"/>
      <c r="L45" s="458"/>
      <c r="M45" s="458"/>
      <c r="N45" s="414">
        <f t="shared" si="3"/>
        <v>0</v>
      </c>
      <c r="O45" s="458"/>
      <c r="P45" s="414">
        <f t="shared" si="8"/>
        <v>0</v>
      </c>
      <c r="Q45" s="458"/>
      <c r="R45" s="458"/>
    </row>
    <row r="46" spans="1:18" s="460" customFormat="1" ht="14.4" x14ac:dyDescent="0.3">
      <c r="A46" s="533"/>
      <c r="B46" s="537"/>
      <c r="C46" s="543"/>
      <c r="D46" s="540"/>
      <c r="E46" s="458"/>
      <c r="F46" s="458"/>
      <c r="G46" s="458"/>
      <c r="H46" s="414">
        <f t="shared" si="9"/>
        <v>0</v>
      </c>
      <c r="I46" s="414">
        <f t="shared" si="10"/>
        <v>0</v>
      </c>
      <c r="J46" s="459" t="s">
        <v>389</v>
      </c>
      <c r="K46" s="458"/>
      <c r="L46" s="458"/>
      <c r="M46" s="458"/>
      <c r="N46" s="414">
        <f t="shared" si="3"/>
        <v>0</v>
      </c>
      <c r="O46" s="458"/>
      <c r="P46" s="414">
        <f t="shared" si="8"/>
        <v>0</v>
      </c>
      <c r="Q46" s="458"/>
      <c r="R46" s="458"/>
    </row>
    <row r="47" spans="1:18" s="460" customFormat="1" ht="28.8" x14ac:dyDescent="0.3">
      <c r="A47" s="533"/>
      <c r="B47" s="535" t="s">
        <v>24</v>
      </c>
      <c r="C47" s="541" t="s">
        <v>72</v>
      </c>
      <c r="D47" s="538" t="s">
        <v>76</v>
      </c>
      <c r="E47" s="458"/>
      <c r="F47" s="458"/>
      <c r="G47" s="458"/>
      <c r="H47" s="414">
        <f t="shared" si="9"/>
        <v>0</v>
      </c>
      <c r="I47" s="414">
        <f t="shared" si="10"/>
        <v>0</v>
      </c>
      <c r="J47" s="459" t="s">
        <v>382</v>
      </c>
      <c r="K47" s="458"/>
      <c r="L47" s="458"/>
      <c r="M47" s="458"/>
      <c r="N47" s="414">
        <f t="shared" si="3"/>
        <v>0</v>
      </c>
      <c r="O47" s="458"/>
      <c r="P47" s="414">
        <f t="shared" si="8"/>
        <v>0</v>
      </c>
      <c r="Q47" s="458"/>
      <c r="R47" s="458"/>
    </row>
    <row r="48" spans="1:18" s="460" customFormat="1" ht="14.4" x14ac:dyDescent="0.3">
      <c r="A48" s="533"/>
      <c r="B48" s="536"/>
      <c r="C48" s="542"/>
      <c r="D48" s="539"/>
      <c r="E48" s="458"/>
      <c r="F48" s="458"/>
      <c r="G48" s="458"/>
      <c r="H48" s="414">
        <f t="shared" si="9"/>
        <v>0</v>
      </c>
      <c r="I48" s="414">
        <f t="shared" si="10"/>
        <v>0</v>
      </c>
      <c r="J48" s="459" t="s">
        <v>385</v>
      </c>
      <c r="K48" s="458"/>
      <c r="L48" s="458"/>
      <c r="M48" s="458"/>
      <c r="N48" s="414">
        <f t="shared" si="3"/>
        <v>0</v>
      </c>
      <c r="O48" s="458"/>
      <c r="P48" s="414">
        <f t="shared" si="8"/>
        <v>0</v>
      </c>
      <c r="Q48" s="458"/>
      <c r="R48" s="458"/>
    </row>
    <row r="49" spans="1:18" s="460" customFormat="1" ht="14.4" x14ac:dyDescent="0.3">
      <c r="A49" s="533"/>
      <c r="B49" s="536"/>
      <c r="C49" s="542"/>
      <c r="D49" s="539"/>
      <c r="E49" s="458"/>
      <c r="F49" s="458"/>
      <c r="G49" s="458"/>
      <c r="H49" s="414">
        <f t="shared" si="9"/>
        <v>0</v>
      </c>
      <c r="I49" s="414">
        <f t="shared" si="10"/>
        <v>0</v>
      </c>
      <c r="J49" s="459" t="s">
        <v>384</v>
      </c>
      <c r="K49" s="458"/>
      <c r="L49" s="458"/>
      <c r="M49" s="458"/>
      <c r="N49" s="414">
        <f t="shared" si="3"/>
        <v>0</v>
      </c>
      <c r="O49" s="458"/>
      <c r="P49" s="414">
        <f t="shared" si="8"/>
        <v>0</v>
      </c>
      <c r="Q49" s="458"/>
      <c r="R49" s="458"/>
    </row>
    <row r="50" spans="1:18" s="460" customFormat="1" ht="14.4" x14ac:dyDescent="0.3">
      <c r="A50" s="533"/>
      <c r="B50" s="536"/>
      <c r="C50" s="542"/>
      <c r="D50" s="539"/>
      <c r="E50" s="458"/>
      <c r="F50" s="458"/>
      <c r="G50" s="458"/>
      <c r="H50" s="414">
        <f t="shared" si="9"/>
        <v>0</v>
      </c>
      <c r="I50" s="414">
        <f t="shared" si="10"/>
        <v>0</v>
      </c>
      <c r="J50" s="459" t="s">
        <v>387</v>
      </c>
      <c r="K50" s="458"/>
      <c r="L50" s="458"/>
      <c r="M50" s="458"/>
      <c r="N50" s="414">
        <f t="shared" si="3"/>
        <v>0</v>
      </c>
      <c r="O50" s="458"/>
      <c r="P50" s="414">
        <f t="shared" si="8"/>
        <v>0</v>
      </c>
      <c r="Q50" s="458"/>
      <c r="R50" s="458"/>
    </row>
    <row r="51" spans="1:18" s="460" customFormat="1" ht="14.4" x14ac:dyDescent="0.3">
      <c r="A51" s="533"/>
      <c r="B51" s="536"/>
      <c r="C51" s="542"/>
      <c r="D51" s="539"/>
      <c r="E51" s="458"/>
      <c r="F51" s="458"/>
      <c r="G51" s="458"/>
      <c r="H51" s="414">
        <f t="shared" si="9"/>
        <v>0</v>
      </c>
      <c r="I51" s="414">
        <f t="shared" si="10"/>
        <v>0</v>
      </c>
      <c r="J51" s="459" t="s">
        <v>388</v>
      </c>
      <c r="K51" s="458"/>
      <c r="L51" s="458"/>
      <c r="M51" s="458"/>
      <c r="N51" s="414">
        <f t="shared" si="3"/>
        <v>0</v>
      </c>
      <c r="O51" s="458"/>
      <c r="P51" s="414">
        <f t="shared" si="8"/>
        <v>0</v>
      </c>
      <c r="Q51" s="458"/>
      <c r="R51" s="458"/>
    </row>
    <row r="52" spans="1:18" s="460" customFormat="1" ht="14.4" x14ac:dyDescent="0.3">
      <c r="A52" s="533"/>
      <c r="B52" s="537"/>
      <c r="C52" s="543"/>
      <c r="D52" s="540"/>
      <c r="E52" s="458"/>
      <c r="F52" s="458"/>
      <c r="G52" s="458"/>
      <c r="H52" s="414">
        <f t="shared" si="9"/>
        <v>0</v>
      </c>
      <c r="I52" s="414">
        <f t="shared" si="10"/>
        <v>0</v>
      </c>
      <c r="J52" s="459" t="s">
        <v>389</v>
      </c>
      <c r="K52" s="458"/>
      <c r="L52" s="458"/>
      <c r="M52" s="458"/>
      <c r="N52" s="414">
        <f t="shared" si="3"/>
        <v>0</v>
      </c>
      <c r="O52" s="458"/>
      <c r="P52" s="414">
        <f t="shared" si="8"/>
        <v>0</v>
      </c>
      <c r="Q52" s="458"/>
      <c r="R52" s="458"/>
    </row>
    <row r="53" spans="1:18" s="460" customFormat="1" ht="14.4" x14ac:dyDescent="0.3">
      <c r="A53" s="533"/>
      <c r="B53" s="544" t="s">
        <v>353</v>
      </c>
      <c r="C53" s="544" t="s">
        <v>72</v>
      </c>
      <c r="D53" s="547" t="s">
        <v>356</v>
      </c>
      <c r="E53" s="458"/>
      <c r="F53" s="458"/>
      <c r="G53" s="458"/>
      <c r="H53" s="414">
        <f t="shared" si="9"/>
        <v>0</v>
      </c>
      <c r="I53" s="414">
        <f t="shared" si="10"/>
        <v>0</v>
      </c>
      <c r="J53" s="459" t="s">
        <v>366</v>
      </c>
      <c r="K53" s="458"/>
      <c r="L53" s="458"/>
      <c r="M53" s="458"/>
      <c r="N53" s="414">
        <f t="shared" si="3"/>
        <v>0</v>
      </c>
      <c r="O53" s="458"/>
      <c r="P53" s="414">
        <f t="shared" si="8"/>
        <v>0</v>
      </c>
      <c r="Q53" s="458"/>
      <c r="R53" s="458"/>
    </row>
    <row r="54" spans="1:18" s="460" customFormat="1" ht="14.4" x14ac:dyDescent="0.3">
      <c r="A54" s="533"/>
      <c r="B54" s="545"/>
      <c r="C54" s="545"/>
      <c r="D54" s="548"/>
      <c r="E54" s="458"/>
      <c r="F54" s="458"/>
      <c r="G54" s="458"/>
      <c r="H54" s="414">
        <f t="shared" si="9"/>
        <v>0</v>
      </c>
      <c r="I54" s="414">
        <f t="shared" si="10"/>
        <v>0</v>
      </c>
      <c r="J54" s="459" t="s">
        <v>385</v>
      </c>
      <c r="K54" s="458"/>
      <c r="L54" s="458"/>
      <c r="M54" s="458"/>
      <c r="N54" s="414">
        <f t="shared" si="3"/>
        <v>0</v>
      </c>
      <c r="O54" s="458"/>
      <c r="P54" s="414">
        <f t="shared" si="8"/>
        <v>0</v>
      </c>
      <c r="Q54" s="458"/>
      <c r="R54" s="458"/>
    </row>
    <row r="55" spans="1:18" s="460" customFormat="1" ht="14.4" x14ac:dyDescent="0.3">
      <c r="A55" s="533"/>
      <c r="B55" s="545"/>
      <c r="C55" s="545"/>
      <c r="D55" s="548"/>
      <c r="E55" s="458"/>
      <c r="F55" s="458"/>
      <c r="G55" s="458"/>
      <c r="H55" s="414">
        <f t="shared" si="9"/>
        <v>0</v>
      </c>
      <c r="I55" s="414">
        <f t="shared" si="10"/>
        <v>0</v>
      </c>
      <c r="J55" s="459" t="s">
        <v>384</v>
      </c>
      <c r="K55" s="458"/>
      <c r="L55" s="458"/>
      <c r="M55" s="458"/>
      <c r="N55" s="414">
        <f t="shared" si="3"/>
        <v>0</v>
      </c>
      <c r="O55" s="458"/>
      <c r="P55" s="414">
        <f t="shared" si="8"/>
        <v>0</v>
      </c>
      <c r="Q55" s="458"/>
      <c r="R55" s="458"/>
    </row>
    <row r="56" spans="1:18" s="460" customFormat="1" ht="14.4" x14ac:dyDescent="0.3">
      <c r="A56" s="533"/>
      <c r="B56" s="545"/>
      <c r="C56" s="545"/>
      <c r="D56" s="548"/>
      <c r="E56" s="458"/>
      <c r="F56" s="458"/>
      <c r="G56" s="458"/>
      <c r="H56" s="414">
        <f t="shared" si="9"/>
        <v>0</v>
      </c>
      <c r="I56" s="414">
        <f t="shared" si="10"/>
        <v>0</v>
      </c>
      <c r="J56" s="459" t="s">
        <v>387</v>
      </c>
      <c r="K56" s="458"/>
      <c r="L56" s="458"/>
      <c r="M56" s="458"/>
      <c r="N56" s="414">
        <f t="shared" si="3"/>
        <v>0</v>
      </c>
      <c r="O56" s="458"/>
      <c r="P56" s="414">
        <f t="shared" si="8"/>
        <v>0</v>
      </c>
      <c r="Q56" s="458"/>
      <c r="R56" s="458"/>
    </row>
    <row r="57" spans="1:18" s="460" customFormat="1" ht="14.4" x14ac:dyDescent="0.3">
      <c r="A57" s="533"/>
      <c r="B57" s="545"/>
      <c r="C57" s="545"/>
      <c r="D57" s="548"/>
      <c r="E57" s="458"/>
      <c r="F57" s="458"/>
      <c r="G57" s="458"/>
      <c r="H57" s="414">
        <f t="shared" si="9"/>
        <v>0</v>
      </c>
      <c r="I57" s="414">
        <f t="shared" si="10"/>
        <v>0</v>
      </c>
      <c r="J57" s="459" t="s">
        <v>388</v>
      </c>
      <c r="K57" s="458"/>
      <c r="L57" s="458"/>
      <c r="M57" s="458"/>
      <c r="N57" s="414">
        <f t="shared" si="3"/>
        <v>0</v>
      </c>
      <c r="O57" s="458"/>
      <c r="P57" s="414">
        <f t="shared" si="8"/>
        <v>0</v>
      </c>
      <c r="Q57" s="458"/>
      <c r="R57" s="458"/>
    </row>
    <row r="58" spans="1:18" s="460" customFormat="1" ht="14.4" x14ac:dyDescent="0.3">
      <c r="A58" s="533"/>
      <c r="B58" s="546"/>
      <c r="C58" s="546"/>
      <c r="D58" s="549"/>
      <c r="E58" s="458"/>
      <c r="F58" s="458"/>
      <c r="G58" s="458"/>
      <c r="H58" s="414">
        <f t="shared" si="9"/>
        <v>0</v>
      </c>
      <c r="I58" s="414">
        <f t="shared" si="10"/>
        <v>0</v>
      </c>
      <c r="J58" s="459" t="s">
        <v>389</v>
      </c>
      <c r="K58" s="458"/>
      <c r="L58" s="458"/>
      <c r="M58" s="458"/>
      <c r="N58" s="414">
        <f t="shared" si="3"/>
        <v>0</v>
      </c>
      <c r="O58" s="458"/>
      <c r="P58" s="414">
        <f t="shared" si="8"/>
        <v>0</v>
      </c>
      <c r="Q58" s="458"/>
      <c r="R58" s="458"/>
    </row>
    <row r="59" spans="1:18" s="460" customFormat="1" ht="33" customHeight="1" x14ac:dyDescent="0.3">
      <c r="A59" s="533"/>
      <c r="B59" s="535" t="s">
        <v>15</v>
      </c>
      <c r="C59" s="541" t="s">
        <v>77</v>
      </c>
      <c r="D59" s="538" t="s">
        <v>76</v>
      </c>
      <c r="E59" s="458"/>
      <c r="F59" s="458"/>
      <c r="G59" s="458"/>
      <c r="H59" s="414">
        <f t="shared" si="9"/>
        <v>0</v>
      </c>
      <c r="I59" s="414">
        <f t="shared" si="10"/>
        <v>0</v>
      </c>
      <c r="J59" s="459" t="s">
        <v>373</v>
      </c>
      <c r="K59" s="458"/>
      <c r="L59" s="458"/>
      <c r="M59" s="458"/>
      <c r="N59" s="414">
        <f t="shared" si="3"/>
        <v>0</v>
      </c>
      <c r="O59" s="458"/>
      <c r="P59" s="414">
        <f t="shared" si="8"/>
        <v>0</v>
      </c>
      <c r="Q59" s="458"/>
      <c r="R59" s="458"/>
    </row>
    <row r="60" spans="1:18" s="460" customFormat="1" ht="14.4" x14ac:dyDescent="0.3">
      <c r="A60" s="533"/>
      <c r="B60" s="536"/>
      <c r="C60" s="542"/>
      <c r="D60" s="539"/>
      <c r="E60" s="458"/>
      <c r="F60" s="458"/>
      <c r="G60" s="458"/>
      <c r="H60" s="414">
        <f t="shared" si="9"/>
        <v>0</v>
      </c>
      <c r="I60" s="414">
        <f t="shared" si="10"/>
        <v>0</v>
      </c>
      <c r="J60" s="459" t="s">
        <v>385</v>
      </c>
      <c r="K60" s="458"/>
      <c r="L60" s="458"/>
      <c r="M60" s="458"/>
      <c r="N60" s="414">
        <f t="shared" si="3"/>
        <v>0</v>
      </c>
      <c r="O60" s="458"/>
      <c r="P60" s="414">
        <f t="shared" si="8"/>
        <v>0</v>
      </c>
      <c r="Q60" s="458"/>
      <c r="R60" s="458"/>
    </row>
    <row r="61" spans="1:18" s="460" customFormat="1" ht="14.4" x14ac:dyDescent="0.3">
      <c r="A61" s="533"/>
      <c r="B61" s="536"/>
      <c r="C61" s="542"/>
      <c r="D61" s="539"/>
      <c r="E61" s="458"/>
      <c r="F61" s="458"/>
      <c r="G61" s="458"/>
      <c r="H61" s="414">
        <f t="shared" si="9"/>
        <v>0</v>
      </c>
      <c r="I61" s="414">
        <f t="shared" si="10"/>
        <v>0</v>
      </c>
      <c r="J61" s="459" t="s">
        <v>384</v>
      </c>
      <c r="K61" s="458"/>
      <c r="L61" s="458"/>
      <c r="M61" s="458"/>
      <c r="N61" s="414">
        <f t="shared" si="3"/>
        <v>0</v>
      </c>
      <c r="O61" s="458"/>
      <c r="P61" s="414">
        <f t="shared" si="8"/>
        <v>0</v>
      </c>
      <c r="Q61" s="458"/>
      <c r="R61" s="458"/>
    </row>
    <row r="62" spans="1:18" s="460" customFormat="1" ht="14.4" x14ac:dyDescent="0.3">
      <c r="A62" s="533"/>
      <c r="B62" s="536"/>
      <c r="C62" s="542"/>
      <c r="D62" s="539"/>
      <c r="E62" s="458"/>
      <c r="F62" s="458"/>
      <c r="G62" s="458"/>
      <c r="H62" s="414">
        <f t="shared" si="9"/>
        <v>0</v>
      </c>
      <c r="I62" s="414">
        <f t="shared" si="10"/>
        <v>0</v>
      </c>
      <c r="J62" s="459" t="s">
        <v>387</v>
      </c>
      <c r="K62" s="458"/>
      <c r="L62" s="458"/>
      <c r="M62" s="458"/>
      <c r="N62" s="414">
        <f t="shared" si="3"/>
        <v>0</v>
      </c>
      <c r="O62" s="458"/>
      <c r="P62" s="414">
        <f t="shared" si="8"/>
        <v>0</v>
      </c>
      <c r="Q62" s="458"/>
      <c r="R62" s="458"/>
    </row>
    <row r="63" spans="1:18" s="460" customFormat="1" ht="14.4" x14ac:dyDescent="0.3">
      <c r="A63" s="533"/>
      <c r="B63" s="536"/>
      <c r="C63" s="542"/>
      <c r="D63" s="539"/>
      <c r="E63" s="458"/>
      <c r="F63" s="458"/>
      <c r="G63" s="458"/>
      <c r="H63" s="414">
        <f t="shared" si="9"/>
        <v>0</v>
      </c>
      <c r="I63" s="414">
        <f t="shared" si="10"/>
        <v>0</v>
      </c>
      <c r="J63" s="459" t="s">
        <v>388</v>
      </c>
      <c r="K63" s="458"/>
      <c r="L63" s="458"/>
      <c r="M63" s="458"/>
      <c r="N63" s="414">
        <f t="shared" si="3"/>
        <v>0</v>
      </c>
      <c r="O63" s="458"/>
      <c r="P63" s="414">
        <f t="shared" si="8"/>
        <v>0</v>
      </c>
      <c r="Q63" s="458"/>
      <c r="R63" s="458"/>
    </row>
    <row r="64" spans="1:18" s="460" customFormat="1" ht="14.4" x14ac:dyDescent="0.3">
      <c r="A64" s="533"/>
      <c r="B64" s="537"/>
      <c r="C64" s="543"/>
      <c r="D64" s="540"/>
      <c r="E64" s="458"/>
      <c r="F64" s="458"/>
      <c r="G64" s="458"/>
      <c r="H64" s="414">
        <f t="shared" si="9"/>
        <v>0</v>
      </c>
      <c r="I64" s="414">
        <f t="shared" si="10"/>
        <v>0</v>
      </c>
      <c r="J64" s="459" t="s">
        <v>389</v>
      </c>
      <c r="K64" s="458"/>
      <c r="L64" s="458"/>
      <c r="M64" s="458"/>
      <c r="N64" s="414">
        <f t="shared" si="3"/>
        <v>0</v>
      </c>
      <c r="O64" s="458"/>
      <c r="P64" s="414">
        <f t="shared" si="8"/>
        <v>0</v>
      </c>
      <c r="Q64" s="458"/>
      <c r="R64" s="458"/>
    </row>
    <row r="65" spans="1:18" s="460" customFormat="1" ht="33" customHeight="1" x14ac:dyDescent="0.3">
      <c r="A65" s="533"/>
      <c r="B65" s="535" t="s">
        <v>25</v>
      </c>
      <c r="C65" s="541" t="s">
        <v>77</v>
      </c>
      <c r="D65" s="538" t="s">
        <v>76</v>
      </c>
      <c r="E65" s="458"/>
      <c r="F65" s="458"/>
      <c r="G65" s="458"/>
      <c r="H65" s="414">
        <f t="shared" si="9"/>
        <v>0</v>
      </c>
      <c r="I65" s="414">
        <f t="shared" si="10"/>
        <v>0</v>
      </c>
      <c r="J65" s="459" t="s">
        <v>375</v>
      </c>
      <c r="K65" s="458"/>
      <c r="L65" s="458"/>
      <c r="M65" s="458"/>
      <c r="N65" s="414">
        <f t="shared" si="3"/>
        <v>0</v>
      </c>
      <c r="O65" s="458"/>
      <c r="P65" s="414">
        <f t="shared" si="8"/>
        <v>0</v>
      </c>
      <c r="Q65" s="458"/>
      <c r="R65" s="458"/>
    </row>
    <row r="66" spans="1:18" s="460" customFormat="1" ht="14.4" x14ac:dyDescent="0.3">
      <c r="A66" s="533"/>
      <c r="B66" s="536"/>
      <c r="C66" s="542"/>
      <c r="D66" s="539"/>
      <c r="E66" s="458"/>
      <c r="F66" s="458"/>
      <c r="G66" s="458"/>
      <c r="H66" s="414">
        <f t="shared" si="9"/>
        <v>0</v>
      </c>
      <c r="I66" s="414">
        <f t="shared" si="10"/>
        <v>0</v>
      </c>
      <c r="J66" s="459" t="s">
        <v>385</v>
      </c>
      <c r="K66" s="458"/>
      <c r="L66" s="458"/>
      <c r="M66" s="458"/>
      <c r="N66" s="414">
        <f t="shared" si="3"/>
        <v>0</v>
      </c>
      <c r="O66" s="458"/>
      <c r="P66" s="414">
        <f t="shared" si="8"/>
        <v>0</v>
      </c>
      <c r="Q66" s="458"/>
      <c r="R66" s="458"/>
    </row>
    <row r="67" spans="1:18" s="460" customFormat="1" ht="14.4" x14ac:dyDescent="0.3">
      <c r="A67" s="533"/>
      <c r="B67" s="536"/>
      <c r="C67" s="542"/>
      <c r="D67" s="539"/>
      <c r="E67" s="458"/>
      <c r="F67" s="458"/>
      <c r="G67" s="458"/>
      <c r="H67" s="414">
        <f t="shared" si="9"/>
        <v>0</v>
      </c>
      <c r="I67" s="414">
        <f t="shared" si="10"/>
        <v>0</v>
      </c>
      <c r="J67" s="459" t="s">
        <v>384</v>
      </c>
      <c r="K67" s="458"/>
      <c r="L67" s="458"/>
      <c r="M67" s="458"/>
      <c r="N67" s="414">
        <f t="shared" si="3"/>
        <v>0</v>
      </c>
      <c r="O67" s="458"/>
      <c r="P67" s="414">
        <f t="shared" si="8"/>
        <v>0</v>
      </c>
      <c r="Q67" s="458"/>
      <c r="R67" s="458"/>
    </row>
    <row r="68" spans="1:18" s="460" customFormat="1" ht="14.4" x14ac:dyDescent="0.3">
      <c r="A68" s="533"/>
      <c r="B68" s="536"/>
      <c r="C68" s="542"/>
      <c r="D68" s="539"/>
      <c r="E68" s="458"/>
      <c r="F68" s="458"/>
      <c r="G68" s="458"/>
      <c r="H68" s="414">
        <f t="shared" si="9"/>
        <v>0</v>
      </c>
      <c r="I68" s="414">
        <f t="shared" si="10"/>
        <v>0</v>
      </c>
      <c r="J68" s="459" t="s">
        <v>387</v>
      </c>
      <c r="K68" s="458"/>
      <c r="L68" s="458"/>
      <c r="M68" s="458"/>
      <c r="N68" s="414">
        <f t="shared" si="3"/>
        <v>0</v>
      </c>
      <c r="O68" s="458"/>
      <c r="P68" s="414">
        <f t="shared" si="8"/>
        <v>0</v>
      </c>
      <c r="Q68" s="458"/>
      <c r="R68" s="458"/>
    </row>
    <row r="69" spans="1:18" s="460" customFormat="1" ht="14.4" x14ac:dyDescent="0.3">
      <c r="A69" s="533"/>
      <c r="B69" s="536"/>
      <c r="C69" s="542"/>
      <c r="D69" s="539"/>
      <c r="E69" s="458"/>
      <c r="F69" s="458"/>
      <c r="G69" s="458"/>
      <c r="H69" s="414">
        <f t="shared" si="9"/>
        <v>0</v>
      </c>
      <c r="I69" s="414">
        <f t="shared" si="10"/>
        <v>0</v>
      </c>
      <c r="J69" s="459" t="s">
        <v>388</v>
      </c>
      <c r="K69" s="458"/>
      <c r="L69" s="458"/>
      <c r="M69" s="458"/>
      <c r="N69" s="414">
        <f t="shared" ref="N69:N132" si="11">+M69*K69</f>
        <v>0</v>
      </c>
      <c r="O69" s="458"/>
      <c r="P69" s="414">
        <f t="shared" si="8"/>
        <v>0</v>
      </c>
      <c r="Q69" s="458"/>
      <c r="R69" s="458"/>
    </row>
    <row r="70" spans="1:18" s="460" customFormat="1" ht="14.4" x14ac:dyDescent="0.3">
      <c r="A70" s="533"/>
      <c r="B70" s="537"/>
      <c r="C70" s="543"/>
      <c r="D70" s="540"/>
      <c r="E70" s="458"/>
      <c r="F70" s="458"/>
      <c r="G70" s="458"/>
      <c r="H70" s="414">
        <f t="shared" si="9"/>
        <v>0</v>
      </c>
      <c r="I70" s="414">
        <f t="shared" si="10"/>
        <v>0</v>
      </c>
      <c r="J70" s="459" t="s">
        <v>389</v>
      </c>
      <c r="K70" s="458"/>
      <c r="L70" s="458"/>
      <c r="M70" s="458"/>
      <c r="N70" s="414">
        <f t="shared" si="11"/>
        <v>0</v>
      </c>
      <c r="O70" s="458"/>
      <c r="P70" s="414">
        <f t="shared" si="8"/>
        <v>0</v>
      </c>
      <c r="Q70" s="458"/>
      <c r="R70" s="458"/>
    </row>
    <row r="71" spans="1:18" s="460" customFormat="1" ht="33" customHeight="1" x14ac:dyDescent="0.3">
      <c r="A71" s="533"/>
      <c r="B71" s="535" t="s">
        <v>26</v>
      </c>
      <c r="C71" s="538" t="s">
        <v>77</v>
      </c>
      <c r="D71" s="538" t="s">
        <v>76</v>
      </c>
      <c r="E71" s="458"/>
      <c r="F71" s="458"/>
      <c r="G71" s="458"/>
      <c r="H71" s="414">
        <f t="shared" si="9"/>
        <v>0</v>
      </c>
      <c r="I71" s="414">
        <f t="shared" si="10"/>
        <v>0</v>
      </c>
      <c r="J71" s="459" t="s">
        <v>377</v>
      </c>
      <c r="K71" s="458"/>
      <c r="L71" s="458"/>
      <c r="M71" s="458"/>
      <c r="N71" s="414">
        <f t="shared" si="11"/>
        <v>0</v>
      </c>
      <c r="O71" s="458"/>
      <c r="P71" s="414">
        <f t="shared" si="8"/>
        <v>0</v>
      </c>
      <c r="Q71" s="458"/>
      <c r="R71" s="458"/>
    </row>
    <row r="72" spans="1:18" s="460" customFormat="1" ht="14.4" x14ac:dyDescent="0.3">
      <c r="A72" s="533"/>
      <c r="B72" s="536"/>
      <c r="C72" s="539"/>
      <c r="D72" s="539"/>
      <c r="E72" s="458"/>
      <c r="F72" s="458"/>
      <c r="G72" s="458"/>
      <c r="H72" s="414">
        <f t="shared" si="9"/>
        <v>0</v>
      </c>
      <c r="I72" s="414">
        <f t="shared" si="10"/>
        <v>0</v>
      </c>
      <c r="J72" s="459" t="s">
        <v>385</v>
      </c>
      <c r="K72" s="458"/>
      <c r="L72" s="458"/>
      <c r="M72" s="458"/>
      <c r="N72" s="414">
        <f t="shared" si="11"/>
        <v>0</v>
      </c>
      <c r="O72" s="458"/>
      <c r="P72" s="414">
        <f t="shared" si="8"/>
        <v>0</v>
      </c>
      <c r="Q72" s="458"/>
      <c r="R72" s="458"/>
    </row>
    <row r="73" spans="1:18" s="460" customFormat="1" ht="14.4" x14ac:dyDescent="0.3">
      <c r="A73" s="533"/>
      <c r="B73" s="536"/>
      <c r="C73" s="539"/>
      <c r="D73" s="539"/>
      <c r="E73" s="458"/>
      <c r="F73" s="458"/>
      <c r="G73" s="458"/>
      <c r="H73" s="414">
        <f t="shared" si="9"/>
        <v>0</v>
      </c>
      <c r="I73" s="414">
        <f t="shared" si="10"/>
        <v>0</v>
      </c>
      <c r="J73" s="459" t="s">
        <v>384</v>
      </c>
      <c r="K73" s="458"/>
      <c r="L73" s="458"/>
      <c r="M73" s="458"/>
      <c r="N73" s="414">
        <f t="shared" si="11"/>
        <v>0</v>
      </c>
      <c r="O73" s="458"/>
      <c r="P73" s="414">
        <f t="shared" si="8"/>
        <v>0</v>
      </c>
      <c r="Q73" s="458"/>
      <c r="R73" s="458"/>
    </row>
    <row r="74" spans="1:18" s="460" customFormat="1" ht="14.4" x14ac:dyDescent="0.3">
      <c r="A74" s="533"/>
      <c r="B74" s="536"/>
      <c r="C74" s="539"/>
      <c r="D74" s="539"/>
      <c r="E74" s="458"/>
      <c r="F74" s="458"/>
      <c r="G74" s="458"/>
      <c r="H74" s="414">
        <f t="shared" si="9"/>
        <v>0</v>
      </c>
      <c r="I74" s="414">
        <f t="shared" si="10"/>
        <v>0</v>
      </c>
      <c r="J74" s="459" t="s">
        <v>387</v>
      </c>
      <c r="K74" s="458"/>
      <c r="L74" s="458"/>
      <c r="M74" s="458"/>
      <c r="N74" s="414">
        <f t="shared" si="11"/>
        <v>0</v>
      </c>
      <c r="O74" s="458"/>
      <c r="P74" s="414">
        <f t="shared" si="8"/>
        <v>0</v>
      </c>
      <c r="Q74" s="458"/>
      <c r="R74" s="458"/>
    </row>
    <row r="75" spans="1:18" s="460" customFormat="1" ht="14.4" x14ac:dyDescent="0.3">
      <c r="A75" s="533"/>
      <c r="B75" s="536"/>
      <c r="C75" s="539"/>
      <c r="D75" s="539"/>
      <c r="E75" s="458"/>
      <c r="F75" s="458"/>
      <c r="G75" s="458"/>
      <c r="H75" s="414">
        <f t="shared" si="9"/>
        <v>0</v>
      </c>
      <c r="I75" s="414">
        <f t="shared" si="10"/>
        <v>0</v>
      </c>
      <c r="J75" s="459" t="s">
        <v>388</v>
      </c>
      <c r="K75" s="458"/>
      <c r="L75" s="458"/>
      <c r="M75" s="458"/>
      <c r="N75" s="414">
        <f t="shared" si="11"/>
        <v>0</v>
      </c>
      <c r="O75" s="458"/>
      <c r="P75" s="414">
        <f t="shared" si="8"/>
        <v>0</v>
      </c>
      <c r="Q75" s="458"/>
      <c r="R75" s="458"/>
    </row>
    <row r="76" spans="1:18" s="460" customFormat="1" ht="14.4" x14ac:dyDescent="0.3">
      <c r="A76" s="533"/>
      <c r="B76" s="536"/>
      <c r="C76" s="539"/>
      <c r="D76" s="539"/>
      <c r="E76" s="458"/>
      <c r="F76" s="458"/>
      <c r="G76" s="458"/>
      <c r="H76" s="414">
        <f t="shared" si="9"/>
        <v>0</v>
      </c>
      <c r="I76" s="414">
        <f t="shared" si="10"/>
        <v>0</v>
      </c>
      <c r="J76" s="459" t="s">
        <v>389</v>
      </c>
      <c r="K76" s="458"/>
      <c r="L76" s="458"/>
      <c r="M76" s="458"/>
      <c r="N76" s="414">
        <f t="shared" si="11"/>
        <v>0</v>
      </c>
      <c r="O76" s="458"/>
      <c r="P76" s="414">
        <f t="shared" si="8"/>
        <v>0</v>
      </c>
      <c r="Q76" s="458"/>
      <c r="R76" s="458"/>
    </row>
    <row r="77" spans="1:18" s="460" customFormat="1" ht="14.4" x14ac:dyDescent="0.3">
      <c r="A77" s="533"/>
      <c r="B77" s="537"/>
      <c r="C77" s="540"/>
      <c r="D77" s="540"/>
      <c r="E77" s="458"/>
      <c r="F77" s="458"/>
      <c r="G77" s="458"/>
      <c r="H77" s="414">
        <f t="shared" si="9"/>
        <v>0</v>
      </c>
      <c r="I77" s="414">
        <f t="shared" si="10"/>
        <v>0</v>
      </c>
      <c r="J77" s="459" t="s">
        <v>390</v>
      </c>
      <c r="K77" s="458"/>
      <c r="L77" s="458"/>
      <c r="M77" s="458"/>
      <c r="N77" s="414">
        <f t="shared" si="11"/>
        <v>0</v>
      </c>
      <c r="O77" s="458"/>
      <c r="P77" s="414">
        <f t="shared" si="8"/>
        <v>0</v>
      </c>
      <c r="Q77" s="458"/>
      <c r="R77" s="458"/>
    </row>
    <row r="78" spans="1:18" s="460" customFormat="1" ht="14.4" x14ac:dyDescent="0.3">
      <c r="A78" s="533"/>
      <c r="B78" s="535" t="s">
        <v>66</v>
      </c>
      <c r="C78" s="550" t="s">
        <v>72</v>
      </c>
      <c r="D78" s="547" t="s">
        <v>356</v>
      </c>
      <c r="E78" s="458"/>
      <c r="F78" s="458"/>
      <c r="G78" s="458"/>
      <c r="H78" s="414">
        <f t="shared" si="9"/>
        <v>0</v>
      </c>
      <c r="I78" s="414">
        <f t="shared" si="10"/>
        <v>0</v>
      </c>
      <c r="J78" s="459" t="s">
        <v>379</v>
      </c>
      <c r="K78" s="458"/>
      <c r="L78" s="458"/>
      <c r="M78" s="458"/>
      <c r="N78" s="414">
        <f t="shared" si="11"/>
        <v>0</v>
      </c>
      <c r="O78" s="458"/>
      <c r="P78" s="414">
        <f t="shared" si="8"/>
        <v>0</v>
      </c>
      <c r="Q78" s="458"/>
      <c r="R78" s="458"/>
    </row>
    <row r="79" spans="1:18" s="460" customFormat="1" ht="14.4" x14ac:dyDescent="0.3">
      <c r="A79" s="533"/>
      <c r="B79" s="536"/>
      <c r="C79" s="551"/>
      <c r="D79" s="548"/>
      <c r="E79" s="458"/>
      <c r="F79" s="458"/>
      <c r="G79" s="458"/>
      <c r="H79" s="414">
        <f t="shared" si="9"/>
        <v>0</v>
      </c>
      <c r="I79" s="414">
        <f t="shared" si="10"/>
        <v>0</v>
      </c>
      <c r="J79" s="459" t="s">
        <v>385</v>
      </c>
      <c r="K79" s="458"/>
      <c r="L79" s="458"/>
      <c r="M79" s="458"/>
      <c r="N79" s="414">
        <f t="shared" si="11"/>
        <v>0</v>
      </c>
      <c r="O79" s="458"/>
      <c r="P79" s="414">
        <f t="shared" si="8"/>
        <v>0</v>
      </c>
      <c r="Q79" s="458"/>
      <c r="R79" s="458"/>
    </row>
    <row r="80" spans="1:18" s="460" customFormat="1" ht="14.4" x14ac:dyDescent="0.3">
      <c r="A80" s="533"/>
      <c r="B80" s="536"/>
      <c r="C80" s="551"/>
      <c r="D80" s="548"/>
      <c r="E80" s="458"/>
      <c r="F80" s="458"/>
      <c r="G80" s="458"/>
      <c r="H80" s="414">
        <f t="shared" si="9"/>
        <v>0</v>
      </c>
      <c r="I80" s="414">
        <f t="shared" si="10"/>
        <v>0</v>
      </c>
      <c r="J80" s="459" t="s">
        <v>384</v>
      </c>
      <c r="K80" s="458"/>
      <c r="L80" s="458"/>
      <c r="M80" s="458"/>
      <c r="N80" s="414">
        <f t="shared" si="11"/>
        <v>0</v>
      </c>
      <c r="O80" s="462"/>
      <c r="P80" s="414">
        <f t="shared" ref="P80:P138" si="12">+N80*O80</f>
        <v>0</v>
      </c>
      <c r="Q80" s="458"/>
      <c r="R80" s="458"/>
    </row>
    <row r="81" spans="1:20" s="460" customFormat="1" ht="14.4" x14ac:dyDescent="0.3">
      <c r="A81" s="533"/>
      <c r="B81" s="536"/>
      <c r="C81" s="551"/>
      <c r="D81" s="548"/>
      <c r="E81" s="458"/>
      <c r="F81" s="458"/>
      <c r="G81" s="458"/>
      <c r="H81" s="414">
        <f t="shared" si="9"/>
        <v>0</v>
      </c>
      <c r="I81" s="414">
        <f t="shared" si="10"/>
        <v>0</v>
      </c>
      <c r="J81" s="459" t="s">
        <v>387</v>
      </c>
      <c r="K81" s="458"/>
      <c r="L81" s="458"/>
      <c r="M81" s="458"/>
      <c r="N81" s="414">
        <f t="shared" si="11"/>
        <v>0</v>
      </c>
      <c r="O81" s="458"/>
      <c r="P81" s="414">
        <f t="shared" si="12"/>
        <v>0</v>
      </c>
      <c r="Q81" s="458"/>
      <c r="R81" s="458"/>
    </row>
    <row r="82" spans="1:20" s="460" customFormat="1" ht="14.4" x14ac:dyDescent="0.3">
      <c r="A82" s="533"/>
      <c r="B82" s="536"/>
      <c r="C82" s="551"/>
      <c r="D82" s="548"/>
      <c r="E82" s="458"/>
      <c r="F82" s="458"/>
      <c r="G82" s="458"/>
      <c r="H82" s="414">
        <f t="shared" si="9"/>
        <v>0</v>
      </c>
      <c r="I82" s="414">
        <f t="shared" si="10"/>
        <v>0</v>
      </c>
      <c r="J82" s="459" t="s">
        <v>388</v>
      </c>
      <c r="K82" s="458"/>
      <c r="L82" s="458"/>
      <c r="M82" s="458"/>
      <c r="N82" s="414">
        <f t="shared" si="11"/>
        <v>0</v>
      </c>
      <c r="O82" s="458"/>
      <c r="P82" s="414">
        <f t="shared" si="12"/>
        <v>0</v>
      </c>
      <c r="Q82" s="458"/>
      <c r="R82" s="458"/>
    </row>
    <row r="83" spans="1:20" s="460" customFormat="1" ht="14.4" x14ac:dyDescent="0.3">
      <c r="A83" s="533"/>
      <c r="B83" s="537"/>
      <c r="C83" s="552"/>
      <c r="D83" s="549"/>
      <c r="E83" s="458"/>
      <c r="F83" s="458"/>
      <c r="G83" s="458"/>
      <c r="H83" s="414">
        <f t="shared" si="9"/>
        <v>0</v>
      </c>
      <c r="I83" s="414">
        <f t="shared" si="10"/>
        <v>0</v>
      </c>
      <c r="J83" s="459" t="s">
        <v>389</v>
      </c>
      <c r="K83" s="458"/>
      <c r="L83" s="458"/>
      <c r="M83" s="458"/>
      <c r="N83" s="414">
        <f t="shared" si="11"/>
        <v>0</v>
      </c>
      <c r="O83" s="458"/>
      <c r="P83" s="414">
        <f t="shared" si="12"/>
        <v>0</v>
      </c>
      <c r="Q83" s="458"/>
      <c r="R83" s="458"/>
    </row>
    <row r="84" spans="1:20" s="460" customFormat="1" ht="33" customHeight="1" x14ac:dyDescent="0.3">
      <c r="A84" s="533"/>
      <c r="B84" s="535" t="s">
        <v>27</v>
      </c>
      <c r="C84" s="541" t="s">
        <v>77</v>
      </c>
      <c r="D84" s="538" t="s">
        <v>76</v>
      </c>
      <c r="E84" s="458"/>
      <c r="F84" s="458"/>
      <c r="G84" s="458"/>
      <c r="H84" s="414">
        <f t="shared" si="9"/>
        <v>0</v>
      </c>
      <c r="I84" s="414">
        <f t="shared" si="10"/>
        <v>0</v>
      </c>
      <c r="J84" s="459" t="s">
        <v>380</v>
      </c>
      <c r="K84" s="458"/>
      <c r="L84" s="458"/>
      <c r="M84" s="458"/>
      <c r="N84" s="414">
        <f t="shared" si="11"/>
        <v>0</v>
      </c>
      <c r="O84" s="458"/>
      <c r="P84" s="414">
        <f t="shared" si="12"/>
        <v>0</v>
      </c>
      <c r="Q84" s="458"/>
      <c r="R84" s="458"/>
    </row>
    <row r="85" spans="1:20" s="460" customFormat="1" ht="14.4" x14ac:dyDescent="0.3">
      <c r="A85" s="533"/>
      <c r="B85" s="536"/>
      <c r="C85" s="542"/>
      <c r="D85" s="539"/>
      <c r="E85" s="458"/>
      <c r="F85" s="458"/>
      <c r="G85" s="458"/>
      <c r="H85" s="414">
        <f t="shared" si="9"/>
        <v>0</v>
      </c>
      <c r="I85" s="414">
        <f t="shared" si="10"/>
        <v>0</v>
      </c>
      <c r="J85" s="459" t="s">
        <v>385</v>
      </c>
      <c r="K85" s="458"/>
      <c r="L85" s="458"/>
      <c r="M85" s="458"/>
      <c r="N85" s="414">
        <f t="shared" si="11"/>
        <v>0</v>
      </c>
      <c r="O85" s="458"/>
      <c r="P85" s="414">
        <f t="shared" si="12"/>
        <v>0</v>
      </c>
      <c r="Q85" s="458"/>
      <c r="R85" s="458"/>
    </row>
    <row r="86" spans="1:20" s="460" customFormat="1" ht="14.4" x14ac:dyDescent="0.3">
      <c r="A86" s="533"/>
      <c r="B86" s="536"/>
      <c r="C86" s="542"/>
      <c r="D86" s="539"/>
      <c r="E86" s="458"/>
      <c r="F86" s="458"/>
      <c r="G86" s="458"/>
      <c r="H86" s="414">
        <f t="shared" si="9"/>
        <v>0</v>
      </c>
      <c r="I86" s="414">
        <f t="shared" si="10"/>
        <v>0</v>
      </c>
      <c r="J86" s="459" t="s">
        <v>384</v>
      </c>
      <c r="K86" s="458"/>
      <c r="L86" s="458"/>
      <c r="M86" s="458"/>
      <c r="N86" s="414">
        <f t="shared" si="11"/>
        <v>0</v>
      </c>
      <c r="O86" s="458"/>
      <c r="P86" s="414">
        <f t="shared" si="12"/>
        <v>0</v>
      </c>
      <c r="Q86" s="458"/>
      <c r="R86" s="458"/>
    </row>
    <row r="87" spans="1:20" s="460" customFormat="1" ht="14.4" x14ac:dyDescent="0.3">
      <c r="A87" s="533"/>
      <c r="B87" s="536"/>
      <c r="C87" s="542"/>
      <c r="D87" s="539"/>
      <c r="E87" s="458"/>
      <c r="F87" s="458"/>
      <c r="G87" s="458"/>
      <c r="H87" s="414">
        <f t="shared" si="9"/>
        <v>0</v>
      </c>
      <c r="I87" s="414">
        <f t="shared" si="10"/>
        <v>0</v>
      </c>
      <c r="J87" s="459" t="s">
        <v>387</v>
      </c>
      <c r="K87" s="458"/>
      <c r="L87" s="458"/>
      <c r="M87" s="458"/>
      <c r="N87" s="414">
        <f t="shared" si="11"/>
        <v>0</v>
      </c>
      <c r="O87" s="458"/>
      <c r="P87" s="414">
        <f t="shared" si="12"/>
        <v>0</v>
      </c>
      <c r="Q87" s="458"/>
      <c r="R87" s="458"/>
    </row>
    <row r="88" spans="1:20" s="460" customFormat="1" ht="14.4" x14ac:dyDescent="0.3">
      <c r="A88" s="533"/>
      <c r="B88" s="536"/>
      <c r="C88" s="542"/>
      <c r="D88" s="539"/>
      <c r="E88" s="458"/>
      <c r="F88" s="458"/>
      <c r="G88" s="458"/>
      <c r="H88" s="414">
        <f t="shared" si="9"/>
        <v>0</v>
      </c>
      <c r="I88" s="414">
        <f t="shared" si="10"/>
        <v>0</v>
      </c>
      <c r="J88" s="459" t="s">
        <v>388</v>
      </c>
      <c r="K88" s="458"/>
      <c r="L88" s="458"/>
      <c r="M88" s="458"/>
      <c r="N88" s="414">
        <f t="shared" si="11"/>
        <v>0</v>
      </c>
      <c r="O88" s="458"/>
      <c r="P88" s="414">
        <f t="shared" si="12"/>
        <v>0</v>
      </c>
      <c r="Q88" s="458"/>
      <c r="R88" s="458"/>
    </row>
    <row r="89" spans="1:20" s="460" customFormat="1" ht="14.4" x14ac:dyDescent="0.3">
      <c r="A89" s="533"/>
      <c r="B89" s="537"/>
      <c r="C89" s="543"/>
      <c r="D89" s="540"/>
      <c r="E89" s="458"/>
      <c r="F89" s="458"/>
      <c r="G89" s="458"/>
      <c r="H89" s="414">
        <f t="shared" si="9"/>
        <v>0</v>
      </c>
      <c r="I89" s="414">
        <f t="shared" si="10"/>
        <v>0</v>
      </c>
      <c r="J89" s="459" t="s">
        <v>389</v>
      </c>
      <c r="K89" s="458"/>
      <c r="L89" s="458"/>
      <c r="M89" s="458"/>
      <c r="N89" s="414">
        <f t="shared" si="11"/>
        <v>0</v>
      </c>
      <c r="O89" s="458"/>
      <c r="P89" s="414">
        <f t="shared" si="12"/>
        <v>0</v>
      </c>
      <c r="Q89" s="458"/>
      <c r="R89" s="458"/>
    </row>
    <row r="90" spans="1:20" s="460" customFormat="1" ht="33" customHeight="1" x14ac:dyDescent="0.3">
      <c r="A90" s="533"/>
      <c r="B90" s="544" t="s">
        <v>355</v>
      </c>
      <c r="C90" s="541" t="s">
        <v>77</v>
      </c>
      <c r="D90" s="547" t="s">
        <v>357</v>
      </c>
      <c r="E90" s="458"/>
      <c r="F90" s="458"/>
      <c r="G90" s="458"/>
      <c r="H90" s="414">
        <f t="shared" si="9"/>
        <v>0</v>
      </c>
      <c r="I90" s="414">
        <f t="shared" si="10"/>
        <v>0</v>
      </c>
      <c r="J90" s="459" t="s">
        <v>348</v>
      </c>
      <c r="K90" s="458"/>
      <c r="L90" s="458"/>
      <c r="M90" s="458"/>
      <c r="N90" s="414">
        <f t="shared" si="11"/>
        <v>0</v>
      </c>
      <c r="O90" s="458"/>
      <c r="P90" s="414">
        <f t="shared" si="12"/>
        <v>0</v>
      </c>
      <c r="Q90" s="458"/>
      <c r="R90" s="458"/>
    </row>
    <row r="91" spans="1:20" s="460" customFormat="1" ht="14.4" x14ac:dyDescent="0.3">
      <c r="A91" s="533"/>
      <c r="B91" s="545"/>
      <c r="C91" s="542"/>
      <c r="D91" s="548"/>
      <c r="E91" s="458"/>
      <c r="F91" s="458"/>
      <c r="G91" s="458"/>
      <c r="H91" s="414">
        <f t="shared" si="9"/>
        <v>0</v>
      </c>
      <c r="I91" s="414">
        <f t="shared" si="10"/>
        <v>0</v>
      </c>
      <c r="J91" s="459" t="s">
        <v>385</v>
      </c>
      <c r="K91" s="458"/>
      <c r="L91" s="458"/>
      <c r="M91" s="458"/>
      <c r="N91" s="414">
        <f t="shared" si="11"/>
        <v>0</v>
      </c>
      <c r="O91" s="458"/>
      <c r="P91" s="414">
        <f t="shared" si="12"/>
        <v>0</v>
      </c>
      <c r="Q91" s="458"/>
      <c r="R91" s="458"/>
    </row>
    <row r="92" spans="1:20" s="460" customFormat="1" ht="14.4" x14ac:dyDescent="0.3">
      <c r="A92" s="533"/>
      <c r="B92" s="545"/>
      <c r="C92" s="542"/>
      <c r="D92" s="548"/>
      <c r="E92" s="458"/>
      <c r="F92" s="458"/>
      <c r="G92" s="458"/>
      <c r="H92" s="414">
        <f t="shared" si="9"/>
        <v>0</v>
      </c>
      <c r="I92" s="414">
        <f t="shared" si="10"/>
        <v>0</v>
      </c>
      <c r="J92" s="459" t="s">
        <v>384</v>
      </c>
      <c r="K92" s="458"/>
      <c r="L92" s="458"/>
      <c r="M92" s="458"/>
      <c r="N92" s="414">
        <f t="shared" si="11"/>
        <v>0</v>
      </c>
      <c r="O92" s="458"/>
      <c r="P92" s="414">
        <f t="shared" si="12"/>
        <v>0</v>
      </c>
      <c r="Q92" s="458"/>
      <c r="R92" s="458"/>
    </row>
    <row r="93" spans="1:20" s="460" customFormat="1" ht="14.4" x14ac:dyDescent="0.3">
      <c r="A93" s="533"/>
      <c r="B93" s="545"/>
      <c r="C93" s="542"/>
      <c r="D93" s="548"/>
      <c r="E93" s="458"/>
      <c r="F93" s="458"/>
      <c r="G93" s="458"/>
      <c r="H93" s="414">
        <f t="shared" si="9"/>
        <v>0</v>
      </c>
      <c r="I93" s="414">
        <f t="shared" si="10"/>
        <v>0</v>
      </c>
      <c r="J93" s="459" t="s">
        <v>387</v>
      </c>
      <c r="K93" s="458"/>
      <c r="L93" s="458"/>
      <c r="M93" s="458"/>
      <c r="N93" s="414">
        <f t="shared" si="11"/>
        <v>0</v>
      </c>
      <c r="O93" s="458"/>
      <c r="P93" s="414">
        <f t="shared" si="12"/>
        <v>0</v>
      </c>
      <c r="Q93" s="458"/>
      <c r="R93" s="458"/>
    </row>
    <row r="94" spans="1:20" s="460" customFormat="1" ht="14.4" x14ac:dyDescent="0.3">
      <c r="A94" s="533"/>
      <c r="B94" s="545"/>
      <c r="C94" s="542"/>
      <c r="D94" s="548"/>
      <c r="E94" s="458"/>
      <c r="F94" s="458"/>
      <c r="G94" s="458"/>
      <c r="H94" s="414">
        <f t="shared" si="9"/>
        <v>0</v>
      </c>
      <c r="I94" s="414">
        <f t="shared" si="10"/>
        <v>0</v>
      </c>
      <c r="J94" s="459" t="s">
        <v>388</v>
      </c>
      <c r="K94" s="458"/>
      <c r="L94" s="458"/>
      <c r="M94" s="458"/>
      <c r="N94" s="414">
        <f t="shared" si="11"/>
        <v>0</v>
      </c>
      <c r="O94" s="458"/>
      <c r="P94" s="414">
        <f t="shared" si="12"/>
        <v>0</v>
      </c>
      <c r="Q94" s="458"/>
      <c r="R94" s="458"/>
    </row>
    <row r="95" spans="1:20" s="460" customFormat="1" ht="15" thickBot="1" x14ac:dyDescent="0.35">
      <c r="A95" s="534"/>
      <c r="B95" s="546"/>
      <c r="C95" s="543"/>
      <c r="D95" s="549"/>
      <c r="E95" s="458"/>
      <c r="F95" s="458"/>
      <c r="G95" s="458"/>
      <c r="H95" s="414">
        <f t="shared" si="9"/>
        <v>0</v>
      </c>
      <c r="I95" s="414">
        <f t="shared" si="10"/>
        <v>0</v>
      </c>
      <c r="J95" s="459" t="s">
        <v>389</v>
      </c>
      <c r="K95" s="458"/>
      <c r="L95" s="458"/>
      <c r="M95" s="458"/>
      <c r="N95" s="414">
        <f t="shared" si="11"/>
        <v>0</v>
      </c>
      <c r="O95" s="458"/>
      <c r="P95" s="414">
        <f t="shared" si="12"/>
        <v>0</v>
      </c>
      <c r="Q95" s="458"/>
      <c r="R95" s="458"/>
    </row>
    <row r="96" spans="1:20" ht="23.25" customHeight="1" x14ac:dyDescent="0.3">
      <c r="A96" s="482" t="s">
        <v>28</v>
      </c>
      <c r="B96" s="490" t="s">
        <v>29</v>
      </c>
      <c r="C96" s="476" t="s">
        <v>78</v>
      </c>
      <c r="D96" s="469" t="s">
        <v>79</v>
      </c>
      <c r="E96" s="414"/>
      <c r="F96" s="414"/>
      <c r="G96" s="414"/>
      <c r="H96" s="414">
        <f t="shared" ref="H96:H129" si="13">+E96*F96*G96</f>
        <v>0</v>
      </c>
      <c r="I96" s="414">
        <f t="shared" ref="I96:I129" si="14">+H96*E$1</f>
        <v>0</v>
      </c>
      <c r="J96" s="423" t="s">
        <v>383</v>
      </c>
      <c r="K96" s="414"/>
      <c r="L96" s="414"/>
      <c r="M96" s="414"/>
      <c r="N96" s="414">
        <f t="shared" si="11"/>
        <v>0</v>
      </c>
      <c r="O96" s="414"/>
      <c r="P96" s="414">
        <f t="shared" si="12"/>
        <v>0</v>
      </c>
      <c r="Q96" s="507" t="s">
        <v>339</v>
      </c>
      <c r="R96" s="508"/>
      <c r="S96" s="509"/>
      <c r="T96" s="510"/>
    </row>
    <row r="97" spans="1:20" ht="23.25" customHeight="1" x14ac:dyDescent="0.3">
      <c r="A97" s="483"/>
      <c r="B97" s="516"/>
      <c r="C97" s="477"/>
      <c r="D97" s="470"/>
      <c r="E97" s="414"/>
      <c r="F97" s="414"/>
      <c r="G97" s="414"/>
      <c r="H97" s="414">
        <f t="shared" si="13"/>
        <v>0</v>
      </c>
      <c r="I97" s="414">
        <f t="shared" si="14"/>
        <v>0</v>
      </c>
      <c r="J97" s="423" t="s">
        <v>303</v>
      </c>
      <c r="K97" s="414"/>
      <c r="L97" s="414"/>
      <c r="M97" s="414"/>
      <c r="N97" s="414">
        <f t="shared" si="11"/>
        <v>0</v>
      </c>
      <c r="O97" s="414"/>
      <c r="P97" s="414">
        <f t="shared" si="12"/>
        <v>0</v>
      </c>
      <c r="Q97" s="507"/>
      <c r="R97" s="508"/>
      <c r="S97" s="508"/>
      <c r="T97" s="511"/>
    </row>
    <row r="98" spans="1:20" ht="23.25" customHeight="1" x14ac:dyDescent="0.3">
      <c r="A98" s="483"/>
      <c r="B98" s="516"/>
      <c r="C98" s="477"/>
      <c r="D98" s="470"/>
      <c r="E98" s="414"/>
      <c r="F98" s="414"/>
      <c r="G98" s="414"/>
      <c r="H98" s="414">
        <f t="shared" si="13"/>
        <v>0</v>
      </c>
      <c r="I98" s="414">
        <f t="shared" si="14"/>
        <v>0</v>
      </c>
      <c r="J98" s="423" t="s">
        <v>384</v>
      </c>
      <c r="K98" s="414"/>
      <c r="L98" s="414"/>
      <c r="M98" s="414"/>
      <c r="N98" s="414">
        <f t="shared" si="11"/>
        <v>0</v>
      </c>
      <c r="O98" s="414"/>
      <c r="P98" s="414">
        <f t="shared" si="12"/>
        <v>0</v>
      </c>
      <c r="Q98" s="507"/>
      <c r="R98" s="508"/>
      <c r="S98" s="508"/>
      <c r="T98" s="511"/>
    </row>
    <row r="99" spans="1:20" ht="23.25" customHeight="1" x14ac:dyDescent="0.3">
      <c r="A99" s="483"/>
      <c r="B99" s="516"/>
      <c r="C99" s="477"/>
      <c r="D99" s="470"/>
      <c r="E99" s="414"/>
      <c r="F99" s="414"/>
      <c r="G99" s="414"/>
      <c r="H99" s="414">
        <f t="shared" si="13"/>
        <v>0</v>
      </c>
      <c r="I99" s="414">
        <f t="shared" si="14"/>
        <v>0</v>
      </c>
      <c r="J99" s="423" t="s">
        <v>342</v>
      </c>
      <c r="K99" s="414"/>
      <c r="L99" s="414"/>
      <c r="M99" s="414"/>
      <c r="N99" s="414">
        <f t="shared" si="11"/>
        <v>0</v>
      </c>
      <c r="O99" s="414"/>
      <c r="P99" s="414">
        <f t="shared" si="12"/>
        <v>0</v>
      </c>
      <c r="Q99" s="507"/>
      <c r="R99" s="508"/>
      <c r="S99" s="508"/>
      <c r="T99" s="511"/>
    </row>
    <row r="100" spans="1:20" ht="23.25" customHeight="1" x14ac:dyDescent="0.3">
      <c r="A100" s="484"/>
      <c r="B100" s="491"/>
      <c r="C100" s="477"/>
      <c r="D100" s="471"/>
      <c r="E100" s="414"/>
      <c r="F100" s="414"/>
      <c r="G100" s="414"/>
      <c r="H100" s="414">
        <f t="shared" si="13"/>
        <v>0</v>
      </c>
      <c r="I100" s="414">
        <f t="shared" si="14"/>
        <v>0</v>
      </c>
      <c r="J100" s="423" t="s">
        <v>333</v>
      </c>
      <c r="K100" s="414"/>
      <c r="L100" s="414"/>
      <c r="M100" s="414"/>
      <c r="N100" s="414">
        <f t="shared" si="11"/>
        <v>0</v>
      </c>
      <c r="O100" s="414"/>
      <c r="P100" s="414">
        <f t="shared" si="12"/>
        <v>0</v>
      </c>
      <c r="Q100" s="507"/>
      <c r="R100" s="508"/>
      <c r="S100" s="508"/>
      <c r="T100" s="511"/>
    </row>
    <row r="101" spans="1:20" ht="23.25" customHeight="1" x14ac:dyDescent="0.3">
      <c r="A101" s="482" t="s">
        <v>30</v>
      </c>
      <c r="B101" s="490" t="s">
        <v>31</v>
      </c>
      <c r="C101" s="477"/>
      <c r="D101" s="469" t="s">
        <v>76</v>
      </c>
      <c r="E101" s="414"/>
      <c r="F101" s="414"/>
      <c r="G101" s="414"/>
      <c r="H101" s="414">
        <f t="shared" si="13"/>
        <v>0</v>
      </c>
      <c r="I101" s="414">
        <f t="shared" si="14"/>
        <v>0</v>
      </c>
      <c r="J101" s="423" t="s">
        <v>313</v>
      </c>
      <c r="K101" s="414"/>
      <c r="L101" s="414"/>
      <c r="M101" s="414"/>
      <c r="N101" s="414">
        <f t="shared" si="11"/>
        <v>0</v>
      </c>
      <c r="O101" s="414"/>
      <c r="P101" s="414">
        <f t="shared" si="12"/>
        <v>0</v>
      </c>
      <c r="Q101" s="507"/>
      <c r="R101" s="508"/>
      <c r="S101" s="508"/>
      <c r="T101" s="511"/>
    </row>
    <row r="102" spans="1:20" ht="23.25" customHeight="1" x14ac:dyDescent="0.3">
      <c r="A102" s="483"/>
      <c r="B102" s="516"/>
      <c r="C102" s="477"/>
      <c r="D102" s="470"/>
      <c r="E102" s="414"/>
      <c r="F102" s="414"/>
      <c r="G102" s="414"/>
      <c r="H102" s="414">
        <f t="shared" si="13"/>
        <v>0</v>
      </c>
      <c r="I102" s="414">
        <f t="shared" si="14"/>
        <v>0</v>
      </c>
      <c r="J102" s="423" t="s">
        <v>303</v>
      </c>
      <c r="K102" s="414"/>
      <c r="L102" s="414"/>
      <c r="M102" s="414"/>
      <c r="N102" s="414">
        <f t="shared" si="11"/>
        <v>0</v>
      </c>
      <c r="O102" s="414"/>
      <c r="P102" s="414">
        <f t="shared" si="12"/>
        <v>0</v>
      </c>
      <c r="Q102" s="507"/>
      <c r="R102" s="508"/>
      <c r="S102" s="508"/>
      <c r="T102" s="511"/>
    </row>
    <row r="103" spans="1:20" ht="23.25" customHeight="1" x14ac:dyDescent="0.3">
      <c r="A103" s="483"/>
      <c r="B103" s="516"/>
      <c r="C103" s="477"/>
      <c r="D103" s="470"/>
      <c r="E103" s="414"/>
      <c r="F103" s="414"/>
      <c r="G103" s="414"/>
      <c r="H103" s="414">
        <f t="shared" si="13"/>
        <v>0</v>
      </c>
      <c r="I103" s="414">
        <f t="shared" si="14"/>
        <v>0</v>
      </c>
      <c r="J103" s="423" t="s">
        <v>341</v>
      </c>
      <c r="K103" s="414"/>
      <c r="L103" s="414"/>
      <c r="M103" s="414"/>
      <c r="N103" s="414">
        <f t="shared" si="11"/>
        <v>0</v>
      </c>
      <c r="O103" s="414"/>
      <c r="P103" s="414">
        <f t="shared" si="12"/>
        <v>0</v>
      </c>
      <c r="Q103" s="507"/>
      <c r="R103" s="508"/>
      <c r="S103" s="508"/>
      <c r="T103" s="511"/>
    </row>
    <row r="104" spans="1:20" ht="23.25" customHeight="1" x14ac:dyDescent="0.3">
      <c r="A104" s="483"/>
      <c r="B104" s="516"/>
      <c r="C104" s="477"/>
      <c r="D104" s="470"/>
      <c r="E104" s="414"/>
      <c r="F104" s="414"/>
      <c r="G104" s="414"/>
      <c r="H104" s="414">
        <f t="shared" si="13"/>
        <v>0</v>
      </c>
      <c r="I104" s="414">
        <f t="shared" si="14"/>
        <v>0</v>
      </c>
      <c r="J104" s="423" t="s">
        <v>342</v>
      </c>
      <c r="K104" s="414"/>
      <c r="L104" s="414"/>
      <c r="M104" s="414"/>
      <c r="N104" s="414">
        <f t="shared" si="11"/>
        <v>0</v>
      </c>
      <c r="O104" s="414"/>
      <c r="P104" s="414">
        <f t="shared" si="12"/>
        <v>0</v>
      </c>
      <c r="Q104" s="507"/>
      <c r="R104" s="508"/>
      <c r="S104" s="508"/>
      <c r="T104" s="511"/>
    </row>
    <row r="105" spans="1:20" ht="23.25" customHeight="1" thickBot="1" x14ac:dyDescent="0.35">
      <c r="A105" s="484"/>
      <c r="B105" s="491"/>
      <c r="C105" s="478"/>
      <c r="D105" s="471"/>
      <c r="E105" s="414"/>
      <c r="F105" s="414"/>
      <c r="G105" s="414"/>
      <c r="H105" s="414">
        <f t="shared" si="13"/>
        <v>0</v>
      </c>
      <c r="I105" s="414">
        <f t="shared" si="14"/>
        <v>0</v>
      </c>
      <c r="J105" s="423" t="s">
        <v>333</v>
      </c>
      <c r="K105" s="414"/>
      <c r="L105" s="414"/>
      <c r="M105" s="414"/>
      <c r="N105" s="414">
        <f t="shared" si="11"/>
        <v>0</v>
      </c>
      <c r="O105" s="414"/>
      <c r="P105" s="414">
        <f t="shared" si="12"/>
        <v>0</v>
      </c>
      <c r="Q105" s="512"/>
      <c r="R105" s="513"/>
      <c r="S105" s="513"/>
      <c r="T105" s="514"/>
    </row>
    <row r="106" spans="1:20" ht="33" customHeight="1" x14ac:dyDescent="0.3">
      <c r="A106" s="482" t="s">
        <v>32</v>
      </c>
      <c r="B106" s="479" t="s">
        <v>33</v>
      </c>
      <c r="C106" s="476" t="s">
        <v>77</v>
      </c>
      <c r="D106" s="414" t="s">
        <v>76</v>
      </c>
      <c r="E106" s="414"/>
      <c r="F106" s="414"/>
      <c r="G106" s="414"/>
      <c r="H106" s="414">
        <f t="shared" si="13"/>
        <v>0</v>
      </c>
      <c r="I106" s="414">
        <f t="shared" si="14"/>
        <v>0</v>
      </c>
      <c r="J106" s="423" t="s">
        <v>344</v>
      </c>
      <c r="K106" s="414"/>
      <c r="L106" s="414"/>
      <c r="M106" s="414"/>
      <c r="N106" s="414">
        <f t="shared" si="11"/>
        <v>0</v>
      </c>
      <c r="O106" s="414"/>
      <c r="P106" s="414">
        <f t="shared" si="12"/>
        <v>0</v>
      </c>
      <c r="Q106" s="414"/>
      <c r="R106" s="414"/>
    </row>
    <row r="107" spans="1:20" ht="14.4" x14ac:dyDescent="0.3">
      <c r="A107" s="483"/>
      <c r="B107" s="480"/>
      <c r="C107" s="477"/>
      <c r="D107" s="414"/>
      <c r="E107" s="414"/>
      <c r="F107" s="414"/>
      <c r="G107" s="414"/>
      <c r="H107" s="414">
        <f t="shared" si="13"/>
        <v>0</v>
      </c>
      <c r="I107" s="414">
        <f t="shared" si="14"/>
        <v>0</v>
      </c>
      <c r="J107" s="423" t="s">
        <v>345</v>
      </c>
      <c r="K107" s="414"/>
      <c r="L107" s="414"/>
      <c r="M107" s="414"/>
      <c r="N107" s="414">
        <f t="shared" si="11"/>
        <v>0</v>
      </c>
      <c r="O107" s="414"/>
      <c r="P107" s="414">
        <f t="shared" si="12"/>
        <v>0</v>
      </c>
      <c r="Q107" s="414"/>
      <c r="R107" s="414"/>
    </row>
    <row r="108" spans="1:20" ht="14.4" x14ac:dyDescent="0.3">
      <c r="A108" s="484"/>
      <c r="B108" s="481"/>
      <c r="C108" s="478"/>
      <c r="D108" s="414"/>
      <c r="E108" s="414"/>
      <c r="F108" s="414"/>
      <c r="G108" s="414"/>
      <c r="H108" s="414">
        <f t="shared" si="13"/>
        <v>0</v>
      </c>
      <c r="I108" s="414">
        <f t="shared" si="14"/>
        <v>0</v>
      </c>
      <c r="J108" s="423" t="s">
        <v>346</v>
      </c>
      <c r="K108" s="414"/>
      <c r="L108" s="414"/>
      <c r="M108" s="414"/>
      <c r="N108" s="414">
        <f t="shared" si="11"/>
        <v>0</v>
      </c>
      <c r="O108" s="414"/>
      <c r="P108" s="414">
        <f t="shared" si="12"/>
        <v>0</v>
      </c>
      <c r="Q108" s="414"/>
      <c r="R108" s="414"/>
    </row>
    <row r="109" spans="1:20" ht="20.25" customHeight="1" x14ac:dyDescent="0.3">
      <c r="A109" s="482" t="s">
        <v>34</v>
      </c>
      <c r="B109" s="479" t="s">
        <v>35</v>
      </c>
      <c r="C109" s="485" t="s">
        <v>343</v>
      </c>
      <c r="D109" s="469" t="s">
        <v>76</v>
      </c>
      <c r="E109" s="414"/>
      <c r="F109" s="414"/>
      <c r="G109" s="414"/>
      <c r="H109" s="414">
        <f t="shared" si="13"/>
        <v>0</v>
      </c>
      <c r="I109" s="414">
        <f t="shared" si="14"/>
        <v>0</v>
      </c>
      <c r="J109" s="423" t="s">
        <v>303</v>
      </c>
      <c r="K109" s="414"/>
      <c r="L109" s="414"/>
      <c r="M109" s="414"/>
      <c r="N109" s="414">
        <f t="shared" si="11"/>
        <v>0</v>
      </c>
      <c r="O109" s="414"/>
      <c r="P109" s="414">
        <f t="shared" si="12"/>
        <v>0</v>
      </c>
      <c r="Q109" s="414"/>
      <c r="R109" s="414"/>
    </row>
    <row r="110" spans="1:20" ht="20.25" customHeight="1" x14ac:dyDescent="0.3">
      <c r="A110" s="483"/>
      <c r="B110" s="480"/>
      <c r="C110" s="487"/>
      <c r="D110" s="471"/>
      <c r="E110" s="414"/>
      <c r="F110" s="414"/>
      <c r="G110" s="414"/>
      <c r="H110" s="414">
        <f t="shared" si="13"/>
        <v>0</v>
      </c>
      <c r="I110" s="414">
        <f t="shared" si="14"/>
        <v>0</v>
      </c>
      <c r="J110" s="423" t="s">
        <v>342</v>
      </c>
      <c r="K110" s="414"/>
      <c r="L110" s="414"/>
      <c r="M110" s="414"/>
      <c r="N110" s="414">
        <f t="shared" si="11"/>
        <v>0</v>
      </c>
      <c r="O110" s="414"/>
      <c r="P110" s="414">
        <f t="shared" si="12"/>
        <v>0</v>
      </c>
      <c r="Q110" s="414"/>
      <c r="R110" s="414"/>
    </row>
    <row r="111" spans="1:20" ht="20.25" customHeight="1" x14ac:dyDescent="0.3">
      <c r="A111" s="483"/>
      <c r="B111" s="480"/>
      <c r="C111" s="485" t="s">
        <v>73</v>
      </c>
      <c r="D111" s="469" t="s">
        <v>76</v>
      </c>
      <c r="E111" s="414"/>
      <c r="F111" s="414"/>
      <c r="G111" s="414"/>
      <c r="H111" s="414">
        <f t="shared" si="13"/>
        <v>0</v>
      </c>
      <c r="I111" s="414">
        <f t="shared" si="14"/>
        <v>0</v>
      </c>
      <c r="J111" s="423" t="s">
        <v>303</v>
      </c>
      <c r="K111" s="414"/>
      <c r="L111" s="414"/>
      <c r="M111" s="414"/>
      <c r="N111" s="414">
        <f t="shared" si="11"/>
        <v>0</v>
      </c>
      <c r="O111" s="414"/>
      <c r="P111" s="414">
        <f t="shared" si="12"/>
        <v>0</v>
      </c>
      <c r="Q111" s="414"/>
      <c r="R111" s="414"/>
    </row>
    <row r="112" spans="1:20" ht="20.25" customHeight="1" x14ac:dyDescent="0.3">
      <c r="A112" s="483"/>
      <c r="B112" s="480"/>
      <c r="C112" s="486"/>
      <c r="D112" s="470"/>
      <c r="E112" s="414"/>
      <c r="F112" s="414"/>
      <c r="G112" s="414"/>
      <c r="H112" s="414">
        <f t="shared" si="13"/>
        <v>0</v>
      </c>
      <c r="I112" s="414">
        <f t="shared" si="14"/>
        <v>0</v>
      </c>
      <c r="J112" s="423" t="s">
        <v>341</v>
      </c>
      <c r="K112" s="414"/>
      <c r="L112" s="414"/>
      <c r="M112" s="414"/>
      <c r="N112" s="414">
        <f t="shared" si="11"/>
        <v>0</v>
      </c>
      <c r="O112" s="414"/>
      <c r="P112" s="414">
        <f t="shared" si="12"/>
        <v>0</v>
      </c>
      <c r="Q112" s="414"/>
      <c r="R112" s="414"/>
    </row>
    <row r="113" spans="1:18" ht="20.25" customHeight="1" x14ac:dyDescent="0.3">
      <c r="A113" s="483"/>
      <c r="B113" s="481"/>
      <c r="C113" s="487"/>
      <c r="D113" s="471"/>
      <c r="E113" s="414"/>
      <c r="F113" s="414"/>
      <c r="G113" s="414"/>
      <c r="H113" s="414">
        <f t="shared" si="13"/>
        <v>0</v>
      </c>
      <c r="I113" s="414">
        <f t="shared" si="14"/>
        <v>0</v>
      </c>
      <c r="J113" s="423" t="s">
        <v>342</v>
      </c>
      <c r="K113" s="414"/>
      <c r="M113" s="414"/>
      <c r="N113" s="414">
        <f t="shared" si="11"/>
        <v>0</v>
      </c>
      <c r="O113" s="414"/>
      <c r="P113" s="414">
        <f t="shared" si="12"/>
        <v>0</v>
      </c>
      <c r="Q113" s="414"/>
      <c r="R113" s="414"/>
    </row>
    <row r="114" spans="1:18" ht="20.25" customHeight="1" x14ac:dyDescent="0.3">
      <c r="A114" s="483"/>
      <c r="B114" s="479" t="s">
        <v>36</v>
      </c>
      <c r="C114" s="476" t="s">
        <v>73</v>
      </c>
      <c r="D114" s="469" t="s">
        <v>76</v>
      </c>
      <c r="E114" s="414"/>
      <c r="F114" s="414"/>
      <c r="G114" s="414"/>
      <c r="H114" s="414">
        <f t="shared" si="13"/>
        <v>0</v>
      </c>
      <c r="I114" s="414">
        <f t="shared" si="14"/>
        <v>0</v>
      </c>
      <c r="J114" s="423" t="s">
        <v>305</v>
      </c>
      <c r="K114" s="414"/>
      <c r="L114" s="414"/>
      <c r="M114" s="414"/>
      <c r="N114" s="414">
        <f t="shared" si="11"/>
        <v>0</v>
      </c>
      <c r="O114" s="414"/>
      <c r="P114" s="414">
        <f t="shared" si="12"/>
        <v>0</v>
      </c>
      <c r="Q114" s="414"/>
      <c r="R114" s="414"/>
    </row>
    <row r="115" spans="1:18" ht="20.25" customHeight="1" x14ac:dyDescent="0.3">
      <c r="A115" s="483"/>
      <c r="B115" s="480"/>
      <c r="C115" s="477"/>
      <c r="D115" s="470"/>
      <c r="E115" s="414"/>
      <c r="F115" s="414"/>
      <c r="G115" s="414"/>
      <c r="H115" s="414">
        <f t="shared" si="13"/>
        <v>0</v>
      </c>
      <c r="I115" s="414">
        <f t="shared" si="14"/>
        <v>0</v>
      </c>
      <c r="J115" s="423" t="s">
        <v>341</v>
      </c>
      <c r="K115" s="414"/>
      <c r="L115" s="414"/>
      <c r="M115" s="414"/>
      <c r="N115" s="414">
        <f t="shared" si="11"/>
        <v>0</v>
      </c>
      <c r="O115" s="414"/>
      <c r="P115" s="414">
        <f t="shared" si="12"/>
        <v>0</v>
      </c>
      <c r="Q115" s="414"/>
      <c r="R115" s="414"/>
    </row>
    <row r="116" spans="1:18" ht="20.25" customHeight="1" x14ac:dyDescent="0.3">
      <c r="A116" s="483"/>
      <c r="B116" s="480"/>
      <c r="C116" s="477"/>
      <c r="D116" s="470"/>
      <c r="E116" s="414"/>
      <c r="F116" s="414"/>
      <c r="G116" s="414"/>
      <c r="H116" s="414">
        <f t="shared" si="13"/>
        <v>0</v>
      </c>
      <c r="I116" s="414">
        <f t="shared" si="14"/>
        <v>0</v>
      </c>
      <c r="J116" s="423" t="s">
        <v>303</v>
      </c>
      <c r="K116" s="414"/>
      <c r="L116" s="414"/>
      <c r="M116" s="414"/>
      <c r="N116" s="414">
        <f t="shared" si="11"/>
        <v>0</v>
      </c>
      <c r="O116" s="414"/>
      <c r="P116" s="414">
        <f t="shared" si="12"/>
        <v>0</v>
      </c>
      <c r="Q116" s="414"/>
      <c r="R116" s="414"/>
    </row>
    <row r="117" spans="1:18" ht="24" customHeight="1" x14ac:dyDescent="0.3">
      <c r="A117" s="484"/>
      <c r="B117" s="481"/>
      <c r="C117" s="478"/>
      <c r="D117" s="471"/>
      <c r="E117" s="414"/>
      <c r="F117" s="414"/>
      <c r="G117" s="414"/>
      <c r="H117" s="414">
        <f t="shared" si="13"/>
        <v>0</v>
      </c>
      <c r="I117" s="414">
        <f t="shared" si="14"/>
        <v>0</v>
      </c>
      <c r="J117" s="423" t="s">
        <v>342</v>
      </c>
      <c r="K117" s="414"/>
      <c r="L117" s="414"/>
      <c r="M117" s="414"/>
      <c r="N117" s="414">
        <f t="shared" si="11"/>
        <v>0</v>
      </c>
      <c r="O117" s="414"/>
      <c r="P117" s="414">
        <f t="shared" si="12"/>
        <v>0</v>
      </c>
      <c r="Q117" s="414"/>
      <c r="R117" s="414"/>
    </row>
    <row r="118" spans="1:18" ht="45" customHeight="1" x14ac:dyDescent="0.3">
      <c r="A118" s="482" t="s">
        <v>37</v>
      </c>
      <c r="B118" s="490" t="s">
        <v>38</v>
      </c>
      <c r="C118" s="476" t="s">
        <v>67</v>
      </c>
      <c r="D118" s="469" t="s">
        <v>76</v>
      </c>
      <c r="E118" s="414"/>
      <c r="F118" s="414"/>
      <c r="G118" s="414"/>
      <c r="H118" s="414">
        <f t="shared" si="13"/>
        <v>0</v>
      </c>
      <c r="I118" s="414">
        <f t="shared" si="14"/>
        <v>0</v>
      </c>
      <c r="J118" s="423" t="s">
        <v>320</v>
      </c>
      <c r="K118" s="414"/>
      <c r="L118" s="414"/>
      <c r="M118" s="414"/>
      <c r="N118" s="414">
        <f t="shared" si="11"/>
        <v>0</v>
      </c>
      <c r="O118" s="414"/>
      <c r="P118" s="414">
        <f t="shared" si="12"/>
        <v>0</v>
      </c>
      <c r="Q118" s="414"/>
      <c r="R118" s="414"/>
    </row>
    <row r="119" spans="1:18" ht="28.8" x14ac:dyDescent="0.3">
      <c r="A119" s="484"/>
      <c r="B119" s="491"/>
      <c r="C119" s="478"/>
      <c r="D119" s="471"/>
      <c r="E119" s="414"/>
      <c r="F119" s="414"/>
      <c r="G119" s="414"/>
      <c r="H119" s="414">
        <f t="shared" si="13"/>
        <v>0</v>
      </c>
      <c r="I119" s="414">
        <f t="shared" si="14"/>
        <v>0</v>
      </c>
      <c r="J119" s="423" t="s">
        <v>342</v>
      </c>
      <c r="K119" s="414"/>
      <c r="L119" s="414"/>
      <c r="M119" s="414"/>
      <c r="N119" s="414">
        <f t="shared" si="11"/>
        <v>0</v>
      </c>
      <c r="O119" s="414"/>
      <c r="P119" s="414">
        <f t="shared" si="12"/>
        <v>0</v>
      </c>
      <c r="Q119" s="414"/>
      <c r="R119" s="414"/>
    </row>
    <row r="120" spans="1:18" ht="77.25" customHeight="1" x14ac:dyDescent="0.3">
      <c r="A120" s="419" t="s">
        <v>39</v>
      </c>
      <c r="B120" s="404" t="s">
        <v>40</v>
      </c>
      <c r="C120" s="415" t="s">
        <v>73</v>
      </c>
      <c r="D120" s="414" t="s">
        <v>76</v>
      </c>
      <c r="E120" s="414"/>
      <c r="F120" s="414"/>
      <c r="G120" s="414"/>
      <c r="H120" s="414">
        <f t="shared" si="13"/>
        <v>0</v>
      </c>
      <c r="I120" s="414">
        <f t="shared" si="14"/>
        <v>0</v>
      </c>
      <c r="J120" s="423" t="s">
        <v>331</v>
      </c>
      <c r="K120" s="414"/>
      <c r="L120" s="414"/>
      <c r="M120" s="414"/>
      <c r="N120" s="414">
        <f t="shared" si="11"/>
        <v>0</v>
      </c>
      <c r="O120" s="414"/>
      <c r="P120" s="414">
        <f t="shared" si="12"/>
        <v>0</v>
      </c>
      <c r="Q120" s="414"/>
      <c r="R120" s="414"/>
    </row>
    <row r="121" spans="1:18" ht="120" x14ac:dyDescent="0.3">
      <c r="A121" s="403" t="s">
        <v>41</v>
      </c>
      <c r="B121" s="404" t="s">
        <v>42</v>
      </c>
      <c r="C121" s="415" t="s">
        <v>73</v>
      </c>
      <c r="D121" s="414" t="s">
        <v>76</v>
      </c>
      <c r="E121" s="414"/>
      <c r="F121" s="414"/>
      <c r="G121" s="414"/>
      <c r="H121" s="414">
        <f t="shared" si="13"/>
        <v>0</v>
      </c>
      <c r="I121" s="414">
        <f t="shared" si="14"/>
        <v>0</v>
      </c>
      <c r="J121" s="423" t="s">
        <v>332</v>
      </c>
      <c r="K121" s="414"/>
      <c r="L121" s="414"/>
      <c r="M121" s="414"/>
      <c r="N121" s="414">
        <f t="shared" si="11"/>
        <v>0</v>
      </c>
      <c r="O121" s="414"/>
      <c r="P121" s="414">
        <f t="shared" si="12"/>
        <v>0</v>
      </c>
      <c r="Q121" s="414"/>
      <c r="R121" s="414"/>
    </row>
    <row r="122" spans="1:18" ht="39.75" customHeight="1" x14ac:dyDescent="0.3">
      <c r="A122" s="515" t="s">
        <v>43</v>
      </c>
      <c r="B122" s="479" t="s">
        <v>44</v>
      </c>
      <c r="C122" s="415" t="s">
        <v>81</v>
      </c>
      <c r="D122" s="432" t="s">
        <v>358</v>
      </c>
      <c r="E122" s="414">
        <v>1</v>
      </c>
      <c r="F122" s="414">
        <v>9</v>
      </c>
      <c r="G122" s="414">
        <v>9</v>
      </c>
      <c r="H122" s="414">
        <f t="shared" si="13"/>
        <v>81</v>
      </c>
      <c r="I122" s="414">
        <f t="shared" si="14"/>
        <v>2430</v>
      </c>
      <c r="J122" s="423" t="s">
        <v>333</v>
      </c>
      <c r="K122" s="414">
        <v>1</v>
      </c>
      <c r="L122" s="414">
        <v>117</v>
      </c>
      <c r="M122" s="414">
        <v>117</v>
      </c>
      <c r="N122" s="414">
        <f t="shared" si="11"/>
        <v>117</v>
      </c>
      <c r="O122" s="414">
        <v>9</v>
      </c>
      <c r="P122" s="414">
        <f t="shared" si="12"/>
        <v>1053</v>
      </c>
      <c r="Q122" s="414"/>
      <c r="R122" s="414"/>
    </row>
    <row r="123" spans="1:18" ht="39.75" customHeight="1" x14ac:dyDescent="0.3">
      <c r="A123" s="515"/>
      <c r="B123" s="481"/>
      <c r="C123" s="463" t="s">
        <v>343</v>
      </c>
      <c r="D123" s="461" t="s">
        <v>386</v>
      </c>
      <c r="E123" s="414"/>
      <c r="F123" s="414"/>
      <c r="G123" s="414"/>
      <c r="H123" s="414">
        <f t="shared" si="13"/>
        <v>0</v>
      </c>
      <c r="I123" s="414">
        <f t="shared" si="14"/>
        <v>0</v>
      </c>
      <c r="J123" s="423" t="s">
        <v>333</v>
      </c>
      <c r="K123" s="414"/>
      <c r="L123" s="414"/>
      <c r="M123" s="414"/>
      <c r="N123" s="414">
        <f t="shared" si="11"/>
        <v>0</v>
      </c>
      <c r="O123" s="414"/>
      <c r="P123" s="414">
        <f t="shared" si="12"/>
        <v>0</v>
      </c>
      <c r="Q123" s="414"/>
      <c r="R123" s="414"/>
    </row>
    <row r="124" spans="1:18" ht="39.75" customHeight="1" x14ac:dyDescent="0.3">
      <c r="A124" s="515"/>
      <c r="B124" s="479" t="s">
        <v>45</v>
      </c>
      <c r="C124" s="415" t="s">
        <v>70</v>
      </c>
      <c r="D124" s="432" t="s">
        <v>358</v>
      </c>
      <c r="E124" s="414">
        <v>1</v>
      </c>
      <c r="F124" s="414">
        <v>10</v>
      </c>
      <c r="G124" s="414">
        <v>3</v>
      </c>
      <c r="H124" s="414">
        <f t="shared" si="13"/>
        <v>30</v>
      </c>
      <c r="I124" s="414">
        <f t="shared" si="14"/>
        <v>900</v>
      </c>
      <c r="J124" s="423" t="s">
        <v>334</v>
      </c>
      <c r="K124" s="414">
        <v>3</v>
      </c>
      <c r="L124" s="414">
        <v>184</v>
      </c>
      <c r="M124" s="414">
        <v>240</v>
      </c>
      <c r="N124" s="414">
        <f t="shared" si="11"/>
        <v>720</v>
      </c>
      <c r="O124" s="414">
        <v>3</v>
      </c>
      <c r="P124" s="414">
        <f t="shared" si="12"/>
        <v>2160</v>
      </c>
      <c r="Q124" s="414"/>
      <c r="R124" s="414"/>
    </row>
    <row r="125" spans="1:18" ht="39.75" customHeight="1" x14ac:dyDescent="0.3">
      <c r="A125" s="515"/>
      <c r="B125" s="481"/>
      <c r="C125" s="463" t="s">
        <v>343</v>
      </c>
      <c r="D125" s="461" t="s">
        <v>386</v>
      </c>
      <c r="E125" s="414"/>
      <c r="F125" s="414"/>
      <c r="G125" s="414"/>
      <c r="H125" s="414">
        <f t="shared" si="13"/>
        <v>0</v>
      </c>
      <c r="I125" s="414">
        <f t="shared" si="14"/>
        <v>0</v>
      </c>
      <c r="J125" s="423" t="s">
        <v>334</v>
      </c>
      <c r="K125" s="414"/>
      <c r="L125" s="414"/>
      <c r="M125" s="414"/>
      <c r="N125" s="414">
        <f t="shared" si="11"/>
        <v>0</v>
      </c>
      <c r="O125" s="414"/>
      <c r="P125" s="414">
        <f t="shared" si="12"/>
        <v>0</v>
      </c>
      <c r="Q125" s="414"/>
      <c r="R125" s="414"/>
    </row>
    <row r="126" spans="1:18" ht="39.75" customHeight="1" x14ac:dyDescent="0.3">
      <c r="A126" s="515"/>
      <c r="B126" s="488" t="s">
        <v>347</v>
      </c>
      <c r="C126" s="415" t="s">
        <v>70</v>
      </c>
      <c r="D126" s="432" t="s">
        <v>358</v>
      </c>
      <c r="E126" s="414">
        <v>0.5</v>
      </c>
      <c r="F126" s="414">
        <v>6</v>
      </c>
      <c r="G126" s="414">
        <v>2</v>
      </c>
      <c r="H126" s="414">
        <f t="shared" si="13"/>
        <v>6</v>
      </c>
      <c r="I126" s="414">
        <f t="shared" si="14"/>
        <v>180</v>
      </c>
      <c r="J126" s="423" t="s">
        <v>340</v>
      </c>
      <c r="K126" s="414">
        <v>1</v>
      </c>
      <c r="L126" s="414">
        <v>115</v>
      </c>
      <c r="M126" s="414">
        <v>115</v>
      </c>
      <c r="N126" s="414">
        <f t="shared" si="11"/>
        <v>115</v>
      </c>
      <c r="O126" s="414">
        <v>2</v>
      </c>
      <c r="P126" s="414">
        <f t="shared" si="12"/>
        <v>230</v>
      </c>
      <c r="Q126" s="414"/>
      <c r="R126" s="414"/>
    </row>
    <row r="127" spans="1:18" ht="39.75" customHeight="1" x14ac:dyDescent="0.3">
      <c r="A127" s="515"/>
      <c r="B127" s="489"/>
      <c r="C127" s="463" t="s">
        <v>343</v>
      </c>
      <c r="D127" s="461" t="s">
        <v>358</v>
      </c>
      <c r="E127" s="414"/>
      <c r="F127" s="432"/>
      <c r="G127" s="432"/>
      <c r="H127" s="414">
        <f t="shared" si="13"/>
        <v>0</v>
      </c>
      <c r="I127" s="414">
        <f t="shared" si="14"/>
        <v>0</v>
      </c>
      <c r="J127" s="423" t="s">
        <v>340</v>
      </c>
      <c r="K127" s="414"/>
      <c r="L127" s="414"/>
      <c r="M127" s="414"/>
      <c r="N127" s="414">
        <f t="shared" si="11"/>
        <v>0</v>
      </c>
      <c r="O127" s="414"/>
      <c r="P127" s="414">
        <f t="shared" si="12"/>
        <v>0</v>
      </c>
      <c r="Q127" s="414"/>
      <c r="R127" s="414"/>
    </row>
    <row r="128" spans="1:18" ht="39.75" customHeight="1" x14ac:dyDescent="0.3">
      <c r="A128" s="515"/>
      <c r="B128" s="479" t="s">
        <v>46</v>
      </c>
      <c r="C128" s="415" t="s">
        <v>82</v>
      </c>
      <c r="D128" s="432" t="s">
        <v>358</v>
      </c>
      <c r="E128" s="414">
        <v>0.5</v>
      </c>
      <c r="F128" s="414">
        <v>8</v>
      </c>
      <c r="G128" s="414">
        <v>2</v>
      </c>
      <c r="H128" s="414">
        <f t="shared" si="13"/>
        <v>8</v>
      </c>
      <c r="I128" s="414">
        <f t="shared" si="14"/>
        <v>240</v>
      </c>
      <c r="J128" s="423" t="s">
        <v>335</v>
      </c>
      <c r="K128" s="414">
        <v>1</v>
      </c>
      <c r="L128" s="414">
        <v>160</v>
      </c>
      <c r="M128" s="414">
        <v>160</v>
      </c>
      <c r="N128" s="414">
        <f t="shared" si="11"/>
        <v>160</v>
      </c>
      <c r="O128" s="414">
        <v>2</v>
      </c>
      <c r="P128" s="414">
        <f t="shared" si="12"/>
        <v>320</v>
      </c>
      <c r="Q128" s="414"/>
      <c r="R128" s="414"/>
    </row>
    <row r="129" spans="1:18" ht="39.75" customHeight="1" x14ac:dyDescent="0.3">
      <c r="A129" s="515"/>
      <c r="B129" s="481"/>
      <c r="C129" s="463" t="s">
        <v>343</v>
      </c>
      <c r="D129" s="458"/>
      <c r="E129" s="414"/>
      <c r="F129" s="432"/>
      <c r="G129" s="432"/>
      <c r="H129" s="414">
        <f t="shared" si="13"/>
        <v>0</v>
      </c>
      <c r="I129" s="414">
        <f t="shared" si="14"/>
        <v>0</v>
      </c>
      <c r="J129" s="423" t="s">
        <v>335</v>
      </c>
      <c r="K129" s="414"/>
      <c r="L129" s="414"/>
      <c r="M129" s="414"/>
      <c r="N129" s="414">
        <f t="shared" si="11"/>
        <v>0</v>
      </c>
      <c r="O129" s="414"/>
      <c r="P129" s="414">
        <f t="shared" si="12"/>
        <v>0</v>
      </c>
      <c r="Q129" s="414"/>
      <c r="R129" s="414"/>
    </row>
    <row r="130" spans="1:18" ht="30" x14ac:dyDescent="0.3">
      <c r="A130" s="403" t="s">
        <v>47</v>
      </c>
      <c r="B130" s="404" t="s">
        <v>48</v>
      </c>
      <c r="C130" s="415" t="s">
        <v>73</v>
      </c>
      <c r="D130" s="436" t="s">
        <v>83</v>
      </c>
      <c r="E130" s="414"/>
      <c r="F130" s="414"/>
      <c r="G130" s="432"/>
      <c r="H130" s="414"/>
      <c r="I130" s="414"/>
      <c r="J130" s="423" t="s">
        <v>336</v>
      </c>
      <c r="K130" s="414"/>
      <c r="L130" s="414"/>
      <c r="M130" s="414"/>
      <c r="N130" s="414">
        <f t="shared" si="11"/>
        <v>0</v>
      </c>
      <c r="O130" s="432"/>
      <c r="P130" s="414">
        <f t="shared" si="12"/>
        <v>0</v>
      </c>
      <c r="Q130" s="414"/>
      <c r="R130" s="414"/>
    </row>
    <row r="131" spans="1:18" ht="30" x14ac:dyDescent="0.3">
      <c r="A131" s="403" t="s">
        <v>49</v>
      </c>
      <c r="B131" s="404" t="s">
        <v>50</v>
      </c>
      <c r="C131" s="415" t="s">
        <v>81</v>
      </c>
      <c r="D131" s="432" t="s">
        <v>358</v>
      </c>
      <c r="E131" s="414"/>
      <c r="F131" s="414"/>
      <c r="G131" s="432"/>
      <c r="H131" s="414"/>
      <c r="I131" s="414"/>
      <c r="J131" s="423" t="s">
        <v>336</v>
      </c>
      <c r="K131" s="414"/>
      <c r="L131" s="414"/>
      <c r="M131" s="414"/>
      <c r="N131" s="414">
        <f t="shared" si="11"/>
        <v>0</v>
      </c>
      <c r="O131" s="432"/>
      <c r="P131" s="414">
        <f t="shared" si="12"/>
        <v>0</v>
      </c>
      <c r="Q131" s="414"/>
      <c r="R131" s="414"/>
    </row>
    <row r="132" spans="1:18" ht="45" x14ac:dyDescent="0.3">
      <c r="A132" s="403" t="s">
        <v>51</v>
      </c>
      <c r="B132" s="404" t="s">
        <v>52</v>
      </c>
      <c r="C132" s="415" t="s">
        <v>84</v>
      </c>
      <c r="D132" s="432" t="s">
        <v>358</v>
      </c>
      <c r="E132" s="414"/>
      <c r="F132" s="414"/>
      <c r="G132" s="432"/>
      <c r="H132" s="414"/>
      <c r="I132" s="414"/>
      <c r="J132" s="423" t="s">
        <v>391</v>
      </c>
      <c r="K132" s="414"/>
      <c r="L132" s="414"/>
      <c r="M132" s="414"/>
      <c r="N132" s="414">
        <f t="shared" si="11"/>
        <v>0</v>
      </c>
      <c r="O132" s="432"/>
      <c r="P132" s="414">
        <f t="shared" si="12"/>
        <v>0</v>
      </c>
      <c r="Q132" s="414"/>
      <c r="R132" s="414"/>
    </row>
    <row r="133" spans="1:18" ht="16.5" customHeight="1" x14ac:dyDescent="0.3">
      <c r="A133" s="482" t="s">
        <v>53</v>
      </c>
      <c r="B133" s="479" t="s">
        <v>54</v>
      </c>
      <c r="C133" s="476" t="s">
        <v>85</v>
      </c>
      <c r="D133" s="469" t="s">
        <v>68</v>
      </c>
      <c r="E133" s="469">
        <v>2</v>
      </c>
      <c r="F133" s="414">
        <v>24</v>
      </c>
      <c r="G133" s="414"/>
      <c r="H133" s="414"/>
      <c r="I133" s="414"/>
      <c r="J133" s="423" t="s">
        <v>392</v>
      </c>
      <c r="K133" s="414">
        <v>5</v>
      </c>
      <c r="L133" s="414">
        <v>184</v>
      </c>
      <c r="M133" s="414">
        <v>184</v>
      </c>
      <c r="N133" s="414">
        <f t="shared" ref="N133:N137" si="15">+M133*K133</f>
        <v>920</v>
      </c>
      <c r="O133" s="432"/>
      <c r="P133" s="414">
        <f t="shared" si="12"/>
        <v>0</v>
      </c>
      <c r="Q133" s="414"/>
      <c r="R133" s="414"/>
    </row>
    <row r="134" spans="1:18" ht="14.4" x14ac:dyDescent="0.3">
      <c r="A134" s="483"/>
      <c r="B134" s="481"/>
      <c r="C134" s="478"/>
      <c r="D134" s="471"/>
      <c r="E134" s="471"/>
      <c r="F134" s="414">
        <v>24</v>
      </c>
      <c r="G134" s="414"/>
      <c r="H134" s="414"/>
      <c r="I134" s="414"/>
      <c r="J134" s="423" t="s">
        <v>393</v>
      </c>
      <c r="K134" s="414">
        <v>5</v>
      </c>
      <c r="L134" s="414">
        <v>184</v>
      </c>
      <c r="M134" s="414">
        <v>184</v>
      </c>
      <c r="N134" s="414">
        <f t="shared" si="15"/>
        <v>920</v>
      </c>
      <c r="O134" s="432"/>
      <c r="P134" s="414">
        <f t="shared" si="12"/>
        <v>0</v>
      </c>
      <c r="Q134" s="414"/>
      <c r="R134" s="414"/>
    </row>
    <row r="135" spans="1:18" ht="14.4" x14ac:dyDescent="0.3">
      <c r="A135" s="483"/>
      <c r="B135" s="479" t="s">
        <v>55</v>
      </c>
      <c r="C135" s="476" t="s">
        <v>85</v>
      </c>
      <c r="D135" s="469" t="s">
        <v>76</v>
      </c>
      <c r="E135" s="414"/>
      <c r="F135" s="414"/>
      <c r="G135" s="414"/>
      <c r="H135" s="414"/>
      <c r="I135" s="414"/>
      <c r="J135" s="423" t="s">
        <v>392</v>
      </c>
      <c r="K135" s="414">
        <v>5</v>
      </c>
      <c r="L135" s="414">
        <v>184</v>
      </c>
      <c r="M135" s="414">
        <v>184</v>
      </c>
      <c r="N135" s="414">
        <f t="shared" si="15"/>
        <v>920</v>
      </c>
      <c r="O135" s="432"/>
      <c r="P135" s="414">
        <f t="shared" si="12"/>
        <v>0</v>
      </c>
      <c r="Q135" s="414"/>
      <c r="R135" s="414"/>
    </row>
    <row r="136" spans="1:18" ht="14.4" x14ac:dyDescent="0.3">
      <c r="A136" s="483"/>
      <c r="B136" s="480"/>
      <c r="C136" s="477"/>
      <c r="D136" s="470"/>
      <c r="E136" s="414"/>
      <c r="F136" s="414"/>
      <c r="G136" s="414"/>
      <c r="H136" s="414"/>
      <c r="I136" s="414"/>
      <c r="J136" s="423" t="s">
        <v>393</v>
      </c>
      <c r="K136" s="414">
        <v>5</v>
      </c>
      <c r="L136" s="414">
        <v>184</v>
      </c>
      <c r="M136" s="414">
        <v>184</v>
      </c>
      <c r="N136" s="414">
        <f t="shared" si="15"/>
        <v>920</v>
      </c>
      <c r="O136" s="432"/>
      <c r="P136" s="414">
        <f t="shared" si="12"/>
        <v>0</v>
      </c>
      <c r="Q136" s="414"/>
      <c r="R136" s="414"/>
    </row>
    <row r="137" spans="1:18" ht="14.4" x14ac:dyDescent="0.3">
      <c r="A137" s="484"/>
      <c r="B137" s="481"/>
      <c r="C137" s="478"/>
      <c r="D137" s="471"/>
      <c r="E137" s="414"/>
      <c r="F137" s="414"/>
      <c r="G137" s="414"/>
      <c r="H137" s="414"/>
      <c r="I137" s="414"/>
      <c r="J137" s="423" t="s">
        <v>387</v>
      </c>
      <c r="K137" s="414">
        <v>2</v>
      </c>
      <c r="L137" s="414">
        <v>184</v>
      </c>
      <c r="M137" s="414">
        <v>184</v>
      </c>
      <c r="N137" s="414">
        <f t="shared" si="15"/>
        <v>368</v>
      </c>
      <c r="O137" s="432"/>
      <c r="P137" s="414">
        <f t="shared" si="12"/>
        <v>0</v>
      </c>
      <c r="Q137" s="414"/>
      <c r="R137" s="414"/>
    </row>
    <row r="138" spans="1:18" ht="14.4" x14ac:dyDescent="0.3">
      <c r="A138" s="482" t="s">
        <v>56</v>
      </c>
      <c r="B138" s="479" t="s">
        <v>57</v>
      </c>
      <c r="C138" s="476" t="s">
        <v>73</v>
      </c>
      <c r="D138" s="414" t="s">
        <v>76</v>
      </c>
      <c r="E138" s="414"/>
      <c r="F138" s="414"/>
      <c r="G138" s="414"/>
      <c r="H138" s="414"/>
      <c r="I138" s="414"/>
      <c r="J138" s="423" t="s">
        <v>303</v>
      </c>
      <c r="K138" s="414"/>
      <c r="L138" s="414"/>
      <c r="M138" s="414"/>
      <c r="N138" s="414"/>
      <c r="O138" s="414"/>
      <c r="P138" s="414">
        <f t="shared" si="12"/>
        <v>0</v>
      </c>
      <c r="Q138" s="414"/>
      <c r="R138" s="414"/>
    </row>
    <row r="139" spans="1:18" ht="14.4" x14ac:dyDescent="0.3">
      <c r="A139" s="483"/>
      <c r="B139" s="480"/>
      <c r="C139" s="477"/>
      <c r="D139" s="414"/>
      <c r="E139" s="414"/>
      <c r="F139" s="414"/>
      <c r="G139" s="414"/>
      <c r="H139" s="414"/>
      <c r="I139" s="414"/>
      <c r="J139" s="423" t="s">
        <v>341</v>
      </c>
      <c r="K139" s="414"/>
      <c r="L139" s="414"/>
      <c r="M139" s="414"/>
      <c r="N139" s="414"/>
      <c r="O139" s="414"/>
      <c r="P139" s="414"/>
      <c r="Q139" s="414"/>
      <c r="R139" s="414"/>
    </row>
    <row r="140" spans="1:18" ht="28.8" x14ac:dyDescent="0.3">
      <c r="A140" s="484"/>
      <c r="B140" s="481"/>
      <c r="C140" s="478"/>
      <c r="D140" s="414"/>
      <c r="E140" s="414"/>
      <c r="F140" s="414"/>
      <c r="G140" s="414"/>
      <c r="H140" s="414"/>
      <c r="I140" s="414"/>
      <c r="J140" s="423" t="s">
        <v>342</v>
      </c>
      <c r="K140" s="414"/>
      <c r="L140" s="414"/>
      <c r="M140" s="414"/>
      <c r="N140" s="414"/>
      <c r="O140" s="414"/>
      <c r="P140" s="414"/>
      <c r="Q140" s="414"/>
      <c r="R140" s="414"/>
    </row>
    <row r="141" spans="1:18" ht="30" x14ac:dyDescent="0.3">
      <c r="A141" s="403" t="s">
        <v>58</v>
      </c>
      <c r="B141" s="404" t="s">
        <v>59</v>
      </c>
      <c r="C141" s="415" t="s">
        <v>80</v>
      </c>
      <c r="D141" s="414" t="s">
        <v>68</v>
      </c>
      <c r="E141" s="414"/>
      <c r="F141" s="414"/>
      <c r="G141" s="414"/>
      <c r="H141" s="414"/>
      <c r="I141" s="414"/>
      <c r="J141" s="423" t="s">
        <v>316</v>
      </c>
      <c r="K141" s="414"/>
      <c r="L141" s="414"/>
      <c r="M141" s="414"/>
      <c r="N141" s="414"/>
      <c r="O141" s="414"/>
      <c r="P141" s="414"/>
      <c r="Q141" s="414"/>
      <c r="R141" s="414"/>
    </row>
    <row r="142" spans="1:18" ht="30" x14ac:dyDescent="0.3">
      <c r="A142" s="403" t="s">
        <v>60</v>
      </c>
      <c r="B142" s="404" t="s">
        <v>61</v>
      </c>
      <c r="C142" s="415" t="s">
        <v>73</v>
      </c>
      <c r="D142" s="414" t="s">
        <v>76</v>
      </c>
      <c r="E142" s="414"/>
      <c r="F142" s="414"/>
      <c r="G142" s="414"/>
      <c r="H142" s="414"/>
      <c r="I142" s="414"/>
      <c r="J142" s="423" t="s">
        <v>306</v>
      </c>
      <c r="K142" s="414"/>
      <c r="L142" s="414"/>
      <c r="M142" s="414"/>
      <c r="N142" s="414"/>
      <c r="O142" s="414"/>
      <c r="P142" s="414"/>
      <c r="Q142" s="414"/>
      <c r="R142" s="414"/>
    </row>
    <row r="143" spans="1:18" ht="60" x14ac:dyDescent="0.3">
      <c r="A143" s="403" t="s">
        <v>62</v>
      </c>
      <c r="B143" s="404" t="s">
        <v>63</v>
      </c>
      <c r="C143" s="415" t="s">
        <v>86</v>
      </c>
      <c r="D143" s="414" t="s">
        <v>87</v>
      </c>
      <c r="E143" s="414"/>
      <c r="F143" s="414"/>
      <c r="G143" s="414"/>
      <c r="H143" s="414"/>
      <c r="I143" s="414"/>
      <c r="J143" s="414" t="s">
        <v>316</v>
      </c>
      <c r="K143" s="414"/>
      <c r="L143" s="414"/>
      <c r="M143" s="414"/>
      <c r="N143" s="414"/>
      <c r="O143" s="414"/>
      <c r="P143" s="414"/>
      <c r="Q143" s="414"/>
      <c r="R143" s="414"/>
    </row>
  </sheetData>
  <autoFilter ref="A3:P143" xr:uid="{00000000-0009-0000-0000-000000000000}"/>
  <mergeCells count="75">
    <mergeCell ref="A138:A140"/>
    <mergeCell ref="B138:B140"/>
    <mergeCell ref="C138:C140"/>
    <mergeCell ref="A133:A137"/>
    <mergeCell ref="B133:B134"/>
    <mergeCell ref="C133:C134"/>
    <mergeCell ref="D133:D134"/>
    <mergeCell ref="B135:B137"/>
    <mergeCell ref="C135:C137"/>
    <mergeCell ref="D135:D137"/>
    <mergeCell ref="A118:A119"/>
    <mergeCell ref="B118:B119"/>
    <mergeCell ref="C118:C119"/>
    <mergeCell ref="D118:D119"/>
    <mergeCell ref="A122:A129"/>
    <mergeCell ref="B122:B123"/>
    <mergeCell ref="B124:B125"/>
    <mergeCell ref="B126:B127"/>
    <mergeCell ref="B128:B129"/>
    <mergeCell ref="A109:A117"/>
    <mergeCell ref="B109:B113"/>
    <mergeCell ref="C109:C110"/>
    <mergeCell ref="D109:D110"/>
    <mergeCell ref="C111:C113"/>
    <mergeCell ref="D111:D113"/>
    <mergeCell ref="B114:B117"/>
    <mergeCell ref="C114:C117"/>
    <mergeCell ref="D114:D117"/>
    <mergeCell ref="Q96:T105"/>
    <mergeCell ref="A101:A105"/>
    <mergeCell ref="B101:B105"/>
    <mergeCell ref="D101:D105"/>
    <mergeCell ref="A106:A108"/>
    <mergeCell ref="B106:B108"/>
    <mergeCell ref="C106:C108"/>
    <mergeCell ref="B90:B95"/>
    <mergeCell ref="C90:C95"/>
    <mergeCell ref="D90:D95"/>
    <mergeCell ref="A96:A100"/>
    <mergeCell ref="B96:B100"/>
    <mergeCell ref="C96:C105"/>
    <mergeCell ref="D96:D100"/>
    <mergeCell ref="B78:B83"/>
    <mergeCell ref="C78:C83"/>
    <mergeCell ref="D78:D83"/>
    <mergeCell ref="B84:B89"/>
    <mergeCell ref="C84:C89"/>
    <mergeCell ref="D84:D89"/>
    <mergeCell ref="B65:B70"/>
    <mergeCell ref="C65:C70"/>
    <mergeCell ref="D65:D70"/>
    <mergeCell ref="B71:B77"/>
    <mergeCell ref="C71:C77"/>
    <mergeCell ref="D71:D77"/>
    <mergeCell ref="C53:C58"/>
    <mergeCell ref="D53:D58"/>
    <mergeCell ref="B59:B64"/>
    <mergeCell ref="C59:C64"/>
    <mergeCell ref="D59:D64"/>
    <mergeCell ref="E133:E134"/>
    <mergeCell ref="E2:I2"/>
    <mergeCell ref="K2:P2"/>
    <mergeCell ref="A4:A7"/>
    <mergeCell ref="A8:A33"/>
    <mergeCell ref="A34:A95"/>
    <mergeCell ref="B34:B40"/>
    <mergeCell ref="C34:C40"/>
    <mergeCell ref="D34:D40"/>
    <mergeCell ref="B41:B46"/>
    <mergeCell ref="C41:C46"/>
    <mergeCell ref="D41:D46"/>
    <mergeCell ref="B47:B52"/>
    <mergeCell ref="C47:C52"/>
    <mergeCell ref="D47:D52"/>
    <mergeCell ref="B53:B58"/>
  </mergeCells>
  <conditionalFormatting sqref="E109:G117">
    <cfRule type="cellIs" dxfId="11" priority="6" operator="equal">
      <formula>"NA"</formula>
    </cfRule>
  </conditionalFormatting>
  <conditionalFormatting sqref="E130:I130 H131:I143">
    <cfRule type="cellIs" dxfId="10" priority="10" operator="equal">
      <formula>"NA"</formula>
    </cfRule>
  </conditionalFormatting>
  <conditionalFormatting sqref="G1 G7">
    <cfRule type="cellIs" dxfId="9" priority="12" operator="equal">
      <formula>"NA"</formula>
    </cfRule>
  </conditionalFormatting>
  <conditionalFormatting sqref="G3:R3 H4:N4 H5:I129 N5:N137 H144:P1048576">
    <cfRule type="cellIs" dxfId="8" priority="9" operator="equal">
      <formula>"NA"</formula>
    </cfRule>
  </conditionalFormatting>
  <conditionalFormatting sqref="J91:J118">
    <cfRule type="cellIs" dxfId="7" priority="1" operator="equal">
      <formula>"NA"</formula>
    </cfRule>
  </conditionalFormatting>
  <conditionalFormatting sqref="J5:M90">
    <cfRule type="cellIs" dxfId="6" priority="2" operator="equal">
      <formula>"NA"</formula>
    </cfRule>
  </conditionalFormatting>
  <conditionalFormatting sqref="K91:M111 K112:L112 M112:M113 K113 K114:M118 E142">
    <cfRule type="cellIs" dxfId="5" priority="8" operator="equal">
      <formula>"NA"</formula>
    </cfRule>
  </conditionalFormatting>
  <conditionalFormatting sqref="O7">
    <cfRule type="cellIs" dxfId="4" priority="5" operator="equal">
      <formula>"NA"</formula>
    </cfRule>
  </conditionalFormatting>
  <conditionalFormatting sqref="O109:O117">
    <cfRule type="cellIs" dxfId="3" priority="3" operator="equal">
      <formula>"NA"</formula>
    </cfRule>
  </conditionalFormatting>
  <conditionalFormatting sqref="O130:O131">
    <cfRule type="cellIs" dxfId="2" priority="4" operator="equal">
      <formula>"NA"</formula>
    </cfRule>
  </conditionalFormatting>
  <conditionalFormatting sqref="Q4:R95 P4:P143 E96:E105 Q106:R143 J119:M137 E133:G133 O133:O137 F134:G134 E135:G137 J138:N143">
    <cfRule type="cellIs" dxfId="1" priority="11" operator="equal">
      <formula>"NA"</formula>
    </cfRule>
  </conditionalFormatting>
  <pageMargins left="0.7" right="0.7" top="0.75" bottom="0.75" header="0.3" footer="0.3"/>
  <pageSetup paperSize="9" orientation="portrait" r:id="rId1"/>
  <drawing r:id="rId2"/>
  <legacyDrawing r:id="rId3"/>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B2:J198"/>
  <sheetViews>
    <sheetView topLeftCell="A3" zoomScale="115" zoomScaleNormal="115" workbookViewId="0">
      <selection activeCell="B4" sqref="B4"/>
    </sheetView>
  </sheetViews>
  <sheetFormatPr baseColWidth="10" defaultRowHeight="14.4" x14ac:dyDescent="0.3"/>
  <cols>
    <col min="1" max="1" width="3" customWidth="1"/>
    <col min="2" max="2" width="23.88671875" customWidth="1"/>
  </cols>
  <sheetData>
    <row r="2" spans="2:10" x14ac:dyDescent="0.3">
      <c r="B2" t="s">
        <v>290</v>
      </c>
    </row>
    <row r="4" spans="2:10" s="88" customFormat="1" ht="52.5" customHeight="1" x14ac:dyDescent="0.3">
      <c r="B4" s="402" t="s">
        <v>272</v>
      </c>
      <c r="C4" s="553" t="s">
        <v>291</v>
      </c>
      <c r="D4" s="553"/>
      <c r="E4" s="553"/>
      <c r="F4" s="553"/>
      <c r="G4" s="553"/>
      <c r="H4" s="553"/>
      <c r="I4" s="553"/>
      <c r="J4" s="553"/>
    </row>
    <row r="5" spans="2:10" s="88" customFormat="1" ht="46.5" customHeight="1" x14ac:dyDescent="0.3">
      <c r="B5" s="402" t="s">
        <v>273</v>
      </c>
      <c r="C5" s="554" t="s">
        <v>292</v>
      </c>
      <c r="D5" s="554"/>
      <c r="E5" s="554"/>
      <c r="F5" s="554"/>
      <c r="G5" s="554"/>
      <c r="H5" s="554"/>
      <c r="I5" s="554"/>
      <c r="J5" s="554"/>
    </row>
    <row r="6" spans="2:10" s="88" customFormat="1" ht="96.75" customHeight="1" x14ac:dyDescent="0.3">
      <c r="B6" s="417" t="s">
        <v>274</v>
      </c>
      <c r="C6" s="554" t="s">
        <v>293</v>
      </c>
      <c r="D6" s="554"/>
      <c r="E6" s="554"/>
      <c r="F6" s="554"/>
      <c r="G6" s="554"/>
      <c r="H6" s="554"/>
      <c r="I6" s="554"/>
      <c r="J6" s="554"/>
    </row>
    <row r="7" spans="2:10" s="88" customFormat="1" ht="66.75" customHeight="1" x14ac:dyDescent="0.3">
      <c r="B7" s="402" t="s">
        <v>275</v>
      </c>
      <c r="C7" s="554" t="s">
        <v>294</v>
      </c>
      <c r="D7" s="554"/>
      <c r="E7" s="554"/>
      <c r="F7" s="554"/>
      <c r="G7" s="554"/>
      <c r="H7" s="554"/>
      <c r="I7" s="554"/>
      <c r="J7" s="554"/>
    </row>
    <row r="8" spans="2:10" s="88" customFormat="1" ht="60.75" customHeight="1" x14ac:dyDescent="0.3">
      <c r="B8" s="402" t="s">
        <v>276</v>
      </c>
      <c r="C8" s="553" t="s">
        <v>295</v>
      </c>
      <c r="D8" s="553"/>
      <c r="E8" s="553"/>
      <c r="F8" s="553"/>
      <c r="G8" s="553"/>
      <c r="H8" s="553"/>
      <c r="I8" s="553"/>
      <c r="J8" s="553"/>
    </row>
    <row r="9" spans="2:10" s="88" customFormat="1" x14ac:dyDescent="0.3">
      <c r="B9" s="402" t="s">
        <v>315</v>
      </c>
      <c r="C9" s="555" t="s">
        <v>338</v>
      </c>
      <c r="D9" s="556"/>
      <c r="E9" s="556"/>
      <c r="F9" s="556"/>
      <c r="G9" s="556"/>
      <c r="H9" s="556"/>
      <c r="I9" s="556"/>
      <c r="J9" s="557"/>
    </row>
    <row r="10" spans="2:10" s="88" customFormat="1" ht="29.25" customHeight="1" x14ac:dyDescent="0.3">
      <c r="B10" s="402" t="s">
        <v>281</v>
      </c>
      <c r="C10" s="553" t="s">
        <v>296</v>
      </c>
      <c r="D10" s="553"/>
      <c r="E10" s="553"/>
      <c r="F10" s="553"/>
      <c r="G10" s="553"/>
      <c r="H10" s="553"/>
      <c r="I10" s="553"/>
      <c r="J10" s="553"/>
    </row>
    <row r="11" spans="2:10" s="88" customFormat="1" ht="57.75" customHeight="1" x14ac:dyDescent="0.3">
      <c r="B11" s="402" t="s">
        <v>283</v>
      </c>
      <c r="C11" s="553" t="s">
        <v>297</v>
      </c>
      <c r="D11" s="553"/>
      <c r="E11" s="553"/>
      <c r="F11" s="553"/>
      <c r="G11" s="553"/>
      <c r="H11" s="553"/>
      <c r="I11" s="553"/>
      <c r="J11" s="553"/>
    </row>
    <row r="12" spans="2:10" s="88" customFormat="1" ht="61.5" customHeight="1" x14ac:dyDescent="0.3">
      <c r="B12" s="402" t="s">
        <v>282</v>
      </c>
      <c r="C12" s="553" t="s">
        <v>298</v>
      </c>
      <c r="D12" s="553"/>
      <c r="E12" s="553"/>
      <c r="F12" s="553"/>
      <c r="G12" s="553"/>
      <c r="H12" s="553"/>
      <c r="I12" s="553"/>
      <c r="J12" s="553"/>
    </row>
    <row r="13" spans="2:10" s="88" customFormat="1" ht="32.25" customHeight="1" x14ac:dyDescent="0.3">
      <c r="B13" s="402" t="s">
        <v>284</v>
      </c>
      <c r="C13" s="553" t="s">
        <v>299</v>
      </c>
      <c r="D13" s="553"/>
      <c r="E13" s="553"/>
      <c r="F13" s="553"/>
      <c r="G13" s="553"/>
      <c r="H13" s="553"/>
      <c r="I13" s="553"/>
      <c r="J13" s="553"/>
    </row>
    <row r="14" spans="2:10" s="88" customFormat="1" ht="93" customHeight="1" x14ac:dyDescent="0.3">
      <c r="B14" s="402" t="s">
        <v>285</v>
      </c>
      <c r="C14" s="553" t="s">
        <v>300</v>
      </c>
      <c r="D14" s="553"/>
      <c r="E14" s="553"/>
      <c r="F14" s="553"/>
      <c r="G14" s="553"/>
      <c r="H14" s="553"/>
      <c r="I14" s="553"/>
      <c r="J14" s="553"/>
    </row>
    <row r="15" spans="2:10" s="88" customFormat="1" ht="32.25" customHeight="1" x14ac:dyDescent="0.3">
      <c r="B15" s="402" t="s">
        <v>288</v>
      </c>
      <c r="C15" s="553" t="s">
        <v>301</v>
      </c>
      <c r="D15" s="553"/>
      <c r="E15" s="553"/>
      <c r="F15" s="553"/>
      <c r="G15" s="553"/>
      <c r="H15" s="553"/>
      <c r="I15" s="553"/>
      <c r="J15" s="553"/>
    </row>
    <row r="16" spans="2:10" s="155" customFormat="1" x14ac:dyDescent="0.3"/>
    <row r="17" spans="2:3" s="155" customFormat="1" x14ac:dyDescent="0.3"/>
    <row r="18" spans="2:3" s="155" customFormat="1" x14ac:dyDescent="0.3">
      <c r="B18" s="155">
        <v>1</v>
      </c>
      <c r="C18" s="424" t="s">
        <v>303</v>
      </c>
    </row>
    <row r="19" spans="2:3" s="155" customFormat="1" x14ac:dyDescent="0.3">
      <c r="B19" s="155">
        <v>2</v>
      </c>
      <c r="C19" s="424" t="s">
        <v>304</v>
      </c>
    </row>
    <row r="20" spans="2:3" s="155" customFormat="1" x14ac:dyDescent="0.3">
      <c r="B20" s="155">
        <v>3</v>
      </c>
      <c r="C20" s="424" t="s">
        <v>305</v>
      </c>
    </row>
    <row r="21" spans="2:3" s="155" customFormat="1" x14ac:dyDescent="0.3">
      <c r="B21" s="155">
        <v>4</v>
      </c>
      <c r="C21" s="424" t="s">
        <v>306</v>
      </c>
    </row>
    <row r="22" spans="2:3" s="155" customFormat="1" x14ac:dyDescent="0.3">
      <c r="B22" s="155">
        <v>5</v>
      </c>
      <c r="C22" s="424" t="s">
        <v>307</v>
      </c>
    </row>
    <row r="23" spans="2:3" s="155" customFormat="1" x14ac:dyDescent="0.3">
      <c r="B23" s="155">
        <v>6</v>
      </c>
      <c r="C23" s="424" t="s">
        <v>308</v>
      </c>
    </row>
    <row r="24" spans="2:3" s="155" customFormat="1" x14ac:dyDescent="0.3">
      <c r="B24" s="155">
        <v>7</v>
      </c>
      <c r="C24" s="424" t="s">
        <v>309</v>
      </c>
    </row>
    <row r="25" spans="2:3" s="155" customFormat="1" x14ac:dyDescent="0.3">
      <c r="B25" s="155">
        <v>8</v>
      </c>
      <c r="C25" s="424" t="s">
        <v>310</v>
      </c>
    </row>
    <row r="26" spans="2:3" s="155" customFormat="1" x14ac:dyDescent="0.3">
      <c r="B26" s="155">
        <v>9</v>
      </c>
      <c r="C26" s="424" t="s">
        <v>311</v>
      </c>
    </row>
    <row r="27" spans="2:3" s="155" customFormat="1" x14ac:dyDescent="0.3">
      <c r="B27" s="155">
        <v>10</v>
      </c>
      <c r="C27" s="424" t="s">
        <v>312</v>
      </c>
    </row>
    <row r="28" spans="2:3" s="155" customFormat="1" x14ac:dyDescent="0.3">
      <c r="B28" s="155">
        <v>11</v>
      </c>
      <c r="C28" s="424" t="s">
        <v>313</v>
      </c>
    </row>
    <row r="29" spans="2:3" s="155" customFormat="1" x14ac:dyDescent="0.3">
      <c r="B29" s="155">
        <v>12</v>
      </c>
      <c r="C29" s="424" t="s">
        <v>314</v>
      </c>
    </row>
    <row r="30" spans="2:3" s="155" customFormat="1" x14ac:dyDescent="0.3">
      <c r="B30" s="155">
        <v>13</v>
      </c>
      <c r="C30" s="424" t="s">
        <v>316</v>
      </c>
    </row>
    <row r="31" spans="2:3" s="155" customFormat="1" x14ac:dyDescent="0.3">
      <c r="B31" s="155">
        <v>14</v>
      </c>
      <c r="C31" s="424" t="s">
        <v>317</v>
      </c>
    </row>
    <row r="32" spans="2:3" s="155" customFormat="1" x14ac:dyDescent="0.3">
      <c r="B32" s="155">
        <v>15</v>
      </c>
      <c r="C32" s="424" t="s">
        <v>318</v>
      </c>
    </row>
    <row r="33" spans="2:3" s="155" customFormat="1" x14ac:dyDescent="0.3">
      <c r="B33" s="155">
        <v>16</v>
      </c>
      <c r="C33" s="424" t="s">
        <v>319</v>
      </c>
    </row>
    <row r="34" spans="2:3" s="155" customFormat="1" x14ac:dyDescent="0.3">
      <c r="B34" s="155">
        <v>17</v>
      </c>
      <c r="C34" s="424" t="s">
        <v>320</v>
      </c>
    </row>
    <row r="35" spans="2:3" s="155" customFormat="1" x14ac:dyDescent="0.3">
      <c r="B35" s="155">
        <v>18</v>
      </c>
      <c r="C35" s="424" t="s">
        <v>321</v>
      </c>
    </row>
    <row r="36" spans="2:3" s="155" customFormat="1" x14ac:dyDescent="0.3">
      <c r="B36" s="155">
        <v>19</v>
      </c>
      <c r="C36" s="424" t="s">
        <v>322</v>
      </c>
    </row>
    <row r="37" spans="2:3" s="155" customFormat="1" x14ac:dyDescent="0.3">
      <c r="B37" s="155">
        <v>20</v>
      </c>
      <c r="C37" s="424" t="s">
        <v>323</v>
      </c>
    </row>
    <row r="38" spans="2:3" s="155" customFormat="1" x14ac:dyDescent="0.3">
      <c r="B38" s="155">
        <v>21</v>
      </c>
      <c r="C38" s="424" t="s">
        <v>324</v>
      </c>
    </row>
    <row r="39" spans="2:3" s="155" customFormat="1" x14ac:dyDescent="0.3">
      <c r="B39" s="155">
        <v>22</v>
      </c>
      <c r="C39" s="424" t="s">
        <v>325</v>
      </c>
    </row>
    <row r="40" spans="2:3" s="155" customFormat="1" x14ac:dyDescent="0.3">
      <c r="B40" s="155">
        <v>23</v>
      </c>
      <c r="C40" s="424" t="s">
        <v>326</v>
      </c>
    </row>
    <row r="41" spans="2:3" s="155" customFormat="1" x14ac:dyDescent="0.3">
      <c r="B41" s="155">
        <v>24</v>
      </c>
      <c r="C41" s="424" t="s">
        <v>327</v>
      </c>
    </row>
    <row r="42" spans="2:3" s="155" customFormat="1" x14ac:dyDescent="0.3">
      <c r="B42" s="155">
        <v>25</v>
      </c>
      <c r="C42" s="424" t="s">
        <v>328</v>
      </c>
    </row>
    <row r="43" spans="2:3" s="155" customFormat="1" x14ac:dyDescent="0.3">
      <c r="B43" s="155">
        <v>26</v>
      </c>
      <c r="C43" s="424" t="s">
        <v>329</v>
      </c>
    </row>
    <row r="44" spans="2:3" s="155" customFormat="1" x14ac:dyDescent="0.3">
      <c r="B44" s="155">
        <v>27</v>
      </c>
      <c r="C44" s="424" t="s">
        <v>330</v>
      </c>
    </row>
    <row r="45" spans="2:3" s="155" customFormat="1" x14ac:dyDescent="0.3">
      <c r="B45" s="155">
        <v>28</v>
      </c>
      <c r="C45" s="424" t="s">
        <v>331</v>
      </c>
    </row>
    <row r="46" spans="2:3" s="155" customFormat="1" x14ac:dyDescent="0.3">
      <c r="B46" s="155">
        <v>29</v>
      </c>
      <c r="C46" s="424" t="s">
        <v>332</v>
      </c>
    </row>
    <row r="47" spans="2:3" s="155" customFormat="1" x14ac:dyDescent="0.3">
      <c r="B47" s="155">
        <v>30</v>
      </c>
      <c r="C47" s="424" t="s">
        <v>333</v>
      </c>
    </row>
    <row r="48" spans="2:3" s="155" customFormat="1" x14ac:dyDescent="0.3">
      <c r="B48" s="155">
        <v>31</v>
      </c>
      <c r="C48" s="424" t="s">
        <v>334</v>
      </c>
    </row>
    <row r="49" spans="2:3" s="155" customFormat="1" x14ac:dyDescent="0.3">
      <c r="B49" s="155">
        <v>32</v>
      </c>
      <c r="C49" s="424" t="s">
        <v>335</v>
      </c>
    </row>
    <row r="50" spans="2:3" s="155" customFormat="1" x14ac:dyDescent="0.3">
      <c r="B50" s="155">
        <v>33</v>
      </c>
      <c r="C50" s="424" t="s">
        <v>336</v>
      </c>
    </row>
    <row r="51" spans="2:3" s="155" customFormat="1" x14ac:dyDescent="0.3">
      <c r="B51" s="155">
        <v>34</v>
      </c>
      <c r="C51" s="424" t="s">
        <v>337</v>
      </c>
    </row>
    <row r="52" spans="2:3" s="155" customFormat="1" x14ac:dyDescent="0.3">
      <c r="B52" s="155">
        <v>35</v>
      </c>
      <c r="C52" s="424" t="s">
        <v>340</v>
      </c>
    </row>
    <row r="53" spans="2:3" s="155" customFormat="1" x14ac:dyDescent="0.3">
      <c r="B53" s="155">
        <v>36</v>
      </c>
      <c r="C53" s="424" t="s">
        <v>341</v>
      </c>
    </row>
    <row r="54" spans="2:3" s="155" customFormat="1" x14ac:dyDescent="0.3">
      <c r="B54" s="155">
        <v>37</v>
      </c>
      <c r="C54" s="424" t="s">
        <v>342</v>
      </c>
    </row>
    <row r="55" spans="2:3" s="155" customFormat="1" x14ac:dyDescent="0.3">
      <c r="B55" s="155">
        <v>38</v>
      </c>
      <c r="C55" s="424" t="s">
        <v>344</v>
      </c>
    </row>
    <row r="56" spans="2:3" s="155" customFormat="1" x14ac:dyDescent="0.3">
      <c r="B56" s="155">
        <v>39</v>
      </c>
      <c r="C56" s="424" t="s">
        <v>345</v>
      </c>
    </row>
    <row r="57" spans="2:3" s="155" customFormat="1" x14ac:dyDescent="0.3">
      <c r="B57" s="155">
        <v>40</v>
      </c>
      <c r="C57" s="424" t="s">
        <v>346</v>
      </c>
    </row>
    <row r="58" spans="2:3" s="155" customFormat="1" x14ac:dyDescent="0.3">
      <c r="B58" s="155">
        <v>41</v>
      </c>
      <c r="C58" s="424" t="s">
        <v>348</v>
      </c>
    </row>
    <row r="59" spans="2:3" s="155" customFormat="1" x14ac:dyDescent="0.3">
      <c r="B59" s="155">
        <v>42</v>
      </c>
      <c r="C59" s="424"/>
    </row>
    <row r="60" spans="2:3" s="155" customFormat="1" x14ac:dyDescent="0.3">
      <c r="B60" s="155">
        <v>43</v>
      </c>
      <c r="C60" s="424"/>
    </row>
    <row r="61" spans="2:3" s="155" customFormat="1" x14ac:dyDescent="0.3">
      <c r="B61" s="155">
        <v>44</v>
      </c>
      <c r="C61" s="424"/>
    </row>
    <row r="62" spans="2:3" s="155" customFormat="1" x14ac:dyDescent="0.3">
      <c r="B62" s="155">
        <v>45</v>
      </c>
      <c r="C62" s="424"/>
    </row>
    <row r="63" spans="2:3" s="155" customFormat="1" x14ac:dyDescent="0.3"/>
    <row r="64" spans="2:3" s="155" customFormat="1" x14ac:dyDescent="0.3"/>
    <row r="65" s="155" customFormat="1" x14ac:dyDescent="0.3"/>
    <row r="66" s="155" customFormat="1" x14ac:dyDescent="0.3"/>
    <row r="67" s="155" customFormat="1" x14ac:dyDescent="0.3"/>
    <row r="68" s="155" customFormat="1" x14ac:dyDescent="0.3"/>
    <row r="69" s="155" customFormat="1" x14ac:dyDescent="0.3"/>
    <row r="70" s="155" customFormat="1" x14ac:dyDescent="0.3"/>
    <row r="71" s="155" customFormat="1" x14ac:dyDescent="0.3"/>
    <row r="72" s="155" customFormat="1" x14ac:dyDescent="0.3"/>
    <row r="73" s="155" customFormat="1" x14ac:dyDescent="0.3"/>
    <row r="74" s="155" customFormat="1" x14ac:dyDescent="0.3"/>
    <row r="75" s="155" customFormat="1" x14ac:dyDescent="0.3"/>
    <row r="76" s="155" customFormat="1" x14ac:dyDescent="0.3"/>
    <row r="77" s="155" customFormat="1" x14ac:dyDescent="0.3"/>
    <row r="78" s="155" customFormat="1" x14ac:dyDescent="0.3"/>
    <row r="79" s="155" customFormat="1" x14ac:dyDescent="0.3"/>
    <row r="80" s="155" customFormat="1" x14ac:dyDescent="0.3"/>
    <row r="81" s="155" customFormat="1" x14ac:dyDescent="0.3"/>
    <row r="82" s="155" customFormat="1" x14ac:dyDescent="0.3"/>
    <row r="83" s="155" customFormat="1" x14ac:dyDescent="0.3"/>
    <row r="84" s="155" customFormat="1" x14ac:dyDescent="0.3"/>
    <row r="85" s="155" customFormat="1" x14ac:dyDescent="0.3"/>
    <row r="86" s="155" customFormat="1" x14ac:dyDescent="0.3"/>
    <row r="87" s="155" customFormat="1" x14ac:dyDescent="0.3"/>
    <row r="88" s="155" customFormat="1" x14ac:dyDescent="0.3"/>
    <row r="89" s="155" customFormat="1" x14ac:dyDescent="0.3"/>
    <row r="90" s="155" customFormat="1" x14ac:dyDescent="0.3"/>
    <row r="91" s="155" customFormat="1" x14ac:dyDescent="0.3"/>
    <row r="92" s="155" customFormat="1" x14ac:dyDescent="0.3"/>
    <row r="93" s="155" customFormat="1" x14ac:dyDescent="0.3"/>
    <row r="94" s="155" customFormat="1" x14ac:dyDescent="0.3"/>
    <row r="95" s="155" customFormat="1" x14ac:dyDescent="0.3"/>
    <row r="96" s="155" customFormat="1" x14ac:dyDescent="0.3"/>
    <row r="97" s="155" customFormat="1" x14ac:dyDescent="0.3"/>
    <row r="98" s="155" customFormat="1" x14ac:dyDescent="0.3"/>
    <row r="99" s="155" customFormat="1" x14ac:dyDescent="0.3"/>
    <row r="100" s="155" customFormat="1" x14ac:dyDescent="0.3"/>
    <row r="101" s="155" customFormat="1" x14ac:dyDescent="0.3"/>
    <row r="102" s="155" customFormat="1" x14ac:dyDescent="0.3"/>
    <row r="103" s="155" customFormat="1" x14ac:dyDescent="0.3"/>
    <row r="104" s="155" customFormat="1" x14ac:dyDescent="0.3"/>
    <row r="105" s="155" customFormat="1" x14ac:dyDescent="0.3"/>
    <row r="106" s="155" customFormat="1" x14ac:dyDescent="0.3"/>
    <row r="107" s="155" customFormat="1" x14ac:dyDescent="0.3"/>
    <row r="108" s="155" customFormat="1" x14ac:dyDescent="0.3"/>
    <row r="109" s="155" customFormat="1" x14ac:dyDescent="0.3"/>
    <row r="110" s="155" customFormat="1" x14ac:dyDescent="0.3"/>
    <row r="111" s="155" customFormat="1" x14ac:dyDescent="0.3"/>
    <row r="112" s="155" customFormat="1" x14ac:dyDescent="0.3"/>
    <row r="113" s="155" customFormat="1" x14ac:dyDescent="0.3"/>
    <row r="114" s="155" customFormat="1" x14ac:dyDescent="0.3"/>
    <row r="115" s="155" customFormat="1" x14ac:dyDescent="0.3"/>
    <row r="116" s="155" customFormat="1" x14ac:dyDescent="0.3"/>
    <row r="117" s="155" customFormat="1" x14ac:dyDescent="0.3"/>
    <row r="118" s="155" customFormat="1" x14ac:dyDescent="0.3"/>
    <row r="119" s="155" customFormat="1" x14ac:dyDescent="0.3"/>
    <row r="120" s="155" customFormat="1" x14ac:dyDescent="0.3"/>
    <row r="121" s="155" customFormat="1" x14ac:dyDescent="0.3"/>
    <row r="122" s="155" customFormat="1" x14ac:dyDescent="0.3"/>
    <row r="123" s="155" customFormat="1" x14ac:dyDescent="0.3"/>
    <row r="124" s="155" customFormat="1" x14ac:dyDescent="0.3"/>
    <row r="125" s="155" customFormat="1" x14ac:dyDescent="0.3"/>
    <row r="126" s="155" customFormat="1" x14ac:dyDescent="0.3"/>
    <row r="127" s="155" customFormat="1" x14ac:dyDescent="0.3"/>
    <row r="128" s="155" customFormat="1" x14ac:dyDescent="0.3"/>
    <row r="129" s="155" customFormat="1" x14ac:dyDescent="0.3"/>
    <row r="130" s="155" customFormat="1" x14ac:dyDescent="0.3"/>
    <row r="131" s="155" customFormat="1" x14ac:dyDescent="0.3"/>
    <row r="132" s="155" customFormat="1" x14ac:dyDescent="0.3"/>
    <row r="133" s="155" customFormat="1" x14ac:dyDescent="0.3"/>
    <row r="134" s="155" customFormat="1" x14ac:dyDescent="0.3"/>
    <row r="135" s="155" customFormat="1" x14ac:dyDescent="0.3"/>
    <row r="136" s="155" customFormat="1" x14ac:dyDescent="0.3"/>
    <row r="137" s="155" customFormat="1" x14ac:dyDescent="0.3"/>
    <row r="138" s="155" customFormat="1" x14ac:dyDescent="0.3"/>
    <row r="139" s="155" customFormat="1" x14ac:dyDescent="0.3"/>
    <row r="140" s="155" customFormat="1" x14ac:dyDescent="0.3"/>
    <row r="141" s="155" customFormat="1" x14ac:dyDescent="0.3"/>
    <row r="142" s="155" customFormat="1" x14ac:dyDescent="0.3"/>
    <row r="143" s="155" customFormat="1" x14ac:dyDescent="0.3"/>
    <row r="144" s="155" customFormat="1" x14ac:dyDescent="0.3"/>
    <row r="145" s="155" customFormat="1" x14ac:dyDescent="0.3"/>
    <row r="146" s="155" customFormat="1" x14ac:dyDescent="0.3"/>
    <row r="147" s="155" customFormat="1" x14ac:dyDescent="0.3"/>
    <row r="148" s="155" customFormat="1" x14ac:dyDescent="0.3"/>
    <row r="149" s="155" customFormat="1" x14ac:dyDescent="0.3"/>
    <row r="150" s="155" customFormat="1" x14ac:dyDescent="0.3"/>
    <row r="151" s="155" customFormat="1" x14ac:dyDescent="0.3"/>
    <row r="152" s="155" customFormat="1" x14ac:dyDescent="0.3"/>
    <row r="153" s="155" customFormat="1" x14ac:dyDescent="0.3"/>
    <row r="154" s="155" customFormat="1" x14ac:dyDescent="0.3"/>
    <row r="155" s="155" customFormat="1" x14ac:dyDescent="0.3"/>
    <row r="156" s="155" customFormat="1" x14ac:dyDescent="0.3"/>
    <row r="157" s="155" customFormat="1" x14ac:dyDescent="0.3"/>
    <row r="158" s="155" customFormat="1" x14ac:dyDescent="0.3"/>
    <row r="159" s="155" customFormat="1" x14ac:dyDescent="0.3"/>
    <row r="160" s="155" customFormat="1" x14ac:dyDescent="0.3"/>
    <row r="161" s="155" customFormat="1" x14ac:dyDescent="0.3"/>
    <row r="162" s="155" customFormat="1" x14ac:dyDescent="0.3"/>
    <row r="163" s="155" customFormat="1" x14ac:dyDescent="0.3"/>
    <row r="164" s="155" customFormat="1" x14ac:dyDescent="0.3"/>
    <row r="165" s="155" customFormat="1" x14ac:dyDescent="0.3"/>
    <row r="166" s="155" customFormat="1" x14ac:dyDescent="0.3"/>
    <row r="167" s="155" customFormat="1" x14ac:dyDescent="0.3"/>
    <row r="168" s="155" customFormat="1" x14ac:dyDescent="0.3"/>
    <row r="169" s="155" customFormat="1" x14ac:dyDescent="0.3"/>
    <row r="170" s="155" customFormat="1" x14ac:dyDescent="0.3"/>
    <row r="171" s="155" customFormat="1" x14ac:dyDescent="0.3"/>
    <row r="172" s="155" customFormat="1" x14ac:dyDescent="0.3"/>
    <row r="173" s="155" customFormat="1" x14ac:dyDescent="0.3"/>
    <row r="174" s="155" customFormat="1" x14ac:dyDescent="0.3"/>
    <row r="175" s="155" customFormat="1" x14ac:dyDescent="0.3"/>
    <row r="176" s="155" customFormat="1" x14ac:dyDescent="0.3"/>
    <row r="177" s="155" customFormat="1" x14ac:dyDescent="0.3"/>
    <row r="178" s="155" customFormat="1" x14ac:dyDescent="0.3"/>
    <row r="179" s="155" customFormat="1" x14ac:dyDescent="0.3"/>
    <row r="180" s="155" customFormat="1" x14ac:dyDescent="0.3"/>
    <row r="181" s="155" customFormat="1" x14ac:dyDescent="0.3"/>
    <row r="182" s="155" customFormat="1" x14ac:dyDescent="0.3"/>
    <row r="183" s="155" customFormat="1" x14ac:dyDescent="0.3"/>
    <row r="184" s="155" customFormat="1" x14ac:dyDescent="0.3"/>
    <row r="185" s="155" customFormat="1" x14ac:dyDescent="0.3"/>
    <row r="186" s="155" customFormat="1" x14ac:dyDescent="0.3"/>
    <row r="187" s="155" customFormat="1" x14ac:dyDescent="0.3"/>
    <row r="188" s="155" customFormat="1" x14ac:dyDescent="0.3"/>
    <row r="189" s="155" customFormat="1" x14ac:dyDescent="0.3"/>
    <row r="190" s="155" customFormat="1" x14ac:dyDescent="0.3"/>
    <row r="191" s="155" customFormat="1" x14ac:dyDescent="0.3"/>
    <row r="192" s="155" customFormat="1" x14ac:dyDescent="0.3"/>
    <row r="193" s="155" customFormat="1" x14ac:dyDescent="0.3"/>
    <row r="194" s="155" customFormat="1" x14ac:dyDescent="0.3"/>
    <row r="195" s="155" customFormat="1" x14ac:dyDescent="0.3"/>
    <row r="196" s="155" customFormat="1" x14ac:dyDescent="0.3"/>
    <row r="197" s="155" customFormat="1" x14ac:dyDescent="0.3"/>
    <row r="198" s="155" customFormat="1" x14ac:dyDescent="0.3"/>
  </sheetData>
  <mergeCells count="12">
    <mergeCell ref="C14:J14"/>
    <mergeCell ref="C15:J15"/>
    <mergeCell ref="C4:J4"/>
    <mergeCell ref="C5:J5"/>
    <mergeCell ref="C6:J6"/>
    <mergeCell ref="C7:J7"/>
    <mergeCell ref="C8:J8"/>
    <mergeCell ref="C9:J9"/>
    <mergeCell ref="C10:J10"/>
    <mergeCell ref="C11:J11"/>
    <mergeCell ref="C12:J12"/>
    <mergeCell ref="C13:J13"/>
  </mergeCells>
  <conditionalFormatting sqref="B6:B15">
    <cfRule type="cellIs" dxfId="0" priority="1" operator="equal">
      <formula>"NA"</formula>
    </cfRule>
  </conditionalFormatting>
  <pageMargins left="0.7" right="0.7" top="0.75" bottom="0.75" header="0.3" footer="0.3"/>
  <drawing r:id="rId1"/>
  <legacy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D12"/>
  <sheetViews>
    <sheetView workbookViewId="0">
      <selection activeCell="B14" sqref="B14"/>
    </sheetView>
  </sheetViews>
  <sheetFormatPr baseColWidth="10" defaultRowHeight="14.4" x14ac:dyDescent="0.3"/>
  <cols>
    <col min="1" max="1" width="35.6640625" customWidth="1"/>
    <col min="2" max="2" width="3" bestFit="1" customWidth="1"/>
  </cols>
  <sheetData>
    <row r="1" spans="1:4" x14ac:dyDescent="0.3">
      <c r="A1" s="422" t="s">
        <v>303</v>
      </c>
      <c r="B1">
        <v>1</v>
      </c>
      <c r="C1">
        <v>1</v>
      </c>
      <c r="D1" t="str">
        <f>_xlfn.IFS($C1=$B$1,$A$1,$C1=$B$2,$A$2,$C1=$B$3,$A$3,$C1=$B$4,$A$4,$C1=$B$5,+$A$5,$C1=$B$6,+$A$6,$C1=$B$7,+$A$7,$C1=$B$8,+$A$8,$C1=$B$9,$A$9,$C1=$B$10,+$A$10,$C1=$B$11,+$A$11,$C1=$B$12,+$A$12)</f>
        <v>Médico General</v>
      </c>
    </row>
    <row r="2" spans="1:4" x14ac:dyDescent="0.3">
      <c r="A2" s="422" t="s">
        <v>304</v>
      </c>
      <c r="B2">
        <v>2</v>
      </c>
      <c r="C2">
        <v>2</v>
      </c>
      <c r="D2" t="str">
        <f t="shared" ref="D2:D12" si="0">_xlfn.IFS($C2=$B$1,$A$1,$C2=$B$2,$A$2,$C2=$B$3,$A$3,$C2=$B$4,$A$4,$C2=$B$5,+$A$5,$C2=$B$6,+$A$6,$C2=$B$7,+$A$7,$C2=$B$8,+$A$8,$C2=$B$9,$A$9,$C2=$B$10,+$A$10,$C2=$B$11,+$A$11,$C2=$B$12,+$A$12)</f>
        <v>Médico Especialista Medicina Interna</v>
      </c>
    </row>
    <row r="3" spans="1:4" x14ac:dyDescent="0.3">
      <c r="A3" s="422" t="s">
        <v>305</v>
      </c>
      <c r="B3">
        <v>3</v>
      </c>
      <c r="C3">
        <v>4</v>
      </c>
      <c r="D3" t="str">
        <f t="shared" si="0"/>
        <v>ME Ginecología y Obstetricia</v>
      </c>
    </row>
    <row r="4" spans="1:4" x14ac:dyDescent="0.3">
      <c r="A4" s="422" t="s">
        <v>306</v>
      </c>
      <c r="B4">
        <v>4</v>
      </c>
      <c r="C4">
        <v>12</v>
      </c>
      <c r="D4" t="str">
        <f t="shared" si="0"/>
        <v>Odontólogo General</v>
      </c>
    </row>
    <row r="5" spans="1:4" x14ac:dyDescent="0.3">
      <c r="A5" s="422" t="s">
        <v>307</v>
      </c>
      <c r="B5">
        <v>5</v>
      </c>
      <c r="D5" t="e">
        <f t="shared" si="0"/>
        <v>#N/A</v>
      </c>
    </row>
    <row r="6" spans="1:4" x14ac:dyDescent="0.3">
      <c r="A6" s="422" t="s">
        <v>308</v>
      </c>
      <c r="B6">
        <v>6</v>
      </c>
      <c r="D6" t="e">
        <f t="shared" si="0"/>
        <v>#N/A</v>
      </c>
    </row>
    <row r="7" spans="1:4" x14ac:dyDescent="0.3">
      <c r="A7" s="422" t="s">
        <v>309</v>
      </c>
      <c r="B7">
        <v>7</v>
      </c>
      <c r="D7" t="e">
        <f t="shared" si="0"/>
        <v>#N/A</v>
      </c>
    </row>
    <row r="8" spans="1:4" x14ac:dyDescent="0.3">
      <c r="A8" s="422" t="s">
        <v>310</v>
      </c>
      <c r="B8">
        <v>8</v>
      </c>
      <c r="D8" t="e">
        <f t="shared" si="0"/>
        <v>#N/A</v>
      </c>
    </row>
    <row r="9" spans="1:4" x14ac:dyDescent="0.3">
      <c r="A9" s="422" t="s">
        <v>311</v>
      </c>
      <c r="B9">
        <v>9</v>
      </c>
      <c r="D9" t="e">
        <f t="shared" si="0"/>
        <v>#N/A</v>
      </c>
    </row>
    <row r="10" spans="1:4" x14ac:dyDescent="0.3">
      <c r="A10" s="422" t="s">
        <v>312</v>
      </c>
      <c r="B10">
        <v>10</v>
      </c>
      <c r="D10" t="e">
        <f t="shared" si="0"/>
        <v>#N/A</v>
      </c>
    </row>
    <row r="11" spans="1:4" x14ac:dyDescent="0.3">
      <c r="A11" s="422" t="s">
        <v>313</v>
      </c>
      <c r="B11">
        <v>11</v>
      </c>
      <c r="D11" t="e">
        <f t="shared" si="0"/>
        <v>#N/A</v>
      </c>
    </row>
    <row r="12" spans="1:4" x14ac:dyDescent="0.3">
      <c r="A12" s="422" t="s">
        <v>314</v>
      </c>
      <c r="B12">
        <v>12</v>
      </c>
      <c r="D12" t="e">
        <f t="shared" si="0"/>
        <v>#N/A</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B3:AG271"/>
  <sheetViews>
    <sheetView view="pageBreakPreview" topLeftCell="C12" zoomScale="90" zoomScaleNormal="100" zoomScaleSheetLayoutView="90" workbookViewId="0">
      <selection activeCell="D10" sqref="D10:K10"/>
    </sheetView>
  </sheetViews>
  <sheetFormatPr baseColWidth="10" defaultRowHeight="14.4" x14ac:dyDescent="0.3"/>
  <cols>
    <col min="1" max="2" width="0" hidden="1" customWidth="1"/>
    <col min="3" max="3" width="14.5546875" customWidth="1"/>
    <col min="4" max="4" width="47.5546875" customWidth="1"/>
    <col min="5" max="5" width="15.88671875" bestFit="1" customWidth="1"/>
    <col min="6" max="6" width="14" customWidth="1"/>
    <col min="7" max="7" width="12.44140625" bestFit="1" customWidth="1"/>
    <col min="8" max="8" width="16.5546875" customWidth="1"/>
    <col min="9" max="9" width="25.44140625" customWidth="1"/>
    <col min="10" max="10" width="18.33203125" customWidth="1"/>
    <col min="11" max="11" width="17.109375" customWidth="1"/>
    <col min="13" max="13" width="15" hidden="1" customWidth="1"/>
    <col min="14" max="14" width="12.88671875" hidden="1" customWidth="1"/>
    <col min="15" max="15" width="16.109375" hidden="1" customWidth="1"/>
    <col min="16" max="17" width="12.5546875" hidden="1" customWidth="1"/>
    <col min="18" max="18" width="11.44140625" hidden="1" customWidth="1"/>
    <col min="19" max="20" width="12.5546875" hidden="1" customWidth="1"/>
    <col min="21" max="25" width="11.44140625" hidden="1" customWidth="1"/>
    <col min="27" max="27" width="13.5546875" bestFit="1" customWidth="1"/>
  </cols>
  <sheetData>
    <row r="3" spans="2:24" ht="15" thickBot="1" x14ac:dyDescent="0.35">
      <c r="D3" t="s">
        <v>92</v>
      </c>
    </row>
    <row r="4" spans="2:24" x14ac:dyDescent="0.3">
      <c r="C4" s="4"/>
      <c r="D4" s="5"/>
      <c r="E4" s="5"/>
      <c r="F4" s="5"/>
      <c r="G4" s="5"/>
      <c r="H4" s="5"/>
      <c r="I4" s="5"/>
      <c r="J4" s="5"/>
      <c r="K4" s="6"/>
    </row>
    <row r="5" spans="2:24" ht="90.75" customHeight="1" x14ac:dyDescent="0.5">
      <c r="C5" s="7">
        <v>1</v>
      </c>
      <c r="D5" s="558" t="s">
        <v>93</v>
      </c>
      <c r="E5" s="558"/>
      <c r="F5" s="558"/>
      <c r="G5" s="558"/>
      <c r="H5" s="558"/>
      <c r="I5" s="558"/>
      <c r="J5" s="8"/>
      <c r="K5" s="9"/>
    </row>
    <row r="6" spans="2:24" ht="25.8" x14ac:dyDescent="0.5">
      <c r="C6" s="7"/>
      <c r="D6" s="10"/>
      <c r="E6" s="11"/>
      <c r="F6" s="11"/>
      <c r="G6" s="11"/>
      <c r="H6" s="11"/>
      <c r="I6" s="11"/>
      <c r="J6" s="12"/>
      <c r="K6" s="9"/>
    </row>
    <row r="7" spans="2:24" ht="50.25" customHeight="1" x14ac:dyDescent="0.5">
      <c r="C7" s="7">
        <v>2</v>
      </c>
      <c r="D7" s="559" t="s">
        <v>94</v>
      </c>
      <c r="E7" s="559"/>
      <c r="F7" s="559"/>
      <c r="G7" s="559"/>
      <c r="H7" s="559"/>
      <c r="I7" s="559"/>
      <c r="J7" s="12"/>
      <c r="K7" s="9"/>
    </row>
    <row r="8" spans="2:24" ht="15" thickBot="1" x14ac:dyDescent="0.35">
      <c r="C8" s="13"/>
      <c r="D8" s="10"/>
      <c r="E8" s="11"/>
      <c r="F8" s="11"/>
      <c r="G8" s="11"/>
      <c r="H8" s="11"/>
      <c r="I8" s="11"/>
      <c r="J8" s="12"/>
      <c r="K8" s="9"/>
    </row>
    <row r="9" spans="2:24" x14ac:dyDescent="0.3">
      <c r="C9" s="560" t="s">
        <v>95</v>
      </c>
      <c r="D9" s="14" t="s">
        <v>95</v>
      </c>
      <c r="E9" s="15"/>
      <c r="F9" s="15"/>
      <c r="G9" s="15"/>
      <c r="H9" s="15"/>
      <c r="I9" s="15"/>
      <c r="J9" s="5"/>
      <c r="K9" s="6"/>
    </row>
    <row r="10" spans="2:24" ht="408.75" customHeight="1" x14ac:dyDescent="0.3">
      <c r="B10" s="563" t="s">
        <v>96</v>
      </c>
      <c r="C10" s="561"/>
      <c r="D10" s="565" t="s">
        <v>270</v>
      </c>
      <c r="E10" s="564"/>
      <c r="F10" s="564"/>
      <c r="G10" s="564"/>
      <c r="H10" s="564"/>
      <c r="I10" s="564"/>
      <c r="J10" s="564"/>
      <c r="K10" s="566"/>
    </row>
    <row r="11" spans="2:24" ht="26.4" x14ac:dyDescent="0.3">
      <c r="B11" s="563"/>
      <c r="C11" s="561"/>
      <c r="D11" s="16" t="s">
        <v>97</v>
      </c>
      <c r="E11" s="17"/>
      <c r="F11" s="17"/>
      <c r="G11" s="18"/>
      <c r="H11" s="18"/>
      <c r="I11" s="17"/>
      <c r="K11" s="9"/>
    </row>
    <row r="12" spans="2:24" ht="381.75" customHeight="1" thickBot="1" x14ac:dyDescent="0.35">
      <c r="B12" s="563"/>
      <c r="C12" s="561"/>
      <c r="D12" s="564" t="s">
        <v>98</v>
      </c>
      <c r="E12" s="564"/>
      <c r="F12" s="564"/>
      <c r="G12" s="564"/>
      <c r="H12" s="564"/>
      <c r="I12" s="564"/>
      <c r="K12" s="9"/>
      <c r="X12" s="19"/>
    </row>
    <row r="13" spans="2:24" ht="36.6" thickBot="1" x14ac:dyDescent="0.35">
      <c r="C13" s="561"/>
      <c r="D13" s="20" t="s">
        <v>99</v>
      </c>
      <c r="E13" s="21" t="s">
        <v>100</v>
      </c>
      <c r="F13" s="21" t="s">
        <v>101</v>
      </c>
      <c r="G13" s="22" t="s">
        <v>102</v>
      </c>
      <c r="I13" s="23" t="s">
        <v>103</v>
      </c>
      <c r="K13" s="9"/>
      <c r="O13" s="24">
        <v>0.08</v>
      </c>
      <c r="P13">
        <v>3280</v>
      </c>
      <c r="R13" s="25">
        <v>4</v>
      </c>
      <c r="S13" s="25">
        <v>2.5</v>
      </c>
      <c r="T13" s="26">
        <v>17540</v>
      </c>
      <c r="U13" s="27">
        <f>+T13/12</f>
        <v>1461.6666666666667</v>
      </c>
      <c r="V13" s="27">
        <f>+U13/2</f>
        <v>730.83333333333337</v>
      </c>
      <c r="W13" s="28">
        <v>187</v>
      </c>
      <c r="X13" s="28">
        <f>+V13/W13</f>
        <v>3.9081996434937611</v>
      </c>
    </row>
    <row r="14" spans="2:24" x14ac:dyDescent="0.3">
      <c r="C14" s="561"/>
      <c r="D14" s="29" t="s">
        <v>104</v>
      </c>
      <c r="E14" s="30">
        <v>13740</v>
      </c>
      <c r="F14" s="31">
        <f>+(E14/9)*3</f>
        <v>4580</v>
      </c>
      <c r="G14" s="32">
        <f t="shared" ref="G14:G22" si="0">SUM(E14:F14)</f>
        <v>18320</v>
      </c>
      <c r="H14">
        <f t="shared" ref="H14:H23" si="1">+I14/12</f>
        <v>1333.3333333333333</v>
      </c>
      <c r="I14" s="33">
        <f>16000</f>
        <v>16000</v>
      </c>
      <c r="K14" s="9"/>
      <c r="N14" t="s">
        <v>105</v>
      </c>
      <c r="P14" s="34" t="s">
        <v>106</v>
      </c>
      <c r="Q14" s="5"/>
      <c r="R14" s="35">
        <f>10-R13</f>
        <v>6</v>
      </c>
      <c r="S14" s="5">
        <v>187</v>
      </c>
      <c r="T14" s="36">
        <f>+S14*R14</f>
        <v>1122</v>
      </c>
      <c r="U14" s="5"/>
      <c r="V14" s="6"/>
    </row>
    <row r="15" spans="2:24" x14ac:dyDescent="0.3">
      <c r="C15" s="561"/>
      <c r="D15" s="29" t="s">
        <v>107</v>
      </c>
      <c r="E15" s="31">
        <v>1092</v>
      </c>
      <c r="F15" s="31">
        <f t="shared" ref="F15:F23" si="2">+(E15/9)*3</f>
        <v>364</v>
      </c>
      <c r="G15" s="32">
        <f t="shared" si="0"/>
        <v>1456</v>
      </c>
      <c r="H15">
        <f t="shared" si="1"/>
        <v>614.33333333333337</v>
      </c>
      <c r="I15" s="33">
        <v>7372</v>
      </c>
      <c r="K15" s="9"/>
      <c r="N15" t="s">
        <v>105</v>
      </c>
      <c r="P15" s="37"/>
      <c r="S15" s="28"/>
      <c r="T15" s="38">
        <f>+T14*3</f>
        <v>3366</v>
      </c>
      <c r="U15" s="28">
        <f>+T15+U13</f>
        <v>4827.666666666667</v>
      </c>
      <c r="V15" s="39">
        <f>+U15*12</f>
        <v>57932</v>
      </c>
    </row>
    <row r="16" spans="2:24" x14ac:dyDescent="0.3">
      <c r="B16" s="40">
        <v>82501.069999999992</v>
      </c>
      <c r="C16" s="561"/>
      <c r="D16" s="29" t="s">
        <v>108</v>
      </c>
      <c r="E16" s="31">
        <v>1271</v>
      </c>
      <c r="F16" s="31">
        <f t="shared" si="2"/>
        <v>423.66666666666669</v>
      </c>
      <c r="G16" s="32">
        <f t="shared" si="0"/>
        <v>1694.6666666666667</v>
      </c>
      <c r="H16">
        <f t="shared" si="1"/>
        <v>656</v>
      </c>
      <c r="I16" s="33">
        <v>7872</v>
      </c>
      <c r="K16" s="9"/>
      <c r="N16" t="s">
        <v>105</v>
      </c>
      <c r="P16" s="37"/>
      <c r="T16" s="41">
        <f>+T15*12</f>
        <v>40392</v>
      </c>
      <c r="V16" s="42"/>
      <c r="X16">
        <v>512</v>
      </c>
    </row>
    <row r="17" spans="2:22" x14ac:dyDescent="0.3">
      <c r="B17" s="40"/>
      <c r="C17" s="561"/>
      <c r="D17" s="29" t="s">
        <v>109</v>
      </c>
      <c r="E17" s="30">
        <v>28929</v>
      </c>
      <c r="F17" s="31">
        <f>+(E17/9)*3</f>
        <v>9643</v>
      </c>
      <c r="G17" s="32">
        <f t="shared" si="0"/>
        <v>38572</v>
      </c>
      <c r="H17">
        <f t="shared" si="1"/>
        <v>3366</v>
      </c>
      <c r="I17" s="43">
        <v>40392</v>
      </c>
      <c r="K17" s="44"/>
      <c r="N17" t="s">
        <v>110</v>
      </c>
      <c r="P17" s="37"/>
      <c r="V17" s="9"/>
    </row>
    <row r="18" spans="2:22" x14ac:dyDescent="0.3">
      <c r="C18" s="561"/>
      <c r="D18" s="29" t="s">
        <v>111</v>
      </c>
      <c r="E18" s="30">
        <v>24381</v>
      </c>
      <c r="F18" s="31">
        <f t="shared" si="2"/>
        <v>8127</v>
      </c>
      <c r="G18" s="32">
        <f t="shared" si="0"/>
        <v>32508</v>
      </c>
      <c r="H18">
        <f t="shared" si="1"/>
        <v>4511.666666666667</v>
      </c>
      <c r="I18" s="43">
        <f>27070*2</f>
        <v>54140</v>
      </c>
      <c r="K18" s="44"/>
      <c r="N18" t="s">
        <v>112</v>
      </c>
      <c r="P18" s="37" t="s">
        <v>113</v>
      </c>
      <c r="R18">
        <v>7.5</v>
      </c>
      <c r="U18" s="19">
        <f>+R21-T14</f>
        <v>1038</v>
      </c>
      <c r="V18" s="9">
        <f>+U18/S14</f>
        <v>5.5508021390374331</v>
      </c>
    </row>
    <row r="19" spans="2:22" ht="30.6" x14ac:dyDescent="0.3">
      <c r="C19" s="561"/>
      <c r="D19" s="45" t="s">
        <v>114</v>
      </c>
      <c r="E19" s="31">
        <v>5196</v>
      </c>
      <c r="F19" s="31">
        <f t="shared" si="2"/>
        <v>1732</v>
      </c>
      <c r="G19" s="46">
        <f t="shared" si="0"/>
        <v>6928</v>
      </c>
      <c r="H19">
        <f t="shared" si="1"/>
        <v>998</v>
      </c>
      <c r="I19" s="33">
        <f>2994*4</f>
        <v>11976</v>
      </c>
      <c r="K19" s="9"/>
      <c r="N19" t="s">
        <v>112</v>
      </c>
      <c r="P19" s="37" t="s">
        <v>115</v>
      </c>
      <c r="R19">
        <v>12</v>
      </c>
      <c r="V19" s="9"/>
    </row>
    <row r="20" spans="2:22" ht="15" thickBot="1" x14ac:dyDescent="0.35">
      <c r="C20" s="561"/>
      <c r="D20" s="29" t="s">
        <v>116</v>
      </c>
      <c r="E20" s="47">
        <v>7389</v>
      </c>
      <c r="F20" s="31">
        <f t="shared" si="2"/>
        <v>2463</v>
      </c>
      <c r="G20" s="32">
        <f t="shared" si="0"/>
        <v>9852</v>
      </c>
      <c r="H20">
        <f t="shared" si="1"/>
        <v>1728</v>
      </c>
      <c r="I20" s="43">
        <v>20736</v>
      </c>
      <c r="J20" s="48">
        <v>2023</v>
      </c>
      <c r="K20" s="9"/>
      <c r="N20" t="s">
        <v>117</v>
      </c>
      <c r="P20" s="37"/>
      <c r="R20">
        <f>+R18*R19</f>
        <v>90</v>
      </c>
      <c r="V20" s="9"/>
    </row>
    <row r="21" spans="2:22" ht="15" thickBot="1" x14ac:dyDescent="0.35">
      <c r="C21" s="561"/>
      <c r="D21" s="49" t="s">
        <v>118</v>
      </c>
      <c r="E21" s="47">
        <v>2939</v>
      </c>
      <c r="F21" s="31">
        <f t="shared" si="2"/>
        <v>979.66666666666663</v>
      </c>
      <c r="G21" s="32">
        <f t="shared" si="0"/>
        <v>3918.6666666666665</v>
      </c>
      <c r="H21">
        <f t="shared" si="1"/>
        <v>1461.6666666666667</v>
      </c>
      <c r="I21" s="33">
        <v>17540</v>
      </c>
      <c r="J21" s="50" t="s">
        <v>119</v>
      </c>
      <c r="K21" s="51">
        <f>+J22/30</f>
        <v>504.9786666666667</v>
      </c>
      <c r="N21" t="s">
        <v>105</v>
      </c>
      <c r="P21" s="52"/>
      <c r="Q21" s="53"/>
      <c r="R21" s="53">
        <f>+R20*24</f>
        <v>2160</v>
      </c>
      <c r="S21" s="53">
        <f>+R21*3</f>
        <v>6480</v>
      </c>
      <c r="T21" s="53">
        <f>+S21*12</f>
        <v>77760</v>
      </c>
      <c r="U21" s="54">
        <f>+(T16+T13)/T21</f>
        <v>0.74501028806584357</v>
      </c>
      <c r="V21" s="55"/>
    </row>
    <row r="22" spans="2:22" ht="15" thickBot="1" x14ac:dyDescent="0.35">
      <c r="B22" s="40"/>
      <c r="C22" s="561"/>
      <c r="D22" s="56" t="s">
        <v>120</v>
      </c>
      <c r="E22" s="57">
        <v>4003</v>
      </c>
      <c r="F22" s="58">
        <f t="shared" si="2"/>
        <v>1334.3333333333333</v>
      </c>
      <c r="G22" s="59">
        <f t="shared" si="0"/>
        <v>5337.333333333333</v>
      </c>
      <c r="H22">
        <f t="shared" si="1"/>
        <v>480.35999999999996</v>
      </c>
      <c r="I22" s="33">
        <f>+G22+N22</f>
        <v>5764.32</v>
      </c>
      <c r="J22" s="60">
        <f>+I23/12</f>
        <v>15149.36</v>
      </c>
      <c r="K22" s="61">
        <f>+J22*30%</f>
        <v>4544.808</v>
      </c>
      <c r="N22">
        <f>+G22*O13</f>
        <v>426.98666666666668</v>
      </c>
      <c r="P22" s="34"/>
      <c r="Q22" s="5"/>
      <c r="R22" s="36"/>
      <c r="S22" s="5"/>
      <c r="T22" s="5"/>
      <c r="U22" s="5"/>
      <c r="V22" s="6"/>
    </row>
    <row r="23" spans="2:22" ht="15" thickBot="1" x14ac:dyDescent="0.35">
      <c r="B23" s="40"/>
      <c r="C23" s="561"/>
      <c r="D23" s="62" t="s">
        <v>102</v>
      </c>
      <c r="E23" s="63">
        <f>SUM(E14:E22)</f>
        <v>88940</v>
      </c>
      <c r="F23" s="64">
        <f t="shared" si="2"/>
        <v>29646.666666666668</v>
      </c>
      <c r="G23" s="65">
        <f>SUM(G14:G22)</f>
        <v>118586.66666666667</v>
      </c>
      <c r="H23">
        <f t="shared" si="1"/>
        <v>15149.36</v>
      </c>
      <c r="I23" s="66">
        <f>SUM(I14:I22)</f>
        <v>181792.32</v>
      </c>
      <c r="J23" s="67"/>
      <c r="K23" s="68"/>
      <c r="N23" s="69">
        <f>+I23/12</f>
        <v>15149.36</v>
      </c>
      <c r="P23" s="37"/>
      <c r="R23" s="70">
        <v>62000</v>
      </c>
      <c r="S23" s="71">
        <f>+R23/3</f>
        <v>20666.666666666668</v>
      </c>
      <c r="T23" s="28">
        <f>+S23/12</f>
        <v>1722.2222222222224</v>
      </c>
      <c r="U23" s="28">
        <f>+T23/12</f>
        <v>143.51851851851853</v>
      </c>
      <c r="V23" s="72">
        <f>+U23/16</f>
        <v>8.9699074074074083</v>
      </c>
    </row>
    <row r="24" spans="2:22" ht="15" thickBot="1" x14ac:dyDescent="0.35">
      <c r="B24" s="40"/>
      <c r="C24" s="562"/>
      <c r="D24" s="73" t="s">
        <v>121</v>
      </c>
      <c r="E24" s="74"/>
      <c r="F24" s="74"/>
      <c r="G24" s="74"/>
      <c r="H24" s="74"/>
      <c r="I24" s="74"/>
      <c r="J24" s="74"/>
      <c r="K24" s="75"/>
      <c r="P24" s="37"/>
      <c r="R24" s="28">
        <f>+R23/12</f>
        <v>5166.666666666667</v>
      </c>
      <c r="V24" s="9"/>
    </row>
    <row r="25" spans="2:22" x14ac:dyDescent="0.3">
      <c r="B25" s="40"/>
      <c r="C25" s="567" t="s">
        <v>122</v>
      </c>
      <c r="D25" s="5"/>
      <c r="E25" s="5"/>
      <c r="F25" s="5"/>
      <c r="G25" s="5"/>
      <c r="H25" s="5"/>
      <c r="I25" s="5"/>
      <c r="J25" s="5"/>
      <c r="K25" s="6"/>
      <c r="P25" s="37"/>
      <c r="R25" s="28">
        <f>+R24/24</f>
        <v>215.2777777777778</v>
      </c>
      <c r="S25" s="28">
        <f>+R25/3</f>
        <v>71.759259259259267</v>
      </c>
      <c r="T25" s="28">
        <f>+S25/12</f>
        <v>5.9799382716049392</v>
      </c>
      <c r="V25" s="9"/>
    </row>
    <row r="26" spans="2:22" ht="15" thickBot="1" x14ac:dyDescent="0.35">
      <c r="B26" s="19"/>
      <c r="C26" s="568"/>
      <c r="D26" s="76" t="s">
        <v>122</v>
      </c>
      <c r="K26" s="9"/>
      <c r="P26" s="52"/>
      <c r="Q26" s="53"/>
      <c r="R26" s="53"/>
      <c r="S26" s="53"/>
      <c r="T26" s="53"/>
      <c r="U26" s="53"/>
      <c r="V26" s="55"/>
    </row>
    <row r="27" spans="2:22" x14ac:dyDescent="0.3">
      <c r="B27" s="19"/>
      <c r="C27" s="568"/>
      <c r="D27" s="76"/>
      <c r="K27" s="9"/>
      <c r="U27">
        <v>2868</v>
      </c>
    </row>
    <row r="28" spans="2:22" ht="123.75" customHeight="1" x14ac:dyDescent="0.3">
      <c r="B28" s="77"/>
      <c r="C28" s="568"/>
      <c r="D28" s="571" t="s">
        <v>123</v>
      </c>
      <c r="E28" s="571"/>
      <c r="F28" s="571"/>
      <c r="G28" s="571"/>
      <c r="H28" s="571"/>
      <c r="I28" s="571"/>
      <c r="J28">
        <v>2023</v>
      </c>
      <c r="K28" s="9"/>
      <c r="R28">
        <v>14</v>
      </c>
      <c r="S28" t="s">
        <v>124</v>
      </c>
      <c r="T28">
        <v>191.2</v>
      </c>
      <c r="U28" s="79">
        <f>+T28*R28</f>
        <v>2676.7999999999997</v>
      </c>
      <c r="V28" s="79">
        <f>+U28*1.3</f>
        <v>3479.8399999999997</v>
      </c>
    </row>
    <row r="29" spans="2:22" x14ac:dyDescent="0.3">
      <c r="C29" s="568"/>
      <c r="D29" s="80"/>
      <c r="E29" s="81">
        <f>+E33/E32</f>
        <v>0.17452114351339157</v>
      </c>
      <c r="F29" s="81">
        <f>+F33/F32</f>
        <v>0.17452114351339157</v>
      </c>
      <c r="G29" s="81">
        <f>+G33/G32</f>
        <v>0.17452114351339157</v>
      </c>
      <c r="H29" s="81" t="e">
        <f>+H33/H32</f>
        <v>#DIV/0!</v>
      </c>
      <c r="I29" s="81">
        <f>+I33/I32</f>
        <v>0.17452114351339157</v>
      </c>
      <c r="J29" s="82">
        <f>+I34/12</f>
        <v>3420.411111111111</v>
      </c>
      <c r="K29" s="83">
        <v>41044.93</v>
      </c>
      <c r="V29" s="24" t="e">
        <f>+#REF!/V28</f>
        <v>#REF!</v>
      </c>
    </row>
    <row r="30" spans="2:22" ht="15" thickBot="1" x14ac:dyDescent="0.35">
      <c r="B30" s="40"/>
      <c r="C30" s="568"/>
      <c r="D30" s="84"/>
      <c r="E30" s="84"/>
      <c r="F30" s="84"/>
      <c r="G30" s="85">
        <f>+G34+H30</f>
        <v>41044.933333333334</v>
      </c>
      <c r="H30" s="84">
        <f>+G34*7.5%</f>
        <v>2863.6</v>
      </c>
      <c r="I30" s="86">
        <f>+I32/365</f>
        <v>95.742739726027395</v>
      </c>
      <c r="J30" s="28">
        <f>+I30/7</f>
        <v>13.677534246575343</v>
      </c>
      <c r="K30" s="83">
        <f>+K29/12</f>
        <v>3420.4108333333334</v>
      </c>
      <c r="N30" t="s">
        <v>125</v>
      </c>
    </row>
    <row r="31" spans="2:22" ht="36" x14ac:dyDescent="0.3">
      <c r="C31" s="569"/>
      <c r="D31" s="87" t="s">
        <v>126</v>
      </c>
      <c r="E31" s="21" t="s">
        <v>100</v>
      </c>
      <c r="F31" s="21" t="s">
        <v>101</v>
      </c>
      <c r="G31" s="22" t="s">
        <v>102</v>
      </c>
      <c r="H31" s="88"/>
      <c r="I31" s="89" t="s">
        <v>103</v>
      </c>
      <c r="J31" s="90" t="s">
        <v>119</v>
      </c>
      <c r="K31" s="9"/>
      <c r="P31">
        <f>+K30*30</f>
        <v>102612.325</v>
      </c>
      <c r="R31">
        <f>+P31*12</f>
        <v>1231347.8999999999</v>
      </c>
    </row>
    <row r="32" spans="2:22" x14ac:dyDescent="0.3">
      <c r="C32" s="569"/>
      <c r="D32" s="91" t="s">
        <v>127</v>
      </c>
      <c r="E32" s="92">
        <f>7610+8399+8372</f>
        <v>24381</v>
      </c>
      <c r="F32" s="92">
        <f>+(E32/9)*3</f>
        <v>8127</v>
      </c>
      <c r="G32" s="93">
        <f>SUM(E32:F32)</f>
        <v>32508</v>
      </c>
      <c r="I32" s="32">
        <f>+(G32*7.5%)+G32</f>
        <v>34946.1</v>
      </c>
      <c r="J32" s="94">
        <f>+G32/12</f>
        <v>2709</v>
      </c>
      <c r="K32" s="95"/>
    </row>
    <row r="33" spans="3:17" x14ac:dyDescent="0.3">
      <c r="C33" s="569"/>
      <c r="D33" s="91" t="s">
        <v>128</v>
      </c>
      <c r="E33" s="92">
        <f>1346+1097+1812</f>
        <v>4255</v>
      </c>
      <c r="F33" s="92">
        <f>+(E33/9)*3</f>
        <v>1418.3333333333333</v>
      </c>
      <c r="G33" s="93">
        <f>SUM(E33:F33)</f>
        <v>5673.333333333333</v>
      </c>
      <c r="H33" s="28"/>
      <c r="I33" s="32">
        <f>+(G33*7.5%)+G33</f>
        <v>6098.833333333333</v>
      </c>
      <c r="J33" s="94">
        <f>+G33/12</f>
        <v>472.77777777777777</v>
      </c>
      <c r="K33" s="95"/>
      <c r="P33" s="19">
        <f>+K32*12</f>
        <v>0</v>
      </c>
      <c r="Q33" s="19"/>
    </row>
    <row r="34" spans="3:17" ht="15" thickBot="1" x14ac:dyDescent="0.35">
      <c r="C34" s="569"/>
      <c r="D34" s="96" t="s">
        <v>102</v>
      </c>
      <c r="E34" s="97">
        <f>SUM(E32:E33)</f>
        <v>28636</v>
      </c>
      <c r="F34" s="97">
        <f>SUM(F32:F33)</f>
        <v>9545.3333333333339</v>
      </c>
      <c r="G34" s="98">
        <f>SUM(E34:F34)</f>
        <v>38181.333333333336</v>
      </c>
      <c r="I34" s="99">
        <f>+(G34*7.5%)+G34</f>
        <v>41044.933333333334</v>
      </c>
      <c r="J34" s="100">
        <f>SUM(J32:J33)</f>
        <v>3181.7777777777778</v>
      </c>
      <c r="K34" s="95"/>
    </row>
    <row r="35" spans="3:17" ht="21" thickBot="1" x14ac:dyDescent="0.35">
      <c r="C35" s="570"/>
      <c r="D35" s="101" t="s">
        <v>129</v>
      </c>
      <c r="E35" s="102"/>
      <c r="F35" s="102"/>
      <c r="G35" s="102"/>
      <c r="H35" s="102"/>
      <c r="I35" s="102"/>
      <c r="J35" s="103">
        <f>+I35/12</f>
        <v>0</v>
      </c>
      <c r="K35" s="55"/>
    </row>
    <row r="36" spans="3:17" x14ac:dyDescent="0.3">
      <c r="C36" s="572" t="s">
        <v>130</v>
      </c>
      <c r="D36" s="5"/>
      <c r="E36" s="5"/>
      <c r="F36" s="5"/>
      <c r="G36" s="5"/>
      <c r="H36" s="5"/>
      <c r="I36" s="5"/>
      <c r="J36" s="104"/>
      <c r="K36" s="6"/>
    </row>
    <row r="37" spans="3:17" x14ac:dyDescent="0.3">
      <c r="C37" s="573"/>
      <c r="D37" s="76" t="s">
        <v>130</v>
      </c>
      <c r="K37" s="9"/>
    </row>
    <row r="38" spans="3:17" x14ac:dyDescent="0.3">
      <c r="C38" s="573"/>
      <c r="K38" s="9"/>
    </row>
    <row r="39" spans="3:17" ht="51" customHeight="1" x14ac:dyDescent="0.3">
      <c r="C39" s="573"/>
      <c r="D39" s="575" t="s">
        <v>131</v>
      </c>
      <c r="E39" s="576"/>
      <c r="F39" s="576"/>
      <c r="G39" s="576"/>
      <c r="H39" s="576"/>
      <c r="I39" s="576"/>
      <c r="K39" s="107"/>
    </row>
    <row r="40" spans="3:17" x14ac:dyDescent="0.3">
      <c r="C40" s="573"/>
      <c r="D40" s="108"/>
      <c r="I40" s="40"/>
      <c r="J40" s="40"/>
      <c r="K40" s="109"/>
    </row>
    <row r="41" spans="3:17" x14ac:dyDescent="0.3">
      <c r="C41" s="573"/>
      <c r="D41" s="108"/>
      <c r="I41" s="40"/>
      <c r="J41" s="40"/>
      <c r="K41" s="109"/>
    </row>
    <row r="42" spans="3:17" x14ac:dyDescent="0.3">
      <c r="C42" s="573"/>
      <c r="D42" s="110" t="s">
        <v>132</v>
      </c>
      <c r="E42" s="111">
        <f>+E43*12</f>
        <v>17280</v>
      </c>
      <c r="I42" s="40"/>
      <c r="J42" s="40"/>
      <c r="K42" s="109"/>
    </row>
    <row r="43" spans="3:17" x14ac:dyDescent="0.3">
      <c r="C43" s="573"/>
      <c r="D43" s="110" t="s">
        <v>133</v>
      </c>
      <c r="E43" s="111">
        <f>(12*4)*30</f>
        <v>1440</v>
      </c>
      <c r="F43" s="77">
        <f>+E43/J34</f>
        <v>0.452577175583182</v>
      </c>
      <c r="G43" t="s">
        <v>134</v>
      </c>
      <c r="I43" s="40"/>
      <c r="J43" s="40"/>
      <c r="K43" s="109"/>
    </row>
    <row r="44" spans="3:17" ht="15" thickBot="1" x14ac:dyDescent="0.35">
      <c r="C44" s="573"/>
      <c r="D44" s="108"/>
      <c r="I44" s="40"/>
      <c r="J44" s="40"/>
      <c r="K44" s="109"/>
    </row>
    <row r="45" spans="3:17" ht="36.6" thickBot="1" x14ac:dyDescent="0.35">
      <c r="C45" s="573"/>
      <c r="D45" s="112" t="s">
        <v>126</v>
      </c>
      <c r="E45" s="113" t="s">
        <v>100</v>
      </c>
      <c r="F45" s="113" t="s">
        <v>101</v>
      </c>
      <c r="G45" s="114" t="s">
        <v>102</v>
      </c>
      <c r="H45" s="115"/>
      <c r="I45" s="116" t="s">
        <v>103</v>
      </c>
      <c r="J45" s="117" t="s">
        <v>119</v>
      </c>
      <c r="K45" s="9"/>
      <c r="N45" s="40" t="e">
        <f>+#REF!+K45</f>
        <v>#REF!</v>
      </c>
      <c r="O45" s="40"/>
      <c r="P45" t="e">
        <f>+N45/12</f>
        <v>#REF!</v>
      </c>
    </row>
    <row r="46" spans="3:17" x14ac:dyDescent="0.3">
      <c r="C46" s="573"/>
      <c r="D46" s="118" t="s">
        <v>135</v>
      </c>
      <c r="E46" s="92">
        <f>1965+1965+1965</f>
        <v>5895</v>
      </c>
      <c r="F46" s="92">
        <v>1965</v>
      </c>
      <c r="G46" s="92">
        <f>SUM(E46:F46)</f>
        <v>7860</v>
      </c>
      <c r="H46" s="119"/>
      <c r="I46" s="120">
        <f>1440*12</f>
        <v>17280</v>
      </c>
      <c r="J46" s="121">
        <f>+I46/12</f>
        <v>1440</v>
      </c>
      <c r="K46" s="9"/>
    </row>
    <row r="47" spans="3:17" ht="40.799999999999997" x14ac:dyDescent="0.3">
      <c r="C47" s="573"/>
      <c r="D47" s="122" t="s">
        <v>136</v>
      </c>
      <c r="E47" s="123"/>
      <c r="F47" s="123"/>
      <c r="G47" s="124"/>
      <c r="I47" s="125">
        <f>+(G47*7.5%)+G47</f>
        <v>0</v>
      </c>
      <c r="J47" s="9"/>
      <c r="K47" s="9"/>
    </row>
    <row r="48" spans="3:17" ht="15" thickBot="1" x14ac:dyDescent="0.35">
      <c r="C48" s="573"/>
      <c r="D48" s="126" t="s">
        <v>102</v>
      </c>
      <c r="E48" s="124">
        <f>SUM(E46:E47)</f>
        <v>5895</v>
      </c>
      <c r="F48" s="124">
        <f>SUM(F46:F47)</f>
        <v>1965</v>
      </c>
      <c r="G48" s="124">
        <f>SUM(G46:G47)</f>
        <v>7860</v>
      </c>
      <c r="H48" s="53"/>
      <c r="I48" s="127">
        <f>+(G48*7.5%)+G48</f>
        <v>8449.5</v>
      </c>
      <c r="J48" s="55"/>
      <c r="K48" s="128">
        <f>+I48/12</f>
        <v>704.125</v>
      </c>
    </row>
    <row r="49" spans="3:28" ht="15" thickBot="1" x14ac:dyDescent="0.35">
      <c r="C49" s="574"/>
      <c r="D49" s="129" t="s">
        <v>137</v>
      </c>
      <c r="E49" s="53"/>
      <c r="F49" s="53"/>
      <c r="G49" s="53"/>
      <c r="H49" s="53"/>
      <c r="I49" s="53"/>
      <c r="J49" s="53"/>
      <c r="K49" s="55"/>
    </row>
    <row r="50" spans="3:28" x14ac:dyDescent="0.3">
      <c r="C50" s="577" t="s">
        <v>138</v>
      </c>
      <c r="D50" s="5"/>
      <c r="E50" s="5"/>
      <c r="F50" s="5"/>
      <c r="G50" s="5"/>
      <c r="H50" s="5"/>
      <c r="I50" s="5"/>
      <c r="J50" s="5"/>
      <c r="K50" s="130">
        <v>120</v>
      </c>
    </row>
    <row r="51" spans="3:28" x14ac:dyDescent="0.3">
      <c r="C51" s="578"/>
      <c r="D51" s="131" t="s">
        <v>138</v>
      </c>
      <c r="K51" s="132">
        <v>456.26222222222225</v>
      </c>
    </row>
    <row r="52" spans="3:28" x14ac:dyDescent="0.3">
      <c r="C52" s="578"/>
      <c r="K52" s="9"/>
    </row>
    <row r="53" spans="3:28" ht="192.75" customHeight="1" x14ac:dyDescent="0.3">
      <c r="C53" s="578"/>
      <c r="D53" s="575" t="s">
        <v>139</v>
      </c>
      <c r="E53" s="575"/>
      <c r="F53" s="575"/>
      <c r="G53" s="575"/>
      <c r="H53" s="575"/>
      <c r="I53" s="575"/>
      <c r="K53" s="9"/>
    </row>
    <row r="54" spans="3:28" x14ac:dyDescent="0.3">
      <c r="C54" s="578"/>
      <c r="D54" s="108"/>
      <c r="E54" s="133"/>
      <c r="F54" s="133"/>
      <c r="G54" s="133"/>
      <c r="H54" s="133"/>
      <c r="I54" s="133"/>
      <c r="K54" s="9"/>
    </row>
    <row r="55" spans="3:28" x14ac:dyDescent="0.3">
      <c r="C55" s="578"/>
      <c r="D55" s="133"/>
      <c r="E55" s="133"/>
      <c r="F55" s="133"/>
      <c r="G55" s="133"/>
      <c r="H55" s="133"/>
      <c r="I55" s="133"/>
      <c r="K55" s="9"/>
    </row>
    <row r="56" spans="3:28" x14ac:dyDescent="0.3">
      <c r="C56" s="578"/>
      <c r="D56" s="133"/>
      <c r="E56" s="133"/>
      <c r="F56" s="133"/>
      <c r="G56" s="134"/>
      <c r="H56" s="134"/>
      <c r="I56" s="134"/>
      <c r="J56" s="19"/>
      <c r="K56" s="9"/>
      <c r="Z56">
        <v>58</v>
      </c>
      <c r="AA56">
        <f>+Z56*11</f>
        <v>638</v>
      </c>
      <c r="AB56">
        <f>+AA56*30</f>
        <v>19140</v>
      </c>
    </row>
    <row r="57" spans="3:28" x14ac:dyDescent="0.3">
      <c r="C57" s="578"/>
      <c r="D57" t="s">
        <v>140</v>
      </c>
      <c r="E57">
        <v>21170</v>
      </c>
      <c r="F57" s="77">
        <v>1</v>
      </c>
      <c r="G57" s="19"/>
      <c r="H57" s="19"/>
      <c r="I57" s="19"/>
      <c r="J57" s="19"/>
      <c r="K57" s="9"/>
      <c r="Z57">
        <v>365</v>
      </c>
    </row>
    <row r="58" spans="3:28" x14ac:dyDescent="0.3">
      <c r="C58" s="578"/>
      <c r="D58" t="s">
        <v>133</v>
      </c>
      <c r="E58" s="28">
        <f>+E57/12</f>
        <v>1764.1666666666667</v>
      </c>
      <c r="G58" s="19"/>
      <c r="H58" s="19"/>
      <c r="I58" s="19"/>
      <c r="J58" s="19"/>
      <c r="K58" s="9"/>
    </row>
    <row r="59" spans="3:28" ht="29.4" thickBot="1" x14ac:dyDescent="0.35">
      <c r="C59" s="578"/>
      <c r="K59" s="72"/>
      <c r="P59" s="88" t="s">
        <v>141</v>
      </c>
      <c r="Z59">
        <f>+Z56*Z57</f>
        <v>21170</v>
      </c>
    </row>
    <row r="60" spans="3:28" ht="24.6" x14ac:dyDescent="0.3">
      <c r="C60" s="579"/>
      <c r="D60" s="135" t="s">
        <v>126</v>
      </c>
      <c r="E60" s="136">
        <v>2021</v>
      </c>
      <c r="F60" s="136">
        <v>2022</v>
      </c>
      <c r="G60" s="136" t="s">
        <v>142</v>
      </c>
      <c r="H60" s="2" t="s">
        <v>143</v>
      </c>
      <c r="I60" s="137" t="s">
        <v>144</v>
      </c>
      <c r="J60" s="138" t="s">
        <v>145</v>
      </c>
      <c r="K60" s="9"/>
      <c r="N60" s="84">
        <v>21170</v>
      </c>
      <c r="O60" s="84"/>
      <c r="P60" s="77">
        <f>+I64/N60</f>
        <v>0</v>
      </c>
    </row>
    <row r="61" spans="3:28" x14ac:dyDescent="0.3">
      <c r="C61" s="579"/>
      <c r="D61" s="139" t="s">
        <v>146</v>
      </c>
      <c r="E61" s="140">
        <v>21185</v>
      </c>
      <c r="F61" s="141">
        <v>16160</v>
      </c>
      <c r="G61" s="142">
        <f>+(F61/9)*3</f>
        <v>5386.666666666667</v>
      </c>
      <c r="H61" s="143">
        <f>+E61+F61+G61</f>
        <v>42731.666666666664</v>
      </c>
      <c r="I61" s="144">
        <f>H61/2</f>
        <v>21365.833333333332</v>
      </c>
      <c r="J61" s="145"/>
      <c r="K61" s="9"/>
      <c r="N61" s="84">
        <v>1764</v>
      </c>
      <c r="O61" s="84"/>
    </row>
    <row r="62" spans="3:28" ht="15" thickBot="1" x14ac:dyDescent="0.35">
      <c r="C62" s="579"/>
      <c r="D62" s="146" t="s">
        <v>102</v>
      </c>
      <c r="E62" s="147">
        <f>SUM(E61)</f>
        <v>21185</v>
      </c>
      <c r="F62" s="147">
        <f t="shared" ref="F62:I62" si="3">SUM(F61)</f>
        <v>16160</v>
      </c>
      <c r="G62" s="147">
        <f t="shared" si="3"/>
        <v>5386.666666666667</v>
      </c>
      <c r="H62" s="147">
        <f t="shared" si="3"/>
        <v>42731.666666666664</v>
      </c>
      <c r="I62" s="147">
        <f t="shared" si="3"/>
        <v>21365.833333333332</v>
      </c>
      <c r="J62" s="68">
        <v>1588</v>
      </c>
      <c r="K62" s="148">
        <f>+J62/E58</f>
        <v>0.90014170996693432</v>
      </c>
      <c r="L62" s="28">
        <f>+K59*90%</f>
        <v>0</v>
      </c>
      <c r="N62" s="149">
        <f>+J62/N61</f>
        <v>0.90022675736961455</v>
      </c>
      <c r="O62" s="149"/>
    </row>
    <row r="63" spans="3:28" s="155" customFormat="1" ht="15" thickBot="1" x14ac:dyDescent="0.35">
      <c r="C63" s="578"/>
      <c r="D63" s="150"/>
      <c r="E63" s="151"/>
      <c r="F63" s="151"/>
      <c r="G63" s="152"/>
      <c r="H63" s="153"/>
      <c r="I63" s="154"/>
      <c r="K63" s="156"/>
      <c r="L63" s="157"/>
      <c r="N63" s="158"/>
      <c r="O63" s="158"/>
    </row>
    <row r="64" spans="3:28" ht="43.8" thickBot="1" x14ac:dyDescent="0.35">
      <c r="C64" s="580"/>
      <c r="D64" s="159" t="s">
        <v>147</v>
      </c>
      <c r="E64" s="53"/>
      <c r="F64" s="53"/>
      <c r="G64" s="53"/>
      <c r="H64" s="53"/>
      <c r="I64" s="53"/>
      <c r="K64" s="55"/>
      <c r="N64" s="84"/>
      <c r="O64" s="84"/>
    </row>
    <row r="65" spans="2:15" x14ac:dyDescent="0.3">
      <c r="C65" s="582" t="s">
        <v>148</v>
      </c>
      <c r="E65" s="5"/>
      <c r="F65" s="5"/>
      <c r="G65" s="5"/>
      <c r="H65" s="5"/>
      <c r="I65" s="5"/>
      <c r="J65" s="5"/>
      <c r="K65" s="6"/>
      <c r="N65" s="84"/>
      <c r="O65" s="84"/>
    </row>
    <row r="66" spans="2:15" x14ac:dyDescent="0.3">
      <c r="C66" s="583"/>
      <c r="D66" s="160" t="s">
        <v>148</v>
      </c>
      <c r="E66" s="161"/>
      <c r="F66" s="161"/>
      <c r="G66" s="161"/>
      <c r="H66" s="161"/>
      <c r="I66" s="161"/>
      <c r="K66" s="9"/>
    </row>
    <row r="67" spans="2:15" x14ac:dyDescent="0.3">
      <c r="C67" s="583"/>
      <c r="D67" s="161"/>
      <c r="E67" s="161"/>
      <c r="F67" s="161"/>
      <c r="G67" s="161"/>
      <c r="H67" s="161"/>
      <c r="I67" s="161"/>
      <c r="K67" s="9"/>
    </row>
    <row r="68" spans="2:15" x14ac:dyDescent="0.3">
      <c r="C68" s="583"/>
      <c r="D68" s="162"/>
      <c r="E68" s="161"/>
      <c r="F68" s="161"/>
      <c r="G68" s="161"/>
      <c r="H68" s="161"/>
      <c r="I68" s="161"/>
      <c r="K68" s="9"/>
    </row>
    <row r="69" spans="2:15" ht="96.75" customHeight="1" x14ac:dyDescent="0.3">
      <c r="B69" s="88"/>
      <c r="C69" s="583"/>
      <c r="D69" s="575" t="s">
        <v>149</v>
      </c>
      <c r="E69" s="575"/>
      <c r="F69" s="575"/>
      <c r="G69" s="575"/>
      <c r="H69" s="575"/>
      <c r="I69" s="575"/>
      <c r="J69" s="163"/>
      <c r="K69" s="9"/>
      <c r="N69">
        <v>192</v>
      </c>
      <c r="O69">
        <f>+N69*4</f>
        <v>768</v>
      </c>
    </row>
    <row r="70" spans="2:15" ht="69.75" customHeight="1" x14ac:dyDescent="0.3">
      <c r="B70" s="164"/>
      <c r="C70" s="583"/>
      <c r="D70" s="586" t="s">
        <v>150</v>
      </c>
      <c r="E70" s="586"/>
      <c r="F70" s="586"/>
      <c r="G70" s="586"/>
      <c r="H70" s="586"/>
      <c r="I70" s="586"/>
      <c r="N70">
        <v>60</v>
      </c>
      <c r="O70">
        <f>+N70*5</f>
        <v>300</v>
      </c>
    </row>
    <row r="71" spans="2:15" x14ac:dyDescent="0.3">
      <c r="C71" s="584"/>
      <c r="D71" s="1"/>
      <c r="E71" s="111">
        <v>90</v>
      </c>
      <c r="F71" s="111">
        <f>+E71*12</f>
        <v>1080</v>
      </c>
      <c r="G71" s="111">
        <f>+F71*70%</f>
        <v>756</v>
      </c>
      <c r="H71" s="111">
        <f>+G71*70%</f>
        <v>529.19999999999993</v>
      </c>
      <c r="I71" s="111">
        <v>799200</v>
      </c>
      <c r="J71" s="143">
        <f>+I71*H71</f>
        <v>422936639.99999994</v>
      </c>
      <c r="K71" s="1"/>
    </row>
    <row r="72" spans="2:15" x14ac:dyDescent="0.3">
      <c r="C72" s="584"/>
      <c r="D72" s="1" t="s">
        <v>151</v>
      </c>
      <c r="E72" s="111">
        <v>300</v>
      </c>
      <c r="F72" s="111">
        <f>+E72*12</f>
        <v>3600</v>
      </c>
      <c r="G72" s="111">
        <f>+F72*70%</f>
        <v>2520</v>
      </c>
      <c r="H72" s="111">
        <f>+G72*70%</f>
        <v>1764</v>
      </c>
      <c r="I72" s="111">
        <v>1491300</v>
      </c>
      <c r="J72" s="143">
        <f>+I72*H72</f>
        <v>2630653200</v>
      </c>
      <c r="K72" s="1"/>
    </row>
    <row r="73" spans="2:15" x14ac:dyDescent="0.3">
      <c r="C73" s="584"/>
      <c r="D73" s="1"/>
      <c r="E73" s="111"/>
      <c r="F73" s="111">
        <f>SUM(F71:F72)</f>
        <v>4680</v>
      </c>
      <c r="G73" s="111">
        <f>SUM(G71:G72)</f>
        <v>3276</v>
      </c>
      <c r="H73" s="111">
        <f>SUM(H71:H72)</f>
        <v>2293.1999999999998</v>
      </c>
      <c r="I73" s="111"/>
      <c r="J73" s="143">
        <f>+J71+J72/G73</f>
        <v>423739647.69230765</v>
      </c>
      <c r="K73" s="143">
        <f>+J73/E72</f>
        <v>1412465.4923076921</v>
      </c>
    </row>
    <row r="74" spans="2:15" ht="15" thickBot="1" x14ac:dyDescent="0.35">
      <c r="C74" s="583"/>
      <c r="G74">
        <f>+G73/12</f>
        <v>273</v>
      </c>
    </row>
    <row r="75" spans="2:15" x14ac:dyDescent="0.3">
      <c r="C75" s="583"/>
      <c r="D75" s="165" t="s">
        <v>126</v>
      </c>
      <c r="E75" s="166">
        <v>2021</v>
      </c>
      <c r="F75" s="167">
        <v>2022</v>
      </c>
      <c r="G75" s="168" t="s">
        <v>102</v>
      </c>
      <c r="H75" s="119"/>
      <c r="K75" s="9"/>
    </row>
    <row r="76" spans="2:15" x14ac:dyDescent="0.3">
      <c r="C76" s="583"/>
      <c r="D76" s="169" t="s">
        <v>152</v>
      </c>
      <c r="E76" s="170">
        <v>2712</v>
      </c>
      <c r="F76" s="171">
        <v>1441.33</v>
      </c>
      <c r="G76" s="172">
        <f>+(E76+F76)/2</f>
        <v>2076.665</v>
      </c>
      <c r="H76" s="119"/>
      <c r="I76" s="119"/>
      <c r="K76" s="9"/>
    </row>
    <row r="77" spans="2:15" x14ac:dyDescent="0.3">
      <c r="C77" s="583"/>
      <c r="D77" s="169" t="s">
        <v>153</v>
      </c>
      <c r="E77" s="170">
        <v>1500</v>
      </c>
      <c r="F77" s="171">
        <v>1786.67</v>
      </c>
      <c r="G77" s="172">
        <f>+(E77+F77)/2</f>
        <v>1643.335</v>
      </c>
      <c r="H77" s="173" t="s">
        <v>119</v>
      </c>
      <c r="I77" s="174"/>
      <c r="J77" s="175" t="s">
        <v>145</v>
      </c>
      <c r="K77" s="109"/>
    </row>
    <row r="78" spans="2:15" ht="15" thickBot="1" x14ac:dyDescent="0.35">
      <c r="C78" s="583"/>
      <c r="D78" s="176" t="s">
        <v>102</v>
      </c>
      <c r="E78" s="177"/>
      <c r="F78" s="178"/>
      <c r="G78" s="179">
        <f>SUM(G76:G77)</f>
        <v>3720</v>
      </c>
      <c r="H78" s="173">
        <f>+G78/12</f>
        <v>310</v>
      </c>
      <c r="I78" s="180"/>
      <c r="J78" s="181">
        <f>390*70%</f>
        <v>273</v>
      </c>
      <c r="K78" s="9"/>
    </row>
    <row r="79" spans="2:15" ht="15" thickBot="1" x14ac:dyDescent="0.35">
      <c r="C79" s="585"/>
      <c r="D79" s="182" t="s">
        <v>154</v>
      </c>
      <c r="E79" s="53"/>
      <c r="F79" s="53"/>
      <c r="G79" s="53"/>
      <c r="H79" s="53"/>
      <c r="I79" s="183"/>
      <c r="J79" s="53"/>
      <c r="K79" s="55"/>
    </row>
    <row r="80" spans="2:15" x14ac:dyDescent="0.3">
      <c r="C80" s="582" t="s">
        <v>155</v>
      </c>
      <c r="D80" s="5"/>
      <c r="E80" s="5"/>
      <c r="F80" s="5"/>
      <c r="G80" s="5"/>
      <c r="H80" s="5"/>
      <c r="I80" s="5"/>
      <c r="J80" s="5"/>
      <c r="K80" s="6"/>
    </row>
    <row r="81" spans="3:20" x14ac:dyDescent="0.3">
      <c r="C81" s="583"/>
      <c r="D81" s="184" t="s">
        <v>155</v>
      </c>
      <c r="K81" s="9"/>
    </row>
    <row r="82" spans="3:20" x14ac:dyDescent="0.3">
      <c r="C82" s="583"/>
      <c r="K82" s="9"/>
    </row>
    <row r="83" spans="3:20" ht="48.75" customHeight="1" x14ac:dyDescent="0.3">
      <c r="C83" s="583"/>
      <c r="D83" s="575" t="s">
        <v>156</v>
      </c>
      <c r="E83" s="575"/>
      <c r="F83" s="575"/>
      <c r="G83" s="575"/>
      <c r="H83" s="575"/>
      <c r="I83" s="575"/>
      <c r="K83" s="9"/>
    </row>
    <row r="84" spans="3:20" x14ac:dyDescent="0.3">
      <c r="C84" s="583"/>
      <c r="D84" s="133"/>
      <c r="E84" s="133"/>
      <c r="F84" s="133"/>
      <c r="G84" s="133"/>
      <c r="H84" s="133"/>
      <c r="I84" s="133"/>
      <c r="K84" s="9"/>
    </row>
    <row r="85" spans="3:20" ht="75" customHeight="1" x14ac:dyDescent="0.3">
      <c r="C85" s="583"/>
      <c r="D85" s="575" t="s">
        <v>157</v>
      </c>
      <c r="E85" s="575"/>
      <c r="F85" s="575"/>
      <c r="G85" s="575"/>
      <c r="H85" s="575"/>
      <c r="I85" s="575"/>
      <c r="K85" s="9"/>
    </row>
    <row r="86" spans="3:20" x14ac:dyDescent="0.3">
      <c r="C86" s="583"/>
      <c r="H86" s="19"/>
      <c r="I86" s="28"/>
      <c r="K86" s="9"/>
    </row>
    <row r="87" spans="3:20" ht="15" thickBot="1" x14ac:dyDescent="0.35">
      <c r="C87" s="583"/>
      <c r="E87">
        <v>30384</v>
      </c>
      <c r="H87" s="19"/>
      <c r="I87" s="28"/>
      <c r="K87" s="9"/>
    </row>
    <row r="88" spans="3:20" x14ac:dyDescent="0.3">
      <c r="C88" s="583"/>
      <c r="D88" s="185" t="s">
        <v>140</v>
      </c>
      <c r="E88" s="186">
        <f>+G94+1956+463</f>
        <v>41351</v>
      </c>
      <c r="H88" s="19"/>
      <c r="I88" s="28"/>
      <c r="K88" s="9"/>
    </row>
    <row r="89" spans="3:20" ht="15" thickBot="1" x14ac:dyDescent="0.35">
      <c r="C89" s="583"/>
      <c r="D89" s="187" t="s">
        <v>158</v>
      </c>
      <c r="E89" s="188">
        <f>+E88/12</f>
        <v>3445.9166666666665</v>
      </c>
      <c r="H89" s="19"/>
      <c r="K89" s="9"/>
    </row>
    <row r="90" spans="3:20" x14ac:dyDescent="0.3">
      <c r="C90" s="583"/>
      <c r="H90" s="19"/>
      <c r="J90" s="189" t="s">
        <v>159</v>
      </c>
      <c r="K90" s="9"/>
    </row>
    <row r="91" spans="3:20" ht="15" thickBot="1" x14ac:dyDescent="0.35">
      <c r="C91" s="583"/>
      <c r="H91" s="19"/>
      <c r="I91" s="28"/>
      <c r="J91" s="190">
        <f>+H94+1956+463</f>
        <v>41351</v>
      </c>
      <c r="K91" s="9"/>
    </row>
    <row r="92" spans="3:20" ht="15" thickBot="1" x14ac:dyDescent="0.35">
      <c r="C92" s="583"/>
      <c r="H92" s="19"/>
      <c r="I92" s="28"/>
      <c r="J92" s="191" t="s">
        <v>119</v>
      </c>
      <c r="K92" s="9"/>
    </row>
    <row r="93" spans="3:20" ht="36.6" thickBot="1" x14ac:dyDescent="0.35">
      <c r="C93" s="583"/>
      <c r="D93" s="192" t="s">
        <v>126</v>
      </c>
      <c r="E93" s="21" t="s">
        <v>100</v>
      </c>
      <c r="F93" s="21" t="s">
        <v>101</v>
      </c>
      <c r="G93" s="22" t="s">
        <v>102</v>
      </c>
      <c r="H93" s="193" t="s">
        <v>102</v>
      </c>
      <c r="J93" s="194">
        <f>+J91/12</f>
        <v>3445.9166666666665</v>
      </c>
      <c r="K93" s="95"/>
    </row>
    <row r="94" spans="3:20" ht="15" thickBot="1" x14ac:dyDescent="0.35">
      <c r="C94" s="583"/>
      <c r="D94" s="195" t="s">
        <v>160</v>
      </c>
      <c r="E94" s="196">
        <v>29199</v>
      </c>
      <c r="F94" s="196">
        <f>+(E94/9)*3</f>
        <v>9733</v>
      </c>
      <c r="G94" s="197">
        <f>+E94+F94</f>
        <v>38932</v>
      </c>
      <c r="H94" s="198">
        <f>SUM(E94:F94)</f>
        <v>38932</v>
      </c>
      <c r="K94" s="107"/>
      <c r="N94" s="19"/>
      <c r="P94" s="77"/>
      <c r="Q94" s="28"/>
      <c r="T94" s="77"/>
    </row>
    <row r="95" spans="3:20" ht="18.75" hidden="1" customHeight="1" x14ac:dyDescent="0.3">
      <c r="C95" s="583"/>
      <c r="D95" s="199" t="s">
        <v>161</v>
      </c>
      <c r="E95" s="200">
        <f>900+468</f>
        <v>1368</v>
      </c>
      <c r="F95" s="201">
        <v>456</v>
      </c>
      <c r="G95" s="202">
        <f t="shared" ref="G95:G98" si="4">+E95+F95</f>
        <v>1824</v>
      </c>
      <c r="H95" s="203">
        <f>SUM(E95:F95)</f>
        <v>1824</v>
      </c>
      <c r="I95" s="204">
        <f t="shared" ref="I95:I98" si="5">+H95/2</f>
        <v>912</v>
      </c>
      <c r="J95" s="77">
        <f>+H95/$H$99</f>
        <v>4.6850919552039454E-2</v>
      </c>
      <c r="K95" s="107">
        <f>+$E$87*J95</f>
        <v>1423.5183396691668</v>
      </c>
      <c r="L95">
        <v>30000</v>
      </c>
      <c r="M95" s="19">
        <f>+L95*K95</f>
        <v>42705550.190075003</v>
      </c>
      <c r="N95" s="19"/>
      <c r="P95" s="77"/>
      <c r="Q95" s="28"/>
      <c r="T95" s="77"/>
    </row>
    <row r="96" spans="3:20" hidden="1" x14ac:dyDescent="0.3">
      <c r="C96" s="583"/>
      <c r="D96" s="205" t="s">
        <v>162</v>
      </c>
      <c r="E96" s="206">
        <v>1122</v>
      </c>
      <c r="F96" s="200">
        <f>240*3</f>
        <v>720</v>
      </c>
      <c r="G96" s="202">
        <f t="shared" si="4"/>
        <v>1842</v>
      </c>
      <c r="H96" s="203">
        <f>SUM(E96:F96)</f>
        <v>1842</v>
      </c>
      <c r="I96" s="204">
        <f t="shared" si="5"/>
        <v>921</v>
      </c>
      <c r="J96" s="77">
        <f t="shared" ref="J96:J98" si="6">+H96/$H$99</f>
        <v>4.7313264152881951E-2</v>
      </c>
      <c r="K96" s="107">
        <f t="shared" ref="K96:K98" si="7">+$E$87*J96</f>
        <v>1437.5662180211652</v>
      </c>
      <c r="L96">
        <v>78930</v>
      </c>
      <c r="M96" s="19">
        <f t="shared" ref="M96:M98" si="8">+L96*K96</f>
        <v>113467101.58841057</v>
      </c>
      <c r="N96" s="19"/>
      <c r="P96" s="77"/>
      <c r="Q96" s="28"/>
      <c r="R96" s="28"/>
      <c r="T96" s="77"/>
    </row>
    <row r="97" spans="3:20" hidden="1" x14ac:dyDescent="0.3">
      <c r="C97" s="583"/>
      <c r="D97" s="205" t="s">
        <v>163</v>
      </c>
      <c r="E97" s="206">
        <v>7276</v>
      </c>
      <c r="F97" s="201">
        <v>2425</v>
      </c>
      <c r="G97" s="202">
        <f t="shared" si="4"/>
        <v>9701</v>
      </c>
      <c r="H97" s="203">
        <f>SUM(E97:F97)</f>
        <v>9701</v>
      </c>
      <c r="I97" s="204">
        <f t="shared" si="5"/>
        <v>4850.5</v>
      </c>
      <c r="J97" s="77">
        <f t="shared" si="6"/>
        <v>0.24917805404294668</v>
      </c>
      <c r="K97" s="107">
        <f t="shared" si="7"/>
        <v>7571.0259940408923</v>
      </c>
      <c r="L97">
        <v>522630</v>
      </c>
      <c r="M97" s="19">
        <f t="shared" si="8"/>
        <v>3956845315.2655916</v>
      </c>
      <c r="N97" s="19"/>
      <c r="P97" s="77"/>
      <c r="Q97" s="28"/>
      <c r="R97" s="28"/>
      <c r="T97" s="77"/>
    </row>
    <row r="98" spans="3:20" hidden="1" x14ac:dyDescent="0.3">
      <c r="C98" s="583"/>
      <c r="D98" s="205" t="s">
        <v>164</v>
      </c>
      <c r="E98" s="206">
        <v>16483</v>
      </c>
      <c r="F98" s="201">
        <v>5494</v>
      </c>
      <c r="G98" s="202">
        <f t="shared" si="4"/>
        <v>21977</v>
      </c>
      <c r="H98" s="203">
        <f>SUM(E98:F98)</f>
        <v>21977</v>
      </c>
      <c r="I98" s="204">
        <f t="shared" si="5"/>
        <v>10988.5</v>
      </c>
      <c r="J98" s="77">
        <f t="shared" si="6"/>
        <v>0.56449707181752795</v>
      </c>
      <c r="K98" s="107">
        <f t="shared" si="7"/>
        <v>17151.679030103769</v>
      </c>
      <c r="L98">
        <v>172800</v>
      </c>
      <c r="M98" s="19">
        <f t="shared" si="8"/>
        <v>2963810136.4019313</v>
      </c>
      <c r="N98" s="19"/>
      <c r="P98" s="77"/>
      <c r="Q98" s="28"/>
      <c r="T98" s="77"/>
    </row>
    <row r="99" spans="3:20" ht="15" hidden="1" thickBot="1" x14ac:dyDescent="0.35">
      <c r="C99" s="583"/>
      <c r="D99" s="207" t="s">
        <v>165</v>
      </c>
      <c r="E99" s="208">
        <f>+E94</f>
        <v>29199</v>
      </c>
      <c r="F99" s="208">
        <f>+F94</f>
        <v>9733</v>
      </c>
      <c r="G99" s="208">
        <f>+G94</f>
        <v>38932</v>
      </c>
      <c r="H99" s="209">
        <f>+H94</f>
        <v>38932</v>
      </c>
      <c r="I99" s="210" t="s">
        <v>166</v>
      </c>
      <c r="J99" s="77"/>
      <c r="K99" s="107"/>
      <c r="M99" s="19">
        <f>SUM(M95:M98)</f>
        <v>7076828103.4460087</v>
      </c>
      <c r="Q99" s="19"/>
      <c r="S99" s="69"/>
    </row>
    <row r="100" spans="3:20" ht="15" thickBot="1" x14ac:dyDescent="0.35">
      <c r="C100" s="583"/>
      <c r="E100" s="19"/>
      <c r="H100" s="211">
        <f>+H99/12</f>
        <v>3244.3333333333335</v>
      </c>
      <c r="I100" t="s">
        <v>167</v>
      </c>
      <c r="K100" s="9"/>
      <c r="M100" s="19">
        <f>+M99/E87</f>
        <v>232912.98392068222</v>
      </c>
    </row>
    <row r="101" spans="3:20" ht="41.4" thickBot="1" x14ac:dyDescent="0.35">
      <c r="C101" s="585"/>
      <c r="D101" s="212" t="s">
        <v>168</v>
      </c>
      <c r="E101" s="53"/>
      <c r="F101" s="53"/>
      <c r="G101" s="53"/>
      <c r="H101" s="53"/>
      <c r="I101" s="53"/>
      <c r="J101" s="53"/>
      <c r="K101" s="55"/>
    </row>
    <row r="102" spans="3:20" x14ac:dyDescent="0.3">
      <c r="C102" s="577" t="s">
        <v>169</v>
      </c>
      <c r="D102" s="5"/>
      <c r="E102" s="5"/>
      <c r="F102" s="5"/>
      <c r="G102" s="5"/>
      <c r="H102" s="5"/>
      <c r="I102" s="5"/>
      <c r="J102" s="5"/>
      <c r="K102" s="6"/>
    </row>
    <row r="103" spans="3:20" x14ac:dyDescent="0.3">
      <c r="C103" s="578"/>
      <c r="D103" s="160" t="s">
        <v>169</v>
      </c>
      <c r="K103" s="9"/>
    </row>
    <row r="104" spans="3:20" x14ac:dyDescent="0.3">
      <c r="C104" s="578"/>
      <c r="K104" s="9"/>
    </row>
    <row r="105" spans="3:20" ht="149.25" customHeight="1" x14ac:dyDescent="0.3">
      <c r="C105" s="578"/>
      <c r="D105" s="575" t="s">
        <v>170</v>
      </c>
      <c r="E105" s="575"/>
      <c r="F105" s="575"/>
      <c r="G105" s="575"/>
      <c r="H105" s="575"/>
      <c r="I105" s="575"/>
      <c r="K105" s="9"/>
    </row>
    <row r="106" spans="3:20" ht="15" thickBot="1" x14ac:dyDescent="0.35">
      <c r="C106" s="578"/>
      <c r="D106" s="213"/>
      <c r="J106" s="77">
        <v>1</v>
      </c>
      <c r="K106" s="9"/>
    </row>
    <row r="107" spans="3:20" x14ac:dyDescent="0.3">
      <c r="C107" s="578"/>
      <c r="I107" s="214" t="s">
        <v>145</v>
      </c>
      <c r="J107" s="6">
        <v>25000</v>
      </c>
      <c r="K107" s="9"/>
    </row>
    <row r="108" spans="3:20" ht="15" thickBot="1" x14ac:dyDescent="0.35">
      <c r="C108" s="578"/>
      <c r="G108" s="40">
        <f>+E111/9</f>
        <v>275</v>
      </c>
      <c r="I108" s="215">
        <v>22500</v>
      </c>
      <c r="J108" s="216">
        <f>+I108/J107</f>
        <v>0.9</v>
      </c>
      <c r="K108" s="9"/>
    </row>
    <row r="109" spans="3:20" ht="36" x14ac:dyDescent="0.3">
      <c r="C109" s="578"/>
      <c r="D109" s="217" t="s">
        <v>50</v>
      </c>
      <c r="E109" s="218" t="s">
        <v>100</v>
      </c>
      <c r="F109" s="218" t="s">
        <v>101</v>
      </c>
      <c r="G109" s="219" t="s">
        <v>102</v>
      </c>
      <c r="H109" s="220" t="s">
        <v>171</v>
      </c>
      <c r="K109" s="9"/>
    </row>
    <row r="110" spans="3:20" x14ac:dyDescent="0.3">
      <c r="C110" s="578"/>
      <c r="D110" s="221" t="s">
        <v>172</v>
      </c>
      <c r="E110" s="222">
        <v>187860</v>
      </c>
      <c r="F110" s="222">
        <f>+(E110/9)*3</f>
        <v>62620</v>
      </c>
      <c r="G110" s="142">
        <f>SUM(E110:F110)</f>
        <v>250480</v>
      </c>
      <c r="H110" s="142">
        <f>+G110</f>
        <v>250480</v>
      </c>
      <c r="K110" s="9"/>
    </row>
    <row r="111" spans="3:20" x14ac:dyDescent="0.3">
      <c r="C111" s="578"/>
      <c r="D111" s="223" t="s">
        <v>173</v>
      </c>
      <c r="E111" s="222">
        <v>2475</v>
      </c>
      <c r="F111" s="222">
        <f>+(E111/9)*3</f>
        <v>825</v>
      </c>
      <c r="G111" s="142">
        <f>+E111+F111</f>
        <v>3300</v>
      </c>
      <c r="H111" s="142">
        <f>+G111</f>
        <v>3300</v>
      </c>
      <c r="K111" s="9"/>
    </row>
    <row r="112" spans="3:20" x14ac:dyDescent="0.3">
      <c r="C112" s="578"/>
      <c r="D112" s="223" t="s">
        <v>174</v>
      </c>
      <c r="E112" s="222"/>
      <c r="F112" s="1"/>
      <c r="G112" s="142">
        <f>SUM(E112:F112)</f>
        <v>0</v>
      </c>
      <c r="H112" s="124">
        <v>6784</v>
      </c>
      <c r="K112" s="95"/>
    </row>
    <row r="113" spans="3:16" x14ac:dyDescent="0.3">
      <c r="C113" s="578"/>
      <c r="D113" s="223" t="s">
        <v>102</v>
      </c>
      <c r="E113" s="224">
        <f>SUM(E110:E112)</f>
        <v>190335</v>
      </c>
      <c r="F113" s="224">
        <f>SUM(F110:F112)</f>
        <v>63445</v>
      </c>
      <c r="G113" s="142">
        <f>SUM(G110:G111)</f>
        <v>253780</v>
      </c>
      <c r="H113" s="124">
        <f>SUM(H110:H112)</f>
        <v>260564</v>
      </c>
      <c r="K113" s="9"/>
    </row>
    <row r="114" spans="3:16" x14ac:dyDescent="0.3">
      <c r="C114" s="578"/>
      <c r="G114" s="225" t="s">
        <v>119</v>
      </c>
      <c r="H114" s="226">
        <f>+H113/12</f>
        <v>21713.666666666668</v>
      </c>
      <c r="K114" s="9"/>
    </row>
    <row r="115" spans="3:16" ht="31.2" thickBot="1" x14ac:dyDescent="0.35">
      <c r="C115" s="587"/>
      <c r="D115" s="182" t="s">
        <v>175</v>
      </c>
      <c r="E115" s="53"/>
      <c r="F115" s="53"/>
      <c r="G115" s="53"/>
      <c r="H115" s="53"/>
      <c r="I115" s="53"/>
      <c r="J115" s="53"/>
      <c r="K115" s="55"/>
    </row>
    <row r="116" spans="3:16" x14ac:dyDescent="0.3">
      <c r="C116" s="577" t="s">
        <v>176</v>
      </c>
      <c r="D116" s="5"/>
      <c r="E116" s="5"/>
      <c r="F116" s="5"/>
      <c r="G116" s="5"/>
      <c r="H116" s="5"/>
      <c r="I116" s="5"/>
      <c r="J116" s="5"/>
      <c r="K116" s="6"/>
    </row>
    <row r="117" spans="3:16" x14ac:dyDescent="0.3">
      <c r="C117" s="578"/>
      <c r="D117" s="184" t="s">
        <v>176</v>
      </c>
      <c r="K117" s="9"/>
    </row>
    <row r="118" spans="3:16" x14ac:dyDescent="0.3">
      <c r="C118" s="578"/>
      <c r="K118" s="9"/>
    </row>
    <row r="119" spans="3:16" ht="36.75" customHeight="1" x14ac:dyDescent="0.3">
      <c r="C119" s="578"/>
      <c r="D119" s="571" t="s">
        <v>177</v>
      </c>
      <c r="E119" s="571"/>
      <c r="F119" s="571"/>
      <c r="G119" s="571"/>
      <c r="H119" s="571"/>
      <c r="I119" s="571"/>
      <c r="K119" s="148">
        <f>+K122/K121</f>
        <v>0.9</v>
      </c>
    </row>
    <row r="120" spans="3:16" ht="15" thickBot="1" x14ac:dyDescent="0.35">
      <c r="C120" s="578"/>
      <c r="D120" s="227"/>
      <c r="E120" s="228"/>
      <c r="F120" s="228"/>
      <c r="G120" s="228"/>
      <c r="H120" s="228"/>
      <c r="I120" s="228"/>
      <c r="K120" s="9"/>
    </row>
    <row r="121" spans="3:16" ht="231" customHeight="1" x14ac:dyDescent="0.3">
      <c r="C121" s="578"/>
      <c r="D121" s="571" t="s">
        <v>178</v>
      </c>
      <c r="E121" s="571"/>
      <c r="F121" s="571"/>
      <c r="G121" s="571"/>
      <c r="H121" s="571"/>
      <c r="I121" s="571"/>
      <c r="J121" s="229" t="s">
        <v>179</v>
      </c>
      <c r="K121" s="230">
        <v>500</v>
      </c>
      <c r="N121" s="40">
        <f>+K121*12</f>
        <v>6000</v>
      </c>
      <c r="O121" s="40"/>
    </row>
    <row r="122" spans="3:16" ht="15" thickBot="1" x14ac:dyDescent="0.35">
      <c r="C122" s="578"/>
      <c r="H122" s="19"/>
      <c r="J122" s="231" t="s">
        <v>180</v>
      </c>
      <c r="K122" s="232">
        <v>450</v>
      </c>
      <c r="N122" s="77">
        <f>+K122/K121</f>
        <v>0.9</v>
      </c>
      <c r="O122" s="77"/>
      <c r="P122">
        <f>+K122*12</f>
        <v>5400</v>
      </c>
    </row>
    <row r="123" spans="3:16" ht="32.25" customHeight="1" x14ac:dyDescent="0.3">
      <c r="C123" s="579"/>
      <c r="D123" s="233" t="s">
        <v>181</v>
      </c>
      <c r="E123" s="234" t="s">
        <v>182</v>
      </c>
      <c r="F123" s="234" t="s">
        <v>183</v>
      </c>
      <c r="G123" s="234" t="s">
        <v>184</v>
      </c>
      <c r="H123" s="235" t="s">
        <v>185</v>
      </c>
      <c r="I123" s="236" t="s">
        <v>102</v>
      </c>
      <c r="J123" s="237" t="s">
        <v>159</v>
      </c>
      <c r="K123" s="238"/>
      <c r="N123">
        <v>5400</v>
      </c>
    </row>
    <row r="124" spans="3:16" ht="15" thickBot="1" x14ac:dyDescent="0.35">
      <c r="C124" s="579"/>
      <c r="D124" s="239" t="s">
        <v>186</v>
      </c>
      <c r="E124" s="240">
        <v>345</v>
      </c>
      <c r="F124" s="240">
        <v>703</v>
      </c>
      <c r="G124" s="144">
        <v>355</v>
      </c>
      <c r="H124" s="171">
        <f>+(E124+F124+G124)/(9)*(3)</f>
        <v>467.66666666666663</v>
      </c>
      <c r="I124" s="241">
        <f>SUM(E124:H124)</f>
        <v>1870.6666666666665</v>
      </c>
      <c r="J124" s="242">
        <f>+I128/12</f>
        <v>413.4444444444444</v>
      </c>
      <c r="K124" s="243">
        <f>+J124/K122</f>
        <v>0.91876543209876538</v>
      </c>
      <c r="L124" s="77">
        <f>+I124/$I$128</f>
        <v>0.37704918032786883</v>
      </c>
      <c r="M124" s="40">
        <v>146106</v>
      </c>
      <c r="N124" s="28">
        <f>+N123*$L$124</f>
        <v>2036.0655737704917</v>
      </c>
      <c r="O124" s="40">
        <f>+M124*N124</f>
        <v>297481396.72131145</v>
      </c>
    </row>
    <row r="125" spans="3:16" x14ac:dyDescent="0.3">
      <c r="C125" s="579"/>
      <c r="D125" s="239" t="s">
        <v>187</v>
      </c>
      <c r="E125" s="240">
        <v>605</v>
      </c>
      <c r="F125" s="240">
        <v>599</v>
      </c>
      <c r="G125" s="144">
        <v>449</v>
      </c>
      <c r="H125" s="171">
        <f>+(E125+F125+G125)/(9)*(3)</f>
        <v>551</v>
      </c>
      <c r="I125" s="241">
        <f>SUM(E125:H125)</f>
        <v>2204</v>
      </c>
      <c r="J125" s="12"/>
      <c r="K125" s="72"/>
      <c r="L125" s="77">
        <f t="shared" ref="L125:L128" si="9">+I125/$I$128</f>
        <v>0.44423542058586402</v>
      </c>
      <c r="M125" s="40">
        <v>359.32499999999999</v>
      </c>
      <c r="N125" s="28">
        <f t="shared" ref="N125:N127" si="10">+N124*$L$124</f>
        <v>767.69685568395585</v>
      </c>
      <c r="O125" s="40">
        <f t="shared" ref="O125:O127" si="11">+M125*N125</f>
        <v>275852.67266863742</v>
      </c>
    </row>
    <row r="126" spans="3:16" x14ac:dyDescent="0.3">
      <c r="C126" s="579"/>
      <c r="D126" s="239" t="s">
        <v>188</v>
      </c>
      <c r="E126" s="240">
        <v>160</v>
      </c>
      <c r="F126" s="240">
        <v>200</v>
      </c>
      <c r="G126" s="144">
        <v>146</v>
      </c>
      <c r="H126" s="171">
        <f>+(E126+F126+G126)/(9)*(3)</f>
        <v>168.66666666666666</v>
      </c>
      <c r="I126" s="241">
        <f>SUM(E126:H126)</f>
        <v>674.66666666666663</v>
      </c>
      <c r="J126" s="12"/>
      <c r="K126" s="72"/>
      <c r="L126" s="77">
        <f t="shared" si="9"/>
        <v>0.13598495028218222</v>
      </c>
      <c r="M126" s="40">
        <v>587280</v>
      </c>
      <c r="N126" s="28">
        <f t="shared" si="10"/>
        <v>289.45947017591777</v>
      </c>
      <c r="O126" s="40">
        <f t="shared" si="11"/>
        <v>169993757.64491299</v>
      </c>
    </row>
    <row r="127" spans="3:16" x14ac:dyDescent="0.3">
      <c r="C127" s="579"/>
      <c r="D127" s="239" t="s">
        <v>189</v>
      </c>
      <c r="E127" s="240">
        <v>26</v>
      </c>
      <c r="F127" s="240">
        <v>76</v>
      </c>
      <c r="G127" s="144">
        <v>57</v>
      </c>
      <c r="H127" s="171">
        <f>+(E127+F127+G127)/(9)*(3)</f>
        <v>53</v>
      </c>
      <c r="I127" s="241">
        <f>SUM(E127:H127)</f>
        <v>212</v>
      </c>
      <c r="J127" s="12"/>
      <c r="K127" s="72"/>
      <c r="L127" s="77">
        <f t="shared" si="9"/>
        <v>4.2730448804084928E-2</v>
      </c>
      <c r="M127" s="40">
        <v>1184468</v>
      </c>
      <c r="N127" s="28">
        <f t="shared" si="10"/>
        <v>109.14045596796899</v>
      </c>
      <c r="O127" s="40">
        <f t="shared" si="11"/>
        <v>129273377.59946829</v>
      </c>
    </row>
    <row r="128" spans="3:16" ht="15" thickBot="1" x14ac:dyDescent="0.35">
      <c r="C128" s="579"/>
      <c r="D128" s="244" t="s">
        <v>143</v>
      </c>
      <c r="E128" s="245">
        <f>SUM(E124:E127)</f>
        <v>1136</v>
      </c>
      <c r="F128" s="245">
        <f>SUM(F124:F127)</f>
        <v>1578</v>
      </c>
      <c r="G128" s="245">
        <f>SUM(G124:G127)</f>
        <v>1007</v>
      </c>
      <c r="H128" s="245">
        <f>SUM(H124:H127)</f>
        <v>1240.3333333333333</v>
      </c>
      <c r="I128" s="246">
        <f>SUM(I124:I127)</f>
        <v>4961.333333333333</v>
      </c>
      <c r="J128" s="12"/>
      <c r="K128" s="72"/>
      <c r="L128" s="77">
        <f t="shared" si="9"/>
        <v>1</v>
      </c>
      <c r="M128" s="19">
        <f>SUM(M124:M127)</f>
        <v>1918213.325</v>
      </c>
      <c r="N128" s="19">
        <f t="shared" ref="N128:O128" si="12">SUM(N124:N127)</f>
        <v>3202.3623555983345</v>
      </c>
      <c r="O128" s="19">
        <f t="shared" si="12"/>
        <v>597024384.63836145</v>
      </c>
    </row>
    <row r="129" spans="3:13" ht="15" thickBot="1" x14ac:dyDescent="0.35">
      <c r="C129" s="587"/>
      <c r="D129" s="247" t="s">
        <v>190</v>
      </c>
      <c r="E129" s="53"/>
      <c r="F129" s="53"/>
      <c r="G129" s="53"/>
      <c r="H129" s="53"/>
      <c r="I129" s="53"/>
      <c r="J129" s="53"/>
      <c r="K129" s="55"/>
      <c r="M129" s="40"/>
    </row>
    <row r="130" spans="3:13" x14ac:dyDescent="0.3">
      <c r="C130" s="567" t="s">
        <v>191</v>
      </c>
      <c r="D130" s="5"/>
      <c r="E130" s="5"/>
      <c r="F130" s="5"/>
      <c r="G130" s="5"/>
      <c r="H130" s="5"/>
      <c r="I130" s="5"/>
      <c r="J130" s="5"/>
      <c r="K130" s="6"/>
    </row>
    <row r="131" spans="3:13" x14ac:dyDescent="0.3">
      <c r="C131" s="568"/>
      <c r="D131" s="248" t="s">
        <v>191</v>
      </c>
      <c r="E131" s="133"/>
      <c r="F131" s="133"/>
      <c r="G131" s="133"/>
      <c r="H131" s="133"/>
      <c r="I131" s="133"/>
      <c r="K131" s="9"/>
    </row>
    <row r="132" spans="3:13" x14ac:dyDescent="0.3">
      <c r="C132" s="568"/>
      <c r="D132" s="133"/>
      <c r="E132" s="133"/>
      <c r="F132" s="133"/>
      <c r="G132" s="133"/>
      <c r="H132" s="133"/>
      <c r="I132" s="133"/>
      <c r="K132" s="9"/>
    </row>
    <row r="133" spans="3:13" x14ac:dyDescent="0.3">
      <c r="C133" s="568"/>
      <c r="D133" s="133" t="s">
        <v>192</v>
      </c>
      <c r="E133" s="133"/>
      <c r="F133" s="133"/>
      <c r="G133" s="133"/>
      <c r="H133" s="133"/>
      <c r="I133" s="133"/>
      <c r="K133" s="9"/>
    </row>
    <row r="134" spans="3:13" ht="15" thickBot="1" x14ac:dyDescent="0.35">
      <c r="C134" s="568"/>
      <c r="D134" s="133"/>
      <c r="E134" s="133"/>
      <c r="F134" s="133"/>
      <c r="G134" s="133"/>
      <c r="H134" s="133"/>
      <c r="I134" s="133"/>
      <c r="K134" s="9"/>
    </row>
    <row r="135" spans="3:13" ht="134.25" customHeight="1" thickBot="1" x14ac:dyDescent="0.35">
      <c r="C135" s="568"/>
      <c r="D135" s="571" t="s">
        <v>193</v>
      </c>
      <c r="E135" s="571"/>
      <c r="F135" s="571"/>
      <c r="G135" s="571"/>
      <c r="H135" s="571"/>
      <c r="I135" s="571"/>
      <c r="J135" s="249" t="s">
        <v>145</v>
      </c>
      <c r="K135" s="9"/>
    </row>
    <row r="136" spans="3:13" ht="15" thickBot="1" x14ac:dyDescent="0.35">
      <c r="C136" s="568"/>
      <c r="H136" s="250">
        <f>+G139</f>
        <v>143</v>
      </c>
      <c r="I136" s="84">
        <f>+H136/9</f>
        <v>15.888888888888889</v>
      </c>
      <c r="J136" s="194">
        <v>81</v>
      </c>
      <c r="K136" s="9"/>
    </row>
    <row r="137" spans="3:13" ht="15" thickBot="1" x14ac:dyDescent="0.35">
      <c r="C137" s="568"/>
      <c r="H137" s="250">
        <f>+G140</f>
        <v>70</v>
      </c>
      <c r="I137" s="84">
        <f>+H137/9</f>
        <v>7.7777777777777777</v>
      </c>
      <c r="K137" s="9"/>
    </row>
    <row r="138" spans="3:13" ht="26.4" x14ac:dyDescent="0.3">
      <c r="C138" s="569"/>
      <c r="D138" s="251" t="s">
        <v>194</v>
      </c>
      <c r="E138" s="252" t="s">
        <v>182</v>
      </c>
      <c r="F138" s="252" t="s">
        <v>183</v>
      </c>
      <c r="G138" s="252" t="s">
        <v>184</v>
      </c>
      <c r="H138" s="253" t="s">
        <v>185</v>
      </c>
      <c r="I138" s="254" t="s">
        <v>102</v>
      </c>
      <c r="J138" s="255" t="s">
        <v>119</v>
      </c>
    </row>
    <row r="139" spans="3:13" x14ac:dyDescent="0.3">
      <c r="C139" s="569"/>
      <c r="D139" s="256" t="s">
        <v>195</v>
      </c>
      <c r="E139" s="240">
        <v>109</v>
      </c>
      <c r="F139" s="240">
        <v>155</v>
      </c>
      <c r="G139" s="240">
        <v>143</v>
      </c>
      <c r="H139" s="144">
        <v>135</v>
      </c>
      <c r="I139" s="144">
        <f>SUM(E139:H139)</f>
        <v>542</v>
      </c>
      <c r="J139" s="257">
        <f>+I139/12</f>
        <v>45.166666666666664</v>
      </c>
    </row>
    <row r="140" spans="3:13" x14ac:dyDescent="0.3">
      <c r="C140" s="569"/>
      <c r="D140" s="256" t="s">
        <v>196</v>
      </c>
      <c r="E140" s="240">
        <v>67</v>
      </c>
      <c r="F140" s="240">
        <v>68</v>
      </c>
      <c r="G140" s="240">
        <v>70</v>
      </c>
      <c r="H140" s="144">
        <v>68</v>
      </c>
      <c r="I140" s="144">
        <f>SUM(E140:H140)</f>
        <v>273</v>
      </c>
      <c r="J140" s="257">
        <v>22</v>
      </c>
    </row>
    <row r="141" spans="3:13" x14ac:dyDescent="0.3">
      <c r="C141" s="569"/>
      <c r="D141" s="258" t="s">
        <v>143</v>
      </c>
      <c r="E141" s="259">
        <f>SUM(E139:E140)</f>
        <v>176</v>
      </c>
      <c r="F141" s="259">
        <f t="shared" ref="F141:J141" si="13">SUM(F139:F140)</f>
        <v>223</v>
      </c>
      <c r="G141" s="259">
        <f t="shared" si="13"/>
        <v>213</v>
      </c>
      <c r="H141" s="259">
        <f t="shared" si="13"/>
        <v>203</v>
      </c>
      <c r="I141" s="259">
        <f t="shared" si="13"/>
        <v>815</v>
      </c>
      <c r="J141" s="259">
        <f t="shared" si="13"/>
        <v>67.166666666666657</v>
      </c>
    </row>
    <row r="142" spans="3:13" ht="15" thickBot="1" x14ac:dyDescent="0.35">
      <c r="C142" s="581"/>
      <c r="D142" s="260" t="s">
        <v>197</v>
      </c>
      <c r="E142" s="261">
        <f>+E139+E140</f>
        <v>176</v>
      </c>
      <c r="F142" s="261">
        <f>+F139+F140</f>
        <v>223</v>
      </c>
      <c r="G142" s="261">
        <f>+G139+G140</f>
        <v>213</v>
      </c>
      <c r="H142" s="261">
        <f>+H139+H140</f>
        <v>203</v>
      </c>
      <c r="I142" s="261">
        <f>+I139+I140</f>
        <v>815</v>
      </c>
      <c r="J142" s="262">
        <f>+I142/12</f>
        <v>67.916666666666671</v>
      </c>
    </row>
    <row r="143" spans="3:13" x14ac:dyDescent="0.3">
      <c r="C143" s="577" t="s">
        <v>198</v>
      </c>
      <c r="E143" s="263"/>
      <c r="F143" s="263"/>
      <c r="G143" s="263"/>
      <c r="H143" s="263"/>
      <c r="I143" s="19"/>
      <c r="K143" s="9"/>
    </row>
    <row r="144" spans="3:13" x14ac:dyDescent="0.3">
      <c r="C144" s="578"/>
      <c r="D144" s="184" t="s">
        <v>198</v>
      </c>
      <c r="K144" s="9"/>
    </row>
    <row r="145" spans="3:16" x14ac:dyDescent="0.3">
      <c r="C145" s="578"/>
      <c r="K145" s="9"/>
    </row>
    <row r="146" spans="3:16" ht="54" customHeight="1" x14ac:dyDescent="0.3">
      <c r="C146" s="578"/>
      <c r="D146" s="575" t="s">
        <v>199</v>
      </c>
      <c r="E146" s="575"/>
      <c r="F146" s="575"/>
      <c r="G146" s="575"/>
      <c r="H146" s="575"/>
      <c r="I146" s="575"/>
      <c r="K146" s="9"/>
    </row>
    <row r="147" spans="3:16" ht="33.75" customHeight="1" thickBot="1" x14ac:dyDescent="0.35">
      <c r="C147" s="578"/>
      <c r="D147" s="213" t="s">
        <v>200</v>
      </c>
      <c r="E147" s="264"/>
      <c r="F147" s="264"/>
      <c r="G147" s="264"/>
      <c r="H147" s="264"/>
      <c r="I147" s="264"/>
      <c r="K147" s="9"/>
    </row>
    <row r="148" spans="3:16" ht="36" x14ac:dyDescent="0.3">
      <c r="C148" s="578"/>
      <c r="D148" s="265" t="s">
        <v>126</v>
      </c>
      <c r="E148" s="21" t="s">
        <v>100</v>
      </c>
      <c r="F148" s="21" t="s">
        <v>101</v>
      </c>
      <c r="G148" s="22" t="s">
        <v>102</v>
      </c>
      <c r="H148" s="266" t="s">
        <v>201</v>
      </c>
      <c r="J148" s="267">
        <v>192</v>
      </c>
      <c r="K148" s="138">
        <f>+J148*3</f>
        <v>576</v>
      </c>
    </row>
    <row r="149" spans="3:16" ht="15.6" x14ac:dyDescent="0.3">
      <c r="C149" s="578"/>
      <c r="D149" s="268" t="s">
        <v>202</v>
      </c>
      <c r="E149" s="269">
        <f>1419+1459+1275</f>
        <v>4153</v>
      </c>
      <c r="F149" s="270">
        <f>+(E149/9)*3</f>
        <v>1384.3333333333335</v>
      </c>
      <c r="G149" s="270">
        <f>F149+E149</f>
        <v>5537.3333333333339</v>
      </c>
      <c r="H149" s="271">
        <f>+G149/12</f>
        <v>461.44444444444451</v>
      </c>
      <c r="J149" s="272">
        <f>+(J148*5)+32</f>
        <v>992</v>
      </c>
      <c r="K149" s="145"/>
    </row>
    <row r="150" spans="3:16" ht="15.6" x14ac:dyDescent="0.3">
      <c r="C150" s="578"/>
      <c r="D150" s="268" t="s">
        <v>203</v>
      </c>
      <c r="E150" s="269">
        <f>5930+3686+4719</f>
        <v>14335</v>
      </c>
      <c r="F150" s="270">
        <f t="shared" ref="F150:F151" si="14">+(E150/9)*3</f>
        <v>4778.3333333333339</v>
      </c>
      <c r="G150" s="270">
        <f t="shared" ref="G150:G151" si="15">F150+E150</f>
        <v>19113.333333333336</v>
      </c>
      <c r="H150" s="271">
        <f t="shared" ref="H150:H151" si="16">+G150/12</f>
        <v>1592.7777777777781</v>
      </c>
      <c r="J150" s="272">
        <f>+J149*3</f>
        <v>2976</v>
      </c>
      <c r="K150" s="145"/>
    </row>
    <row r="151" spans="3:16" ht="16.2" thickBot="1" x14ac:dyDescent="0.35">
      <c r="C151" s="578"/>
      <c r="D151" s="268" t="s">
        <v>204</v>
      </c>
      <c r="E151" s="269">
        <f>261+872+109</f>
        <v>1242</v>
      </c>
      <c r="F151" s="270">
        <f t="shared" si="14"/>
        <v>414</v>
      </c>
      <c r="G151" s="270">
        <f t="shared" si="15"/>
        <v>1656</v>
      </c>
      <c r="H151" s="271">
        <f t="shared" si="16"/>
        <v>138</v>
      </c>
      <c r="J151" s="215">
        <f>+J150*12</f>
        <v>35712</v>
      </c>
      <c r="K151" s="273">
        <f>+J151/12</f>
        <v>2976</v>
      </c>
    </row>
    <row r="152" spans="3:16" ht="15" thickBot="1" x14ac:dyDescent="0.35">
      <c r="C152" s="587"/>
      <c r="D152" s="274" t="s">
        <v>205</v>
      </c>
      <c r="E152" s="261">
        <f>SUM(E149:E151)</f>
        <v>19730</v>
      </c>
      <c r="F152" s="261">
        <f t="shared" ref="F152:G152" si="17">SUM(F149:F151)</f>
        <v>6576.6666666666679</v>
      </c>
      <c r="G152" s="261">
        <f t="shared" si="17"/>
        <v>26306.666666666672</v>
      </c>
      <c r="H152" s="275">
        <f>+G152/12</f>
        <v>2192.2222222222226</v>
      </c>
      <c r="I152" s="53"/>
      <c r="J152" s="53"/>
      <c r="K152" s="55"/>
    </row>
    <row r="153" spans="3:16" ht="43.2" x14ac:dyDescent="0.3">
      <c r="C153" s="568" t="s">
        <v>206</v>
      </c>
      <c r="D153" s="276" t="s">
        <v>207</v>
      </c>
      <c r="E153" s="263"/>
      <c r="F153" s="263"/>
      <c r="G153" s="263"/>
      <c r="K153" s="9"/>
    </row>
    <row r="154" spans="3:16" x14ac:dyDescent="0.3">
      <c r="C154" s="568"/>
      <c r="D154" s="277" t="s">
        <v>206</v>
      </c>
      <c r="E154" s="278"/>
      <c r="F154" s="278"/>
      <c r="G154" s="278"/>
      <c r="H154" s="278"/>
      <c r="I154" s="278"/>
      <c r="K154" s="9"/>
    </row>
    <row r="155" spans="3:16" ht="8.25" customHeight="1" x14ac:dyDescent="0.3">
      <c r="C155" s="568"/>
      <c r="D155" s="279"/>
      <c r="K155" s="9"/>
    </row>
    <row r="156" spans="3:16" ht="173.25" customHeight="1" x14ac:dyDescent="0.3">
      <c r="C156" s="568"/>
      <c r="D156" s="575" t="s">
        <v>208</v>
      </c>
      <c r="E156" s="576"/>
      <c r="F156" s="576"/>
      <c r="G156" s="576"/>
      <c r="H156" s="576"/>
      <c r="I156" s="576"/>
      <c r="K156" s="9"/>
    </row>
    <row r="157" spans="3:16" x14ac:dyDescent="0.3">
      <c r="C157" s="568"/>
      <c r="K157" s="9"/>
    </row>
    <row r="158" spans="3:16" ht="36" x14ac:dyDescent="0.3">
      <c r="C158" s="569"/>
      <c r="D158" s="280" t="s">
        <v>206</v>
      </c>
      <c r="E158" s="218" t="s">
        <v>100</v>
      </c>
      <c r="F158" s="218" t="s">
        <v>101</v>
      </c>
      <c r="G158" s="219" t="s">
        <v>102</v>
      </c>
      <c r="H158" s="218" t="s">
        <v>209</v>
      </c>
      <c r="I158" s="218" t="s">
        <v>210</v>
      </c>
      <c r="J158" s="218" t="s">
        <v>211</v>
      </c>
    </row>
    <row r="159" spans="3:16" x14ac:dyDescent="0.3">
      <c r="C159" s="569"/>
      <c r="D159" s="281" t="s">
        <v>212</v>
      </c>
      <c r="E159" s="282">
        <v>3195</v>
      </c>
      <c r="F159" s="282">
        <f>+(E159/9)*3</f>
        <v>1065</v>
      </c>
      <c r="G159" s="283">
        <f t="shared" ref="G159:G175" si="18">SUM(E159:F159)</f>
        <v>4260</v>
      </c>
      <c r="H159" s="284">
        <f>+G159</f>
        <v>4260</v>
      </c>
      <c r="I159" s="285">
        <f t="shared" ref="I159:I176" si="19">+H159/12</f>
        <v>355</v>
      </c>
      <c r="J159" s="285">
        <f>+I159/30</f>
        <v>11.833333333333334</v>
      </c>
      <c r="N159">
        <v>32000</v>
      </c>
      <c r="P159" s="19">
        <f>+J159*N159</f>
        <v>378666.66666666669</v>
      </c>
    </row>
    <row r="160" spans="3:16" x14ac:dyDescent="0.3">
      <c r="C160" s="569"/>
      <c r="D160" s="281" t="s">
        <v>122</v>
      </c>
      <c r="E160" s="283">
        <v>33361</v>
      </c>
      <c r="F160" s="282">
        <f t="shared" ref="F160:F175" si="20">+(E160/9)*3</f>
        <v>11120.333333333334</v>
      </c>
      <c r="G160" s="283">
        <f t="shared" si="18"/>
        <v>44481.333333333336</v>
      </c>
      <c r="H160" s="284">
        <f>+G160</f>
        <v>44481.333333333336</v>
      </c>
      <c r="I160" s="285">
        <f t="shared" si="19"/>
        <v>3706.7777777777778</v>
      </c>
      <c r="J160" s="285">
        <f t="shared" ref="J160:J175" si="21">+I160/30</f>
        <v>123.55925925925926</v>
      </c>
    </row>
    <row r="161" spans="3:10" x14ac:dyDescent="0.3">
      <c r="C161" s="569"/>
      <c r="D161" s="281" t="s">
        <v>130</v>
      </c>
      <c r="E161" s="283">
        <v>24229</v>
      </c>
      <c r="F161" s="282">
        <f t="shared" si="20"/>
        <v>8076.3333333333339</v>
      </c>
      <c r="G161" s="283">
        <f t="shared" si="18"/>
        <v>32305.333333333336</v>
      </c>
      <c r="H161" s="284">
        <f t="shared" ref="H161:H175" si="22">+G161</f>
        <v>32305.333333333336</v>
      </c>
      <c r="I161" s="285">
        <f t="shared" si="19"/>
        <v>2692.1111111111113</v>
      </c>
      <c r="J161" s="285">
        <f t="shared" si="21"/>
        <v>89.737037037037041</v>
      </c>
    </row>
    <row r="162" spans="3:10" x14ac:dyDescent="0.3">
      <c r="C162" s="569"/>
      <c r="D162" s="281" t="s">
        <v>138</v>
      </c>
      <c r="E162" s="283">
        <v>23642</v>
      </c>
      <c r="F162" s="282">
        <f t="shared" si="20"/>
        <v>7880.6666666666661</v>
      </c>
      <c r="G162" s="283">
        <f t="shared" si="18"/>
        <v>31522.666666666664</v>
      </c>
      <c r="H162" s="284">
        <f t="shared" si="22"/>
        <v>31522.666666666664</v>
      </c>
      <c r="I162" s="285">
        <f t="shared" si="19"/>
        <v>2626.8888888888887</v>
      </c>
      <c r="J162" s="285">
        <f t="shared" si="21"/>
        <v>87.562962962962956</v>
      </c>
    </row>
    <row r="163" spans="3:10" x14ac:dyDescent="0.3">
      <c r="C163" s="569"/>
      <c r="D163" s="281" t="s">
        <v>213</v>
      </c>
      <c r="E163" s="283">
        <v>26391</v>
      </c>
      <c r="F163" s="282">
        <f t="shared" si="20"/>
        <v>8797</v>
      </c>
      <c r="G163" s="283">
        <f t="shared" si="18"/>
        <v>35188</v>
      </c>
      <c r="H163" s="284">
        <f t="shared" si="22"/>
        <v>35188</v>
      </c>
      <c r="I163" s="285">
        <f t="shared" si="19"/>
        <v>2932.3333333333335</v>
      </c>
      <c r="J163" s="285">
        <f t="shared" si="21"/>
        <v>97.744444444444454</v>
      </c>
    </row>
    <row r="164" spans="3:10" x14ac:dyDescent="0.3">
      <c r="C164" s="569"/>
      <c r="D164" s="281" t="s">
        <v>155</v>
      </c>
      <c r="E164" s="283">
        <v>2888</v>
      </c>
      <c r="F164" s="282">
        <f t="shared" si="20"/>
        <v>962.66666666666674</v>
      </c>
      <c r="G164" s="283">
        <f t="shared" si="18"/>
        <v>3850.666666666667</v>
      </c>
      <c r="H164" s="284">
        <f t="shared" si="22"/>
        <v>3850.666666666667</v>
      </c>
      <c r="I164" s="285">
        <f t="shared" si="19"/>
        <v>320.88888888888891</v>
      </c>
      <c r="J164" s="285">
        <f t="shared" si="21"/>
        <v>10.696296296296298</v>
      </c>
    </row>
    <row r="165" spans="3:10" x14ac:dyDescent="0.3">
      <c r="C165" s="569"/>
      <c r="D165" s="281" t="s">
        <v>214</v>
      </c>
      <c r="E165" s="283">
        <v>12</v>
      </c>
      <c r="F165" s="282">
        <f t="shared" si="20"/>
        <v>4</v>
      </c>
      <c r="G165" s="283">
        <f t="shared" si="18"/>
        <v>16</v>
      </c>
      <c r="H165" s="284">
        <f t="shared" si="22"/>
        <v>16</v>
      </c>
      <c r="I165" s="285">
        <f t="shared" si="19"/>
        <v>1.3333333333333333</v>
      </c>
      <c r="J165" s="285">
        <f t="shared" si="21"/>
        <v>4.4444444444444439E-2</v>
      </c>
    </row>
    <row r="166" spans="3:10" x14ac:dyDescent="0.3">
      <c r="C166" s="569"/>
      <c r="D166" s="281" t="s">
        <v>215</v>
      </c>
      <c r="E166" s="283">
        <v>14630</v>
      </c>
      <c r="F166" s="282">
        <f t="shared" si="20"/>
        <v>4876.666666666667</v>
      </c>
      <c r="G166" s="283">
        <f t="shared" si="18"/>
        <v>19506.666666666668</v>
      </c>
      <c r="H166" s="284">
        <f t="shared" si="22"/>
        <v>19506.666666666668</v>
      </c>
      <c r="I166" s="285">
        <f t="shared" si="19"/>
        <v>1625.5555555555557</v>
      </c>
      <c r="J166" s="285">
        <f t="shared" si="21"/>
        <v>54.18518518518519</v>
      </c>
    </row>
    <row r="167" spans="3:10" x14ac:dyDescent="0.3">
      <c r="C167" s="569"/>
      <c r="D167" s="281" t="s">
        <v>191</v>
      </c>
      <c r="E167" s="283">
        <v>15308</v>
      </c>
      <c r="F167" s="282">
        <f t="shared" si="20"/>
        <v>5102.666666666667</v>
      </c>
      <c r="G167" s="283">
        <f t="shared" si="18"/>
        <v>20410.666666666668</v>
      </c>
      <c r="H167" s="284">
        <f t="shared" si="22"/>
        <v>20410.666666666668</v>
      </c>
      <c r="I167" s="285">
        <f t="shared" si="19"/>
        <v>1700.8888888888889</v>
      </c>
      <c r="J167" s="285">
        <f t="shared" si="21"/>
        <v>56.696296296296296</v>
      </c>
    </row>
    <row r="168" spans="3:10" x14ac:dyDescent="0.3">
      <c r="C168" s="569"/>
      <c r="D168" s="281" t="s">
        <v>198</v>
      </c>
      <c r="E168" s="283">
        <v>9</v>
      </c>
      <c r="F168" s="282">
        <f t="shared" si="20"/>
        <v>3</v>
      </c>
      <c r="G168" s="283">
        <f t="shared" si="18"/>
        <v>12</v>
      </c>
      <c r="H168" s="284">
        <f t="shared" si="22"/>
        <v>12</v>
      </c>
      <c r="I168" s="285">
        <f t="shared" si="19"/>
        <v>1</v>
      </c>
      <c r="J168" s="285">
        <f t="shared" si="21"/>
        <v>3.3333333333333333E-2</v>
      </c>
    </row>
    <row r="169" spans="3:10" x14ac:dyDescent="0.3">
      <c r="C169" s="569"/>
      <c r="D169" s="281" t="s">
        <v>216</v>
      </c>
      <c r="E169" s="286">
        <v>0</v>
      </c>
      <c r="F169" s="282">
        <f t="shared" si="20"/>
        <v>0</v>
      </c>
      <c r="G169" s="283">
        <f t="shared" si="18"/>
        <v>0</v>
      </c>
      <c r="H169" s="284">
        <f t="shared" si="22"/>
        <v>0</v>
      </c>
      <c r="I169" s="285">
        <f t="shared" si="19"/>
        <v>0</v>
      </c>
      <c r="J169" s="285">
        <f t="shared" si="21"/>
        <v>0</v>
      </c>
    </row>
    <row r="170" spans="3:10" x14ac:dyDescent="0.3">
      <c r="C170" s="569"/>
      <c r="D170" s="281" t="s">
        <v>217</v>
      </c>
      <c r="E170" s="283">
        <v>125</v>
      </c>
      <c r="F170" s="282">
        <f t="shared" si="20"/>
        <v>41.666666666666671</v>
      </c>
      <c r="G170" s="283">
        <f t="shared" si="18"/>
        <v>166.66666666666669</v>
      </c>
      <c r="H170" s="284">
        <f t="shared" si="22"/>
        <v>166.66666666666669</v>
      </c>
      <c r="I170" s="285">
        <f t="shared" si="19"/>
        <v>13.888888888888891</v>
      </c>
      <c r="J170" s="285">
        <f t="shared" si="21"/>
        <v>0.46296296296296302</v>
      </c>
    </row>
    <row r="171" spans="3:10" x14ac:dyDescent="0.3">
      <c r="C171" s="569"/>
      <c r="D171" s="281" t="s">
        <v>218</v>
      </c>
      <c r="E171" s="283">
        <v>10</v>
      </c>
      <c r="F171" s="282">
        <f t="shared" si="20"/>
        <v>3.3333333333333335</v>
      </c>
      <c r="G171" s="283">
        <f t="shared" si="18"/>
        <v>13.333333333333334</v>
      </c>
      <c r="H171" s="284">
        <f t="shared" si="22"/>
        <v>13.333333333333334</v>
      </c>
      <c r="I171" s="285">
        <f t="shared" si="19"/>
        <v>1.1111111111111112</v>
      </c>
      <c r="J171" s="285">
        <f t="shared" si="21"/>
        <v>3.7037037037037042E-2</v>
      </c>
    </row>
    <row r="172" spans="3:10" x14ac:dyDescent="0.3">
      <c r="C172" s="569"/>
      <c r="D172" s="281" t="s">
        <v>219</v>
      </c>
      <c r="E172" s="283">
        <v>36</v>
      </c>
      <c r="F172" s="282">
        <f t="shared" si="20"/>
        <v>12</v>
      </c>
      <c r="G172" s="283">
        <f t="shared" si="18"/>
        <v>48</v>
      </c>
      <c r="H172" s="284">
        <f t="shared" si="22"/>
        <v>48</v>
      </c>
      <c r="I172" s="285">
        <f t="shared" si="19"/>
        <v>4</v>
      </c>
      <c r="J172" s="285">
        <f t="shared" si="21"/>
        <v>0.13333333333333333</v>
      </c>
    </row>
    <row r="173" spans="3:10" x14ac:dyDescent="0.3">
      <c r="C173" s="569"/>
      <c r="D173" s="281" t="s">
        <v>11</v>
      </c>
      <c r="E173" s="283">
        <v>3</v>
      </c>
      <c r="F173" s="282">
        <f t="shared" si="20"/>
        <v>1</v>
      </c>
      <c r="G173" s="283">
        <f t="shared" si="18"/>
        <v>4</v>
      </c>
      <c r="H173" s="284">
        <f t="shared" si="22"/>
        <v>4</v>
      </c>
      <c r="I173" s="285">
        <f t="shared" si="19"/>
        <v>0.33333333333333331</v>
      </c>
      <c r="J173" s="285">
        <f t="shared" si="21"/>
        <v>1.111111111111111E-2</v>
      </c>
    </row>
    <row r="174" spans="3:10" x14ac:dyDescent="0.3">
      <c r="C174" s="569"/>
      <c r="D174" s="281" t="s">
        <v>162</v>
      </c>
      <c r="E174" s="283">
        <v>2</v>
      </c>
      <c r="F174" s="282">
        <f t="shared" si="20"/>
        <v>0.66666666666666663</v>
      </c>
      <c r="G174" s="283">
        <f t="shared" si="18"/>
        <v>2.6666666666666665</v>
      </c>
      <c r="H174" s="284">
        <f t="shared" si="22"/>
        <v>2.6666666666666665</v>
      </c>
      <c r="I174" s="285">
        <f t="shared" si="19"/>
        <v>0.22222222222222221</v>
      </c>
      <c r="J174" s="285">
        <f t="shared" si="21"/>
        <v>7.4074074074074068E-3</v>
      </c>
    </row>
    <row r="175" spans="3:10" x14ac:dyDescent="0.3">
      <c r="C175" s="569"/>
      <c r="D175" s="281" t="s">
        <v>220</v>
      </c>
      <c r="E175" s="283">
        <v>3</v>
      </c>
      <c r="F175" s="282">
        <f t="shared" si="20"/>
        <v>1</v>
      </c>
      <c r="G175" s="283">
        <f t="shared" si="18"/>
        <v>4</v>
      </c>
      <c r="H175" s="284">
        <f t="shared" si="22"/>
        <v>4</v>
      </c>
      <c r="I175" s="285">
        <f t="shared" si="19"/>
        <v>0.33333333333333331</v>
      </c>
      <c r="J175" s="285">
        <f t="shared" si="21"/>
        <v>1.111111111111111E-2</v>
      </c>
    </row>
    <row r="176" spans="3:10" x14ac:dyDescent="0.3">
      <c r="C176" s="569"/>
      <c r="D176" s="3" t="s">
        <v>102</v>
      </c>
      <c r="E176" s="283">
        <f>SUM(E159:E175)</f>
        <v>143844</v>
      </c>
      <c r="F176" s="283">
        <f>SUM(F159:F175)</f>
        <v>47947.999999999993</v>
      </c>
      <c r="G176" s="283">
        <f>SUM(G159:G175)</f>
        <v>191791.99999999997</v>
      </c>
      <c r="H176" s="284">
        <f>SUM(H159:H175)</f>
        <v>191791.99999999997</v>
      </c>
      <c r="I176" s="287">
        <f t="shared" si="19"/>
        <v>15982.666666666664</v>
      </c>
      <c r="J176" s="285">
        <f>SUM(J159:J175)</f>
        <v>532.75555555555536</v>
      </c>
    </row>
    <row r="177" spans="2:11" ht="50.25" customHeight="1" thickBot="1" x14ac:dyDescent="0.35">
      <c r="C177" s="570"/>
      <c r="D177" s="288" t="s">
        <v>221</v>
      </c>
      <c r="E177" s="53"/>
      <c r="F177" s="53"/>
      <c r="G177" s="53"/>
      <c r="H177" s="53"/>
      <c r="I177" s="289"/>
      <c r="J177" s="53"/>
      <c r="K177" s="55"/>
    </row>
    <row r="178" spans="2:11" x14ac:dyDescent="0.3">
      <c r="C178" s="582" t="s">
        <v>216</v>
      </c>
      <c r="D178" s="5"/>
      <c r="E178" s="5"/>
      <c r="F178" s="5"/>
      <c r="G178" s="5"/>
      <c r="H178" s="5"/>
      <c r="I178" s="5"/>
      <c r="J178" s="5"/>
      <c r="K178" s="6"/>
    </row>
    <row r="179" spans="2:11" x14ac:dyDescent="0.3">
      <c r="C179" s="583"/>
      <c r="K179" s="9"/>
    </row>
    <row r="180" spans="2:11" x14ac:dyDescent="0.3">
      <c r="C180" s="583"/>
      <c r="D180" s="76" t="s">
        <v>216</v>
      </c>
      <c r="K180" s="9"/>
    </row>
    <row r="181" spans="2:11" x14ac:dyDescent="0.3">
      <c r="C181" s="583"/>
      <c r="K181" s="9"/>
    </row>
    <row r="182" spans="2:11" ht="60.75" customHeight="1" x14ac:dyDescent="0.3">
      <c r="C182" s="583"/>
      <c r="D182" s="588" t="s">
        <v>222</v>
      </c>
      <c r="E182" s="588"/>
      <c r="F182" s="588"/>
      <c r="G182" s="588"/>
      <c r="H182" s="588"/>
      <c r="I182" s="588"/>
      <c r="K182" s="9"/>
    </row>
    <row r="183" spans="2:11" ht="16.5" customHeight="1" x14ac:dyDescent="0.3">
      <c r="C183" s="583"/>
      <c r="D183" s="588"/>
      <c r="E183" s="589"/>
      <c r="F183" s="589"/>
      <c r="G183" s="589"/>
      <c r="H183" s="589"/>
      <c r="I183" s="589"/>
      <c r="K183" s="9"/>
    </row>
    <row r="184" spans="2:11" ht="15" thickBot="1" x14ac:dyDescent="0.35">
      <c r="C184" s="583"/>
      <c r="D184" s="290"/>
      <c r="K184" s="9"/>
    </row>
    <row r="185" spans="2:11" ht="36" x14ac:dyDescent="0.3">
      <c r="C185" s="584"/>
      <c r="D185" s="291" t="s">
        <v>126</v>
      </c>
      <c r="E185" s="21" t="s">
        <v>100</v>
      </c>
      <c r="F185" s="21" t="s">
        <v>101</v>
      </c>
      <c r="G185" s="22" t="s">
        <v>102</v>
      </c>
      <c r="H185" s="292" t="s">
        <v>223</v>
      </c>
      <c r="J185" s="293"/>
      <c r="K185" s="294"/>
    </row>
    <row r="186" spans="2:11" ht="15.6" x14ac:dyDescent="0.3">
      <c r="C186" s="584"/>
      <c r="D186" s="295" t="s">
        <v>224</v>
      </c>
      <c r="E186" s="1">
        <f>1200+720</f>
        <v>1920</v>
      </c>
      <c r="F186" s="1">
        <f>+(E186/10)*2</f>
        <v>384</v>
      </c>
      <c r="G186" s="296">
        <f>SUM(E186:F186)</f>
        <v>2304</v>
      </c>
      <c r="H186" s="297">
        <f>1800+1152</f>
        <v>2952</v>
      </c>
      <c r="I186">
        <f>+G186*8%</f>
        <v>184.32</v>
      </c>
      <c r="J186" s="298"/>
      <c r="K186" s="299"/>
    </row>
    <row r="187" spans="2:11" ht="15.6" x14ac:dyDescent="0.3">
      <c r="B187" s="40"/>
      <c r="C187" s="584"/>
      <c r="D187" s="300" t="s">
        <v>225</v>
      </c>
      <c r="E187" s="1">
        <v>1720</v>
      </c>
      <c r="F187" s="1">
        <f>+(E187/10)*2</f>
        <v>344</v>
      </c>
      <c r="G187" s="296">
        <f>SUM(E187:F187)</f>
        <v>2064</v>
      </c>
      <c r="H187" s="301">
        <v>3840</v>
      </c>
      <c r="J187" s="298"/>
      <c r="K187" s="299"/>
    </row>
    <row r="188" spans="2:11" ht="16.2" thickBot="1" x14ac:dyDescent="0.35">
      <c r="C188" s="584"/>
      <c r="D188" s="302" t="s">
        <v>143</v>
      </c>
      <c r="E188" s="303">
        <f>SUM(E186:E187)</f>
        <v>3640</v>
      </c>
      <c r="F188" s="303">
        <f>SUM(F186:F187)</f>
        <v>728</v>
      </c>
      <c r="G188" s="304">
        <f>SUM(G186:G187)</f>
        <v>4368</v>
      </c>
      <c r="H188" s="297">
        <f>SUM(H186:H187)</f>
        <v>6792</v>
      </c>
      <c r="I188">
        <f>+H188/12</f>
        <v>566</v>
      </c>
      <c r="J188" s="305">
        <f>+I188+8%</f>
        <v>566.08000000000004</v>
      </c>
      <c r="K188" s="299"/>
    </row>
    <row r="189" spans="2:11" ht="15" thickBot="1" x14ac:dyDescent="0.35">
      <c r="C189" s="585"/>
      <c r="D189" s="74"/>
      <c r="E189" s="53"/>
      <c r="F189" s="53"/>
      <c r="G189" s="53"/>
      <c r="H189" s="53"/>
      <c r="I189" s="53"/>
      <c r="J189" s="53"/>
      <c r="K189" s="55"/>
    </row>
    <row r="190" spans="2:11" x14ac:dyDescent="0.3">
      <c r="C190" s="577" t="s">
        <v>226</v>
      </c>
      <c r="D190" s="5"/>
      <c r="E190" s="5"/>
      <c r="F190" s="5">
        <f>+E190*3</f>
        <v>0</v>
      </c>
      <c r="G190" s="5">
        <f>+E187+F190</f>
        <v>1720</v>
      </c>
      <c r="H190" s="5"/>
      <c r="I190" s="5"/>
      <c r="J190" s="5"/>
      <c r="K190" s="6"/>
    </row>
    <row r="191" spans="2:11" x14ac:dyDescent="0.3">
      <c r="C191" s="578"/>
      <c r="D191" s="76" t="s">
        <v>226</v>
      </c>
      <c r="K191" s="9"/>
    </row>
    <row r="192" spans="2:11" x14ac:dyDescent="0.3">
      <c r="C192" s="578"/>
      <c r="K192" s="9"/>
    </row>
    <row r="193" spans="3:14" ht="96.75" customHeight="1" x14ac:dyDescent="0.3">
      <c r="C193" s="578"/>
      <c r="D193" s="575" t="s">
        <v>227</v>
      </c>
      <c r="E193" s="576"/>
      <c r="F193" s="576"/>
      <c r="G193" s="576"/>
      <c r="H193" s="576"/>
      <c r="I193" s="576"/>
      <c r="K193" s="9"/>
    </row>
    <row r="194" spans="3:14" ht="15" thickBot="1" x14ac:dyDescent="0.35">
      <c r="C194" s="578"/>
      <c r="F194" s="28">
        <f>+G196-440</f>
        <v>1024</v>
      </c>
      <c r="G194">
        <f>+F194/12</f>
        <v>85.333333333333329</v>
      </c>
      <c r="K194" s="9"/>
    </row>
    <row r="195" spans="3:14" ht="26.4" x14ac:dyDescent="0.3">
      <c r="C195" s="578"/>
      <c r="D195" s="306" t="s">
        <v>228</v>
      </c>
      <c r="E195" s="252">
        <v>2022</v>
      </c>
      <c r="F195" s="307" t="s">
        <v>142</v>
      </c>
      <c r="G195" s="308" t="s">
        <v>102</v>
      </c>
      <c r="H195" s="236" t="s">
        <v>159</v>
      </c>
      <c r="K195" s="9"/>
    </row>
    <row r="196" spans="3:14" x14ac:dyDescent="0.3">
      <c r="C196" s="578"/>
      <c r="D196" s="309" t="s">
        <v>229</v>
      </c>
      <c r="E196" s="310">
        <v>864</v>
      </c>
      <c r="F196" s="311">
        <f>5*120</f>
        <v>600</v>
      </c>
      <c r="G196" s="312">
        <f>+E196+F196</f>
        <v>1464</v>
      </c>
      <c r="H196" s="241">
        <f>+G196/12</f>
        <v>122</v>
      </c>
      <c r="J196" s="237" t="s">
        <v>119</v>
      </c>
      <c r="K196" s="9"/>
    </row>
    <row r="197" spans="3:14" ht="15" thickBot="1" x14ac:dyDescent="0.35">
      <c r="C197" s="578"/>
      <c r="D197" s="274" t="s">
        <v>102</v>
      </c>
      <c r="E197" s="313">
        <f>SUM(E196)</f>
        <v>864</v>
      </c>
      <c r="F197" s="313">
        <f t="shared" ref="F197:G197" si="23">SUM(F196)</f>
        <v>600</v>
      </c>
      <c r="G197" s="313">
        <f t="shared" si="23"/>
        <v>1464</v>
      </c>
      <c r="H197" s="314"/>
      <c r="J197" s="315">
        <v>91.25</v>
      </c>
      <c r="K197" s="9"/>
    </row>
    <row r="198" spans="3:14" ht="15" thickBot="1" x14ac:dyDescent="0.35">
      <c r="C198" s="587"/>
      <c r="D198" s="129" t="s">
        <v>230</v>
      </c>
      <c r="E198" s="53"/>
      <c r="F198" s="53"/>
      <c r="G198" s="53"/>
      <c r="H198" s="53"/>
      <c r="I198" s="53"/>
      <c r="J198" s="53"/>
      <c r="K198" s="55"/>
    </row>
    <row r="199" spans="3:14" x14ac:dyDescent="0.3">
      <c r="C199" s="590" t="s">
        <v>231</v>
      </c>
      <c r="D199" s="5"/>
      <c r="E199" s="5"/>
      <c r="F199" s="5"/>
      <c r="G199" s="5"/>
      <c r="H199" s="5"/>
      <c r="I199" s="5"/>
      <c r="J199" s="5"/>
      <c r="K199" s="6"/>
    </row>
    <row r="200" spans="3:14" x14ac:dyDescent="0.3">
      <c r="C200" s="591"/>
      <c r="D200" s="316" t="str">
        <f>+[1]CRONOGRAMA!D20</f>
        <v>PROGRAMA DE SALUD FAMILIAR</v>
      </c>
      <c r="K200" s="9"/>
    </row>
    <row r="201" spans="3:14" x14ac:dyDescent="0.3">
      <c r="C201" s="591"/>
      <c r="K201" s="9"/>
    </row>
    <row r="202" spans="3:14" ht="146.25" customHeight="1" x14ac:dyDescent="0.3">
      <c r="C202" s="591"/>
      <c r="D202" s="576" t="s">
        <v>232</v>
      </c>
      <c r="E202" s="576"/>
      <c r="F202" s="576"/>
      <c r="G202" s="576"/>
      <c r="H202" s="576"/>
      <c r="I202" s="576"/>
      <c r="J202" s="317">
        <f>7134/12</f>
        <v>594.5</v>
      </c>
      <c r="K202" s="9" t="s">
        <v>233</v>
      </c>
    </row>
    <row r="203" spans="3:14" ht="15" thickBot="1" x14ac:dyDescent="0.35">
      <c r="C203" s="591"/>
      <c r="K203" s="9" t="s">
        <v>234</v>
      </c>
    </row>
    <row r="204" spans="3:14" ht="36" x14ac:dyDescent="0.3">
      <c r="C204" s="591"/>
      <c r="D204" s="318" t="s">
        <v>126</v>
      </c>
      <c r="E204" s="319">
        <v>2019</v>
      </c>
      <c r="F204" s="319">
        <v>2021</v>
      </c>
      <c r="G204" s="21" t="s">
        <v>100</v>
      </c>
      <c r="H204" s="21" t="s">
        <v>101</v>
      </c>
      <c r="I204" s="320" t="s">
        <v>102</v>
      </c>
      <c r="J204" s="321" t="s">
        <v>159</v>
      </c>
      <c r="K204" s="322">
        <v>2023</v>
      </c>
    </row>
    <row r="205" spans="3:14" x14ac:dyDescent="0.3">
      <c r="C205" s="591"/>
      <c r="D205" s="323" t="s">
        <v>235</v>
      </c>
      <c r="E205" s="324">
        <v>1160</v>
      </c>
      <c r="F205" s="325">
        <v>1734</v>
      </c>
      <c r="G205" s="325">
        <v>770</v>
      </c>
      <c r="H205" s="326">
        <f>+(G205/9)*3</f>
        <v>256.66666666666669</v>
      </c>
      <c r="I205" s="327">
        <f>SUM(E205:H205)</f>
        <v>3920.6666666666665</v>
      </c>
      <c r="J205" s="328">
        <f>+I205/3</f>
        <v>1306.8888888888889</v>
      </c>
      <c r="K205" s="329">
        <v>7134</v>
      </c>
      <c r="N205" t="s">
        <v>210</v>
      </c>
    </row>
    <row r="206" spans="3:14" x14ac:dyDescent="0.3">
      <c r="C206" s="591"/>
      <c r="D206" s="323" t="s">
        <v>236</v>
      </c>
      <c r="E206" s="330">
        <v>215</v>
      </c>
      <c r="F206" s="331">
        <v>230</v>
      </c>
      <c r="G206" s="331">
        <v>115</v>
      </c>
      <c r="H206" s="326">
        <f>+(G206/9)*3</f>
        <v>38.333333333333336</v>
      </c>
      <c r="I206" s="327">
        <f t="shared" ref="I206:I207" si="24">SUM(E206:H206)</f>
        <v>598.33333333333337</v>
      </c>
      <c r="J206" s="328">
        <f t="shared" ref="J206:J207" si="25">+I206/3</f>
        <v>199.44444444444446</v>
      </c>
      <c r="K206" s="332">
        <v>199</v>
      </c>
      <c r="N206" t="s">
        <v>166</v>
      </c>
    </row>
    <row r="207" spans="3:14" ht="15" thickBot="1" x14ac:dyDescent="0.35">
      <c r="C207" s="591"/>
      <c r="D207" s="333" t="s">
        <v>165</v>
      </c>
      <c r="E207" s="334">
        <v>1375</v>
      </c>
      <c r="F207" s="334">
        <v>1964</v>
      </c>
      <c r="G207" s="334">
        <f>SUM(G205:G206)</f>
        <v>885</v>
      </c>
      <c r="H207" s="178">
        <f>SUM(H205:H206)</f>
        <v>295</v>
      </c>
      <c r="I207" s="335">
        <f t="shared" si="24"/>
        <v>4519</v>
      </c>
      <c r="J207" s="336">
        <f t="shared" si="25"/>
        <v>1506.3333333333333</v>
      </c>
      <c r="K207" s="337">
        <f>SUM(K204:K206)</f>
        <v>9356</v>
      </c>
    </row>
    <row r="208" spans="3:14" ht="15" thickBot="1" x14ac:dyDescent="0.35">
      <c r="C208" s="592"/>
      <c r="D208" s="74"/>
      <c r="E208" s="53"/>
      <c r="F208" s="53"/>
      <c r="G208" s="53"/>
      <c r="H208" s="53"/>
      <c r="I208" s="53"/>
      <c r="J208" s="338"/>
      <c r="K208" s="339"/>
    </row>
    <row r="209" spans="3:17" x14ac:dyDescent="0.3">
      <c r="C209" s="577" t="s">
        <v>16</v>
      </c>
      <c r="D209" s="5"/>
      <c r="E209" s="5"/>
      <c r="F209" s="5"/>
      <c r="G209" s="5"/>
      <c r="H209" s="5"/>
      <c r="I209" s="5"/>
      <c r="J209" s="5"/>
      <c r="K209" s="6"/>
    </row>
    <row r="210" spans="3:17" x14ac:dyDescent="0.3">
      <c r="C210" s="578"/>
      <c r="D210" s="340" t="s">
        <v>16</v>
      </c>
      <c r="K210" s="9"/>
    </row>
    <row r="211" spans="3:17" x14ac:dyDescent="0.3">
      <c r="C211" s="578"/>
      <c r="D211" s="341"/>
      <c r="K211" s="9"/>
    </row>
    <row r="212" spans="3:17" ht="63" customHeight="1" thickBot="1" x14ac:dyDescent="0.35">
      <c r="C212" s="578"/>
      <c r="D212" s="575" t="s">
        <v>237</v>
      </c>
      <c r="E212" s="575"/>
      <c r="F212" s="575"/>
      <c r="G212" s="575"/>
      <c r="H212" s="575"/>
      <c r="I212" s="575"/>
      <c r="K212" s="9"/>
    </row>
    <row r="213" spans="3:17" ht="15" thickBot="1" x14ac:dyDescent="0.35">
      <c r="C213" s="578"/>
      <c r="D213" s="227"/>
      <c r="E213" s="342"/>
      <c r="F213" s="342"/>
      <c r="G213" s="342"/>
      <c r="H213" s="342"/>
      <c r="I213" s="106"/>
      <c r="K213" s="9"/>
      <c r="N213" s="343" t="s">
        <v>238</v>
      </c>
      <c r="O213" s="344"/>
      <c r="Q213" t="s">
        <v>239</v>
      </c>
    </row>
    <row r="214" spans="3:17" x14ac:dyDescent="0.3">
      <c r="C214" s="578"/>
      <c r="D214" s="345" t="s">
        <v>240</v>
      </c>
      <c r="E214" s="346">
        <v>440</v>
      </c>
      <c r="F214" s="342"/>
      <c r="G214" s="347">
        <v>554</v>
      </c>
      <c r="H214" s="348"/>
      <c r="I214" s="349"/>
      <c r="J214" s="6"/>
      <c r="K214" s="9"/>
      <c r="N214" s="350"/>
      <c r="O214" s="351"/>
    </row>
    <row r="215" spans="3:17" x14ac:dyDescent="0.3">
      <c r="C215" s="578"/>
      <c r="D215" s="10" t="s">
        <v>241</v>
      </c>
      <c r="E215" s="352">
        <v>664</v>
      </c>
      <c r="F215" s="342"/>
      <c r="G215" s="353">
        <v>558</v>
      </c>
      <c r="H215" s="342">
        <v>783</v>
      </c>
      <c r="I215" s="342">
        <f>SUM(G214:H215)</f>
        <v>1895</v>
      </c>
      <c r="J215" s="72">
        <f>+I215/9</f>
        <v>210.55555555555554</v>
      </c>
      <c r="K215" s="9"/>
      <c r="N215" s="350"/>
      <c r="O215" s="351"/>
    </row>
    <row r="216" spans="3:17" ht="15" thickBot="1" x14ac:dyDescent="0.35">
      <c r="C216" s="578"/>
      <c r="D216" s="10" t="s">
        <v>242</v>
      </c>
      <c r="E216" s="352">
        <f>330+149</f>
        <v>479</v>
      </c>
      <c r="F216" s="342"/>
      <c r="G216" s="354"/>
      <c r="H216" s="355"/>
      <c r="I216" s="356">
        <f>+E217/I215</f>
        <v>0.83535620052770454</v>
      </c>
      <c r="J216" s="55"/>
      <c r="K216" s="9"/>
      <c r="N216" s="350"/>
      <c r="O216" s="351"/>
    </row>
    <row r="217" spans="3:17" ht="15" thickBot="1" x14ac:dyDescent="0.35">
      <c r="C217" s="578"/>
      <c r="D217" s="357"/>
      <c r="E217" s="358">
        <f>SUM(E214:E216)</f>
        <v>1583</v>
      </c>
      <c r="F217" s="342"/>
      <c r="G217" s="342"/>
      <c r="H217" s="342"/>
      <c r="I217" s="106"/>
      <c r="K217" s="9"/>
      <c r="N217" s="350"/>
      <c r="O217" s="351"/>
    </row>
    <row r="218" spans="3:17" ht="15" thickBot="1" x14ac:dyDescent="0.35">
      <c r="C218" s="578"/>
      <c r="D218" s="227"/>
      <c r="E218" s="342"/>
      <c r="F218" s="342"/>
      <c r="G218" s="342"/>
      <c r="H218" s="342"/>
      <c r="I218" s="106"/>
      <c r="K218" s="9"/>
      <c r="N218" s="350"/>
      <c r="O218" s="351"/>
    </row>
    <row r="219" spans="3:17" ht="36" x14ac:dyDescent="0.3">
      <c r="C219" s="578"/>
      <c r="D219" s="359" t="s">
        <v>16</v>
      </c>
      <c r="E219" s="21" t="s">
        <v>100</v>
      </c>
      <c r="F219" s="21" t="s">
        <v>101</v>
      </c>
      <c r="G219" s="22" t="s">
        <v>102</v>
      </c>
      <c r="H219" s="360" t="s">
        <v>159</v>
      </c>
      <c r="I219" s="361">
        <f>+N220/20</f>
        <v>14.4</v>
      </c>
      <c r="K219" s="9"/>
      <c r="N219" s="362">
        <f>((8*5)*4)-Q219</f>
        <v>144</v>
      </c>
      <c r="O219" s="363" t="s">
        <v>243</v>
      </c>
      <c r="Q219">
        <v>16</v>
      </c>
    </row>
    <row r="220" spans="3:17" x14ac:dyDescent="0.3">
      <c r="C220" s="578"/>
      <c r="D220" s="239" t="s">
        <v>244</v>
      </c>
      <c r="E220" s="310">
        <v>1583</v>
      </c>
      <c r="F220" s="171">
        <f>+(E220/9)*3</f>
        <v>527.66666666666663</v>
      </c>
      <c r="G220" s="142">
        <f>+E220+F220</f>
        <v>2110.6666666666665</v>
      </c>
      <c r="H220" s="257">
        <f>+G220/12</f>
        <v>175.88888888888889</v>
      </c>
      <c r="I220" s="237" t="s">
        <v>119</v>
      </c>
      <c r="K220" s="9"/>
      <c r="N220" s="364">
        <f>+N219*2</f>
        <v>288</v>
      </c>
      <c r="O220" s="363" t="s">
        <v>245</v>
      </c>
    </row>
    <row r="221" spans="3:17" ht="15" thickBot="1" x14ac:dyDescent="0.35">
      <c r="C221" s="578"/>
      <c r="D221" s="365" t="s">
        <v>102</v>
      </c>
      <c r="E221" s="313">
        <f>SUM(E220)</f>
        <v>1583</v>
      </c>
      <c r="F221" s="313">
        <f t="shared" ref="F221:H221" si="26">SUM(F220)</f>
        <v>527.66666666666663</v>
      </c>
      <c r="G221" s="313">
        <f t="shared" si="26"/>
        <v>2110.6666666666665</v>
      </c>
      <c r="H221" s="246">
        <f t="shared" si="26"/>
        <v>175.88888888888889</v>
      </c>
      <c r="I221" s="366">
        <v>288</v>
      </c>
      <c r="K221" s="367"/>
      <c r="N221" s="365">
        <f>+N220*12</f>
        <v>3456</v>
      </c>
      <c r="O221" s="368" t="s">
        <v>246</v>
      </c>
    </row>
    <row r="222" spans="3:17" ht="27.75" customHeight="1" thickBot="1" x14ac:dyDescent="0.35">
      <c r="C222" s="587"/>
      <c r="D222" s="369" t="s">
        <v>247</v>
      </c>
      <c r="E222" s="53"/>
      <c r="F222" s="53"/>
      <c r="G222" s="53"/>
      <c r="H222" s="370">
        <f>+H221/N220</f>
        <v>0.61072530864197527</v>
      </c>
      <c r="I222" s="370">
        <f>+I221/N220</f>
        <v>1</v>
      </c>
      <c r="J222" s="371"/>
      <c r="K222" s="216"/>
    </row>
    <row r="223" spans="3:17" x14ac:dyDescent="0.3">
      <c r="C223" s="567" t="s">
        <v>248</v>
      </c>
      <c r="D223" s="372" t="s">
        <v>248</v>
      </c>
      <c r="E223" s="5"/>
      <c r="F223" s="5"/>
      <c r="G223" s="5"/>
      <c r="H223" s="5"/>
      <c r="I223" s="5"/>
      <c r="J223" s="5"/>
      <c r="K223" s="373">
        <v>3.658385093167702</v>
      </c>
    </row>
    <row r="224" spans="3:17" x14ac:dyDescent="0.3">
      <c r="C224" s="568"/>
      <c r="D224" s="341"/>
      <c r="K224" s="9"/>
    </row>
    <row r="225" spans="3:33" ht="80.25" customHeight="1" x14ac:dyDescent="0.3">
      <c r="C225" s="568"/>
      <c r="D225" s="576" t="s">
        <v>249</v>
      </c>
      <c r="E225" s="576"/>
      <c r="F225" s="576"/>
      <c r="G225" s="576"/>
      <c r="H225" s="576"/>
      <c r="I225" s="576"/>
      <c r="J225" s="374"/>
      <c r="K225" s="367">
        <v>6835</v>
      </c>
    </row>
    <row r="226" spans="3:33" ht="54.75" customHeight="1" thickBot="1" x14ac:dyDescent="0.35">
      <c r="C226" s="568"/>
      <c r="D226" s="105"/>
      <c r="E226" s="105"/>
      <c r="F226" s="105"/>
      <c r="G226" s="105"/>
      <c r="H226" s="105"/>
      <c r="I226" s="105"/>
      <c r="J226" s="374"/>
      <c r="K226" s="367">
        <f>+K225/12</f>
        <v>569.58333333333337</v>
      </c>
      <c r="Z226">
        <v>2</v>
      </c>
      <c r="AA226">
        <v>12</v>
      </c>
      <c r="AB226">
        <f>+AA226*Z226</f>
        <v>24</v>
      </c>
      <c r="AC226">
        <f>+AB226*10</f>
        <v>240</v>
      </c>
      <c r="AE226">
        <f>+AC226-40</f>
        <v>200</v>
      </c>
      <c r="AF226">
        <f>+AE226*3</f>
        <v>600</v>
      </c>
      <c r="AG226">
        <f>+AF226*12</f>
        <v>7200</v>
      </c>
    </row>
    <row r="227" spans="3:33" ht="36" x14ac:dyDescent="0.3">
      <c r="C227" s="568"/>
      <c r="D227" s="375" t="s">
        <v>248</v>
      </c>
      <c r="E227" s="21" t="s">
        <v>100</v>
      </c>
      <c r="F227" s="21" t="s">
        <v>101</v>
      </c>
      <c r="G227" s="22" t="s">
        <v>102</v>
      </c>
      <c r="H227" s="376" t="s">
        <v>250</v>
      </c>
      <c r="J227" s="361"/>
      <c r="K227" s="367"/>
      <c r="AA227">
        <v>32</v>
      </c>
      <c r="AC227">
        <f>+AC226*12</f>
        <v>2880</v>
      </c>
      <c r="AG227">
        <v>384</v>
      </c>
    </row>
    <row r="228" spans="3:33" x14ac:dyDescent="0.3">
      <c r="C228" s="568"/>
      <c r="D228" s="309" t="s">
        <v>251</v>
      </c>
      <c r="E228" s="240">
        <v>190</v>
      </c>
      <c r="F228" s="240">
        <f t="shared" ref="F228" si="27">+(E228/9)*3</f>
        <v>63.333333333333329</v>
      </c>
      <c r="G228" s="240">
        <f>SUM(E228:F228)</f>
        <v>253.33333333333331</v>
      </c>
      <c r="H228" s="144">
        <f>+G228/12</f>
        <v>21.111111111111111</v>
      </c>
      <c r="J228" s="237" t="s">
        <v>252</v>
      </c>
      <c r="K228" s="377" t="e">
        <f>+#REF!</f>
        <v>#REF!</v>
      </c>
      <c r="AA228" t="e">
        <f>+#REF!</f>
        <v>#REF!</v>
      </c>
      <c r="AC228" t="e">
        <f>+AC227-#REF!</f>
        <v>#REF!</v>
      </c>
      <c r="AF228" s="19" t="e">
        <f>+#REF!-G229</f>
        <v>#REF!</v>
      </c>
    </row>
    <row r="229" spans="3:33" x14ac:dyDescent="0.3">
      <c r="C229" s="568"/>
      <c r="D229" s="378" t="s">
        <v>102</v>
      </c>
      <c r="E229" s="240">
        <f>SUM(E228:E228)</f>
        <v>190</v>
      </c>
      <c r="F229" s="240">
        <f>+(E229/9)*3</f>
        <v>63.333333333333329</v>
      </c>
      <c r="G229" s="240">
        <f>SUM(G228:G228)</f>
        <v>253.33333333333331</v>
      </c>
      <c r="H229" s="144">
        <f>SUM(H228:H228)</f>
        <v>21.111111111111111</v>
      </c>
      <c r="AF229" s="77" t="e">
        <f>+AF228/G229</f>
        <v>#REF!</v>
      </c>
    </row>
    <row r="230" spans="3:33" ht="15" thickBot="1" x14ac:dyDescent="0.35">
      <c r="C230" s="570"/>
      <c r="D230" s="379"/>
      <c r="E230" s="53"/>
      <c r="F230" s="53"/>
      <c r="G230" s="53"/>
      <c r="H230" s="370">
        <f>G2+29</f>
        <v>29</v>
      </c>
      <c r="I230" s="370">
        <f>+G228/G229</f>
        <v>1</v>
      </c>
      <c r="J230" s="53"/>
      <c r="K230" s="55"/>
      <c r="AA230" s="77" t="e">
        <f>+G229/#REF!</f>
        <v>#REF!</v>
      </c>
    </row>
    <row r="231" spans="3:33" x14ac:dyDescent="0.3">
      <c r="C231" s="567" t="s">
        <v>253</v>
      </c>
      <c r="D231" s="380" t="str">
        <f>+[1]CRONOGRAMA!D23</f>
        <v xml:space="preserve">FISIATRÍA </v>
      </c>
      <c r="E231" s="5"/>
      <c r="F231" s="5"/>
      <c r="G231" s="5"/>
      <c r="H231" s="5"/>
      <c r="I231" s="5"/>
      <c r="J231" s="5"/>
      <c r="K231" s="6"/>
    </row>
    <row r="232" spans="3:33" x14ac:dyDescent="0.3">
      <c r="C232" s="568"/>
      <c r="D232" s="341"/>
      <c r="K232" s="9"/>
    </row>
    <row r="233" spans="3:33" x14ac:dyDescent="0.3">
      <c r="C233" s="568"/>
      <c r="D233" s="106"/>
      <c r="E233" s="106"/>
      <c r="F233" s="106"/>
      <c r="G233" s="106"/>
      <c r="H233" s="106"/>
      <c r="I233" s="106"/>
      <c r="K233" s="9"/>
    </row>
    <row r="234" spans="3:33" ht="171.6" x14ac:dyDescent="0.3">
      <c r="C234" s="568"/>
      <c r="D234" s="106" t="s">
        <v>254</v>
      </c>
      <c r="E234" s="78"/>
      <c r="F234" s="78"/>
      <c r="G234" s="78"/>
      <c r="H234" s="78"/>
      <c r="I234" s="78"/>
      <c r="K234" s="9"/>
    </row>
    <row r="235" spans="3:33" ht="15" thickBot="1" x14ac:dyDescent="0.35">
      <c r="C235" s="568"/>
      <c r="D235" s="227"/>
      <c r="E235" s="342"/>
      <c r="F235" s="342"/>
      <c r="G235" s="342"/>
      <c r="H235" s="342"/>
      <c r="I235" s="106"/>
      <c r="K235" s="9"/>
    </row>
    <row r="236" spans="3:33" ht="36" x14ac:dyDescent="0.3">
      <c r="C236" s="568"/>
      <c r="D236" s="381" t="s">
        <v>253</v>
      </c>
      <c r="E236" s="21" t="s">
        <v>100</v>
      </c>
      <c r="F236" s="21" t="s">
        <v>101</v>
      </c>
      <c r="G236" s="22" t="s">
        <v>102</v>
      </c>
      <c r="H236" s="376" t="s">
        <v>250</v>
      </c>
      <c r="J236" s="376"/>
      <c r="K236" s="9"/>
      <c r="AA236">
        <v>4</v>
      </c>
      <c r="AB236">
        <v>14</v>
      </c>
      <c r="AC236">
        <f>+AA236*AB236</f>
        <v>56</v>
      </c>
    </row>
    <row r="237" spans="3:33" x14ac:dyDescent="0.3">
      <c r="C237" s="568"/>
      <c r="D237" s="382" t="s">
        <v>244</v>
      </c>
      <c r="E237" s="383">
        <f>39+477+144+735+248+1513</f>
        <v>3156</v>
      </c>
      <c r="F237" s="384">
        <f>+(E237/9)*3</f>
        <v>1052</v>
      </c>
      <c r="G237" s="385">
        <f>+E237+F237</f>
        <v>4208</v>
      </c>
      <c r="J237" s="386">
        <v>2023</v>
      </c>
      <c r="K237" s="9"/>
      <c r="Z237">
        <f>+G237/2</f>
        <v>2104</v>
      </c>
    </row>
    <row r="238" spans="3:33" x14ac:dyDescent="0.3">
      <c r="C238" s="568"/>
      <c r="D238" s="387" t="s">
        <v>102</v>
      </c>
      <c r="E238" s="310">
        <f>SUM(E237)</f>
        <v>3156</v>
      </c>
      <c r="F238" s="310">
        <f>SUM(F237)</f>
        <v>1052</v>
      </c>
      <c r="G238" s="310">
        <f>SUM(G237)</f>
        <v>4208</v>
      </c>
      <c r="J238" s="388">
        <v>5760</v>
      </c>
      <c r="K238" s="9">
        <f>+J238/12</f>
        <v>480</v>
      </c>
      <c r="Z238" s="19">
        <f>+Z237/12</f>
        <v>175.33333333333334</v>
      </c>
      <c r="AA238" s="28">
        <f>+Z238/12</f>
        <v>14.611111111111112</v>
      </c>
      <c r="AB238">
        <f>+Z28/AB236</f>
        <v>0</v>
      </c>
    </row>
    <row r="239" spans="3:33" x14ac:dyDescent="0.3">
      <c r="C239" s="568"/>
      <c r="D239" s="389"/>
      <c r="K239" s="9"/>
      <c r="Z239">
        <v>351</v>
      </c>
      <c r="AA239">
        <f>+Z239</f>
        <v>351</v>
      </c>
    </row>
    <row r="240" spans="3:33" x14ac:dyDescent="0.3">
      <c r="C240" s="568"/>
      <c r="D240" s="341"/>
      <c r="K240" s="9"/>
      <c r="AA240" s="28">
        <f>+AA239/2</f>
        <v>175.5</v>
      </c>
    </row>
    <row r="241" spans="3:31" ht="15" thickBot="1" x14ac:dyDescent="0.35">
      <c r="C241" s="570"/>
      <c r="D241" s="369"/>
      <c r="E241" s="53"/>
      <c r="F241" s="53"/>
      <c r="G241" s="53"/>
      <c r="H241" s="53"/>
      <c r="I241" s="53"/>
      <c r="J241" s="53"/>
      <c r="K241" s="55"/>
      <c r="AA241">
        <f>+AA240/12</f>
        <v>14.625</v>
      </c>
    </row>
    <row r="242" spans="3:31" x14ac:dyDescent="0.3">
      <c r="C242" s="567" t="s">
        <v>9</v>
      </c>
      <c r="D242" s="372"/>
      <c r="E242" s="5"/>
      <c r="F242" s="5"/>
      <c r="G242" s="5"/>
      <c r="H242" s="5"/>
      <c r="I242" s="5"/>
      <c r="J242" s="5"/>
      <c r="K242" s="6"/>
    </row>
    <row r="243" spans="3:31" x14ac:dyDescent="0.3">
      <c r="C243" s="568"/>
      <c r="D243" s="390" t="s">
        <v>9</v>
      </c>
      <c r="K243" s="9"/>
      <c r="Z243">
        <v>26</v>
      </c>
      <c r="AB243">
        <v>20</v>
      </c>
      <c r="AC243">
        <v>12</v>
      </c>
      <c r="AD243">
        <f>+AB243*AC243</f>
        <v>240</v>
      </c>
      <c r="AE243">
        <f>+AD243*12</f>
        <v>2880</v>
      </c>
    </row>
    <row r="244" spans="3:31" x14ac:dyDescent="0.3">
      <c r="C244" s="568"/>
      <c r="D244" s="341"/>
      <c r="K244" s="9"/>
      <c r="AD244">
        <f>+AD243*2</f>
        <v>480</v>
      </c>
    </row>
    <row r="245" spans="3:31" x14ac:dyDescent="0.3">
      <c r="C245" s="568"/>
      <c r="D245" s="576"/>
      <c r="E245" s="576"/>
      <c r="F245" s="576"/>
      <c r="G245" s="576"/>
      <c r="H245" s="576"/>
      <c r="I245" s="576"/>
      <c r="J245" s="374"/>
      <c r="K245" s="367"/>
      <c r="AA245" s="19">
        <f>+AD245-G237</f>
        <v>1552</v>
      </c>
      <c r="AD245">
        <f>+AD244*12</f>
        <v>5760</v>
      </c>
    </row>
    <row r="246" spans="3:31" ht="58.5" customHeight="1" x14ac:dyDescent="0.3">
      <c r="C246" s="568"/>
      <c r="D246" s="575" t="s">
        <v>255</v>
      </c>
      <c r="E246" s="575"/>
      <c r="F246" s="575"/>
      <c r="G246" s="575"/>
      <c r="H246" s="575"/>
      <c r="I246" s="575"/>
      <c r="J246" s="374"/>
      <c r="K246" s="367"/>
      <c r="AA246" s="77">
        <f>+AA245/G237</f>
        <v>0.36882129277566539</v>
      </c>
    </row>
    <row r="247" spans="3:31" ht="15" thickBot="1" x14ac:dyDescent="0.35">
      <c r="C247" s="568"/>
      <c r="D247" s="279"/>
      <c r="K247" s="9"/>
    </row>
    <row r="248" spans="3:31" ht="20.399999999999999" x14ac:dyDescent="0.3">
      <c r="C248" s="569"/>
      <c r="D248" s="391" t="s">
        <v>9</v>
      </c>
      <c r="E248" s="392">
        <v>2022</v>
      </c>
      <c r="F248" s="392" t="s">
        <v>256</v>
      </c>
      <c r="G248" s="392" t="s">
        <v>102</v>
      </c>
      <c r="H248" s="393" t="s">
        <v>250</v>
      </c>
      <c r="J248" s="237" t="s">
        <v>119</v>
      </c>
      <c r="K248" s="9"/>
    </row>
    <row r="249" spans="3:31" x14ac:dyDescent="0.3">
      <c r="C249" s="569"/>
      <c r="D249" s="394" t="s">
        <v>244</v>
      </c>
      <c r="E249" s="395">
        <v>3500</v>
      </c>
      <c r="F249" s="395">
        <f>+(E249/9)*3</f>
        <v>1166.6666666666667</v>
      </c>
      <c r="G249" s="395">
        <f>+E249+F249</f>
        <v>4666.666666666667</v>
      </c>
      <c r="H249" s="396">
        <f>+G249/12</f>
        <v>388.88888888888891</v>
      </c>
      <c r="J249" s="237"/>
      <c r="K249" s="9"/>
    </row>
    <row r="250" spans="3:31" ht="15" thickBot="1" x14ac:dyDescent="0.35">
      <c r="C250" s="569"/>
      <c r="D250" s="365" t="s">
        <v>102</v>
      </c>
      <c r="E250" s="397">
        <f>SUM(E249)</f>
        <v>3500</v>
      </c>
      <c r="F250" s="397">
        <f>SUM(F249)</f>
        <v>1166.6666666666667</v>
      </c>
      <c r="G250" s="397">
        <f>SUM(G249)</f>
        <v>4666.666666666667</v>
      </c>
      <c r="H250" s="314"/>
      <c r="I250" s="298"/>
      <c r="K250" s="9"/>
    </row>
    <row r="251" spans="3:31" ht="34.5" customHeight="1" thickBot="1" x14ac:dyDescent="0.35">
      <c r="C251" s="570"/>
      <c r="D251" s="369" t="s">
        <v>257</v>
      </c>
      <c r="E251" s="53"/>
      <c r="F251" s="53"/>
      <c r="G251" s="53"/>
      <c r="H251" s="53"/>
      <c r="I251" s="53"/>
      <c r="J251" s="53"/>
      <c r="K251" s="55"/>
    </row>
    <row r="252" spans="3:31" x14ac:dyDescent="0.3">
      <c r="C252" s="593" t="s">
        <v>258</v>
      </c>
      <c r="D252" s="398" t="s">
        <v>258</v>
      </c>
      <c r="E252" s="5"/>
      <c r="F252" s="5"/>
      <c r="G252" s="5"/>
      <c r="H252" s="5"/>
      <c r="I252" s="5"/>
      <c r="J252" s="5"/>
      <c r="K252" s="6"/>
    </row>
    <row r="253" spans="3:31" x14ac:dyDescent="0.3">
      <c r="C253" s="594"/>
      <c r="D253" s="341"/>
      <c r="K253" s="9"/>
    </row>
    <row r="254" spans="3:31" ht="47.25" customHeight="1" x14ac:dyDescent="0.3">
      <c r="C254" s="594"/>
      <c r="D254" s="596" t="s">
        <v>259</v>
      </c>
      <c r="E254" s="596"/>
      <c r="F254" s="596"/>
      <c r="G254" s="596"/>
      <c r="H254" s="596"/>
      <c r="I254" s="596"/>
      <c r="J254" s="106"/>
      <c r="K254" s="9"/>
    </row>
    <row r="255" spans="3:31" x14ac:dyDescent="0.3">
      <c r="C255" s="594"/>
      <c r="D255" s="279"/>
      <c r="K255" s="9"/>
    </row>
    <row r="256" spans="3:31" ht="15" thickBot="1" x14ac:dyDescent="0.35">
      <c r="C256" s="595"/>
      <c r="D256" s="53"/>
      <c r="E256" s="53"/>
      <c r="F256" s="53"/>
      <c r="G256" s="53"/>
      <c r="H256" s="53"/>
      <c r="I256" s="53"/>
      <c r="J256" s="53"/>
      <c r="K256" s="55"/>
    </row>
    <row r="257" spans="3:11" x14ac:dyDescent="0.3">
      <c r="C257" s="597" t="s">
        <v>260</v>
      </c>
      <c r="D257" s="5"/>
      <c r="E257" s="5"/>
      <c r="F257" s="5"/>
      <c r="G257" s="5"/>
      <c r="H257" s="5"/>
      <c r="I257" s="5"/>
      <c r="J257" s="5"/>
      <c r="K257" s="6"/>
    </row>
    <row r="258" spans="3:11" x14ac:dyDescent="0.3">
      <c r="C258" s="598"/>
      <c r="D258" s="399" t="s">
        <v>260</v>
      </c>
      <c r="K258" s="9"/>
    </row>
    <row r="259" spans="3:11" x14ac:dyDescent="0.3">
      <c r="C259" s="598"/>
      <c r="D259" s="400" t="s">
        <v>261</v>
      </c>
      <c r="K259" s="9"/>
    </row>
    <row r="260" spans="3:11" ht="36.75" customHeight="1" x14ac:dyDescent="0.3">
      <c r="C260" s="598"/>
      <c r="D260" s="576" t="s">
        <v>262</v>
      </c>
      <c r="E260" s="576"/>
      <c r="F260" s="576"/>
      <c r="G260" s="576"/>
      <c r="H260" s="576"/>
      <c r="I260" s="576"/>
      <c r="K260" s="9"/>
    </row>
    <row r="261" spans="3:11" ht="15" thickBot="1" x14ac:dyDescent="0.35">
      <c r="C261" s="599"/>
      <c r="D261" s="53"/>
      <c r="E261" s="53"/>
      <c r="F261" s="53"/>
      <c r="G261" s="53"/>
      <c r="H261" s="53"/>
      <c r="I261" s="53"/>
      <c r="J261" s="53"/>
      <c r="K261" s="55"/>
    </row>
    <row r="262" spans="3:11" x14ac:dyDescent="0.3">
      <c r="C262" s="597" t="s">
        <v>263</v>
      </c>
      <c r="D262" s="5"/>
      <c r="E262" s="5"/>
      <c r="F262" s="5"/>
      <c r="G262" s="5"/>
      <c r="H262" s="5"/>
      <c r="I262" s="5"/>
      <c r="J262" s="5"/>
      <c r="K262" s="6"/>
    </row>
    <row r="263" spans="3:11" x14ac:dyDescent="0.3">
      <c r="C263" s="598"/>
      <c r="D263" s="399" t="s">
        <v>263</v>
      </c>
      <c r="K263" s="9"/>
    </row>
    <row r="264" spans="3:11" x14ac:dyDescent="0.3">
      <c r="C264" s="598"/>
      <c r="D264" s="401"/>
      <c r="K264" s="9"/>
    </row>
    <row r="265" spans="3:11" ht="39" customHeight="1" x14ac:dyDescent="0.3">
      <c r="C265" s="598"/>
      <c r="D265" s="576" t="s">
        <v>264</v>
      </c>
      <c r="E265" s="576"/>
      <c r="F265" s="576"/>
      <c r="G265" s="576"/>
      <c r="H265" s="576"/>
      <c r="I265" s="576"/>
      <c r="K265" s="9"/>
    </row>
    <row r="266" spans="3:11" x14ac:dyDescent="0.3">
      <c r="C266" s="598"/>
      <c r="K266" s="9"/>
    </row>
    <row r="267" spans="3:11" x14ac:dyDescent="0.3">
      <c r="C267" s="598"/>
      <c r="K267" s="9"/>
    </row>
    <row r="268" spans="3:11" x14ac:dyDescent="0.3">
      <c r="C268" s="598"/>
      <c r="K268" s="9"/>
    </row>
    <row r="269" spans="3:11" x14ac:dyDescent="0.3">
      <c r="C269" s="598"/>
      <c r="K269" s="9"/>
    </row>
    <row r="270" spans="3:11" x14ac:dyDescent="0.3">
      <c r="C270" s="598"/>
      <c r="K270" s="9"/>
    </row>
    <row r="271" spans="3:11" ht="35.25" customHeight="1" thickBot="1" x14ac:dyDescent="0.35">
      <c r="C271" s="599"/>
      <c r="D271" s="53"/>
      <c r="E271" s="53"/>
      <c r="F271" s="53"/>
      <c r="G271" s="53"/>
      <c r="H271" s="53"/>
      <c r="I271" s="53"/>
      <c r="J271" s="53"/>
      <c r="K271" s="55"/>
    </row>
  </sheetData>
  <mergeCells count="50">
    <mergeCell ref="C252:C256"/>
    <mergeCell ref="D254:I254"/>
    <mergeCell ref="C257:C261"/>
    <mergeCell ref="D260:I260"/>
    <mergeCell ref="C262:C271"/>
    <mergeCell ref="D265:I265"/>
    <mergeCell ref="C223:C230"/>
    <mergeCell ref="D225:I225"/>
    <mergeCell ref="C231:C241"/>
    <mergeCell ref="C242:C251"/>
    <mergeCell ref="D245:I245"/>
    <mergeCell ref="D246:I246"/>
    <mergeCell ref="C190:C198"/>
    <mergeCell ref="D193:I193"/>
    <mergeCell ref="C199:C208"/>
    <mergeCell ref="D202:I202"/>
    <mergeCell ref="C209:C222"/>
    <mergeCell ref="D212:I212"/>
    <mergeCell ref="C143:C152"/>
    <mergeCell ref="D146:I146"/>
    <mergeCell ref="C153:C177"/>
    <mergeCell ref="D156:I156"/>
    <mergeCell ref="C178:C189"/>
    <mergeCell ref="D182:I182"/>
    <mergeCell ref="D183:I183"/>
    <mergeCell ref="C130:C142"/>
    <mergeCell ref="D135:I135"/>
    <mergeCell ref="C65:C79"/>
    <mergeCell ref="D69:I69"/>
    <mergeCell ref="D70:I70"/>
    <mergeCell ref="C80:C101"/>
    <mergeCell ref="D83:I83"/>
    <mergeCell ref="D85:I85"/>
    <mergeCell ref="C102:C115"/>
    <mergeCell ref="D105:I105"/>
    <mergeCell ref="C116:C129"/>
    <mergeCell ref="D119:I119"/>
    <mergeCell ref="D121:I121"/>
    <mergeCell ref="C25:C35"/>
    <mergeCell ref="D28:I28"/>
    <mergeCell ref="C36:C49"/>
    <mergeCell ref="D39:I39"/>
    <mergeCell ref="C50:C64"/>
    <mergeCell ref="D53:I53"/>
    <mergeCell ref="D5:I5"/>
    <mergeCell ref="D7:I7"/>
    <mergeCell ref="C9:C24"/>
    <mergeCell ref="B10:B12"/>
    <mergeCell ref="D12:I12"/>
    <mergeCell ref="D10:K10"/>
  </mergeCells>
  <pageMargins left="0.70866141732283472" right="0.70866141732283472" top="0.74803149606299213" bottom="0.74803149606299213" header="0.31496062992125984" footer="0.31496062992125984"/>
  <pageSetup scale="67" orientation="landscape" r:id="rId1"/>
  <colBreaks count="1" manualBreakCount="1">
    <brk id="11" max="1048575" man="1"/>
  </colBreaks>
  <legacy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6</vt:i4>
      </vt:variant>
    </vt:vector>
  </HeadingPairs>
  <TitlesOfParts>
    <vt:vector size="6" baseType="lpstr">
      <vt:lpstr>SEDE PRINCIPAL</vt:lpstr>
      <vt:lpstr>SEDE CENTRO</vt:lpstr>
      <vt:lpstr>AJUSTES</vt:lpstr>
      <vt:lpstr>INSTRUCCIONES</vt:lpstr>
      <vt:lpstr>FORMULA</vt:lpstr>
      <vt:lpstr>PRODUCCION 2025-1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USER-HRM</dc:creator>
  <cp:lastModifiedBy>LEIDY TOLEDO ROJAS</cp:lastModifiedBy>
  <cp:lastPrinted>2023-05-29T00:19:05Z</cp:lastPrinted>
  <dcterms:created xsi:type="dcterms:W3CDTF">2023-03-29T17:40:47Z</dcterms:created>
  <dcterms:modified xsi:type="dcterms:W3CDTF">2025-08-20T04:12:56Z</dcterms:modified>
</cp:coreProperties>
</file>