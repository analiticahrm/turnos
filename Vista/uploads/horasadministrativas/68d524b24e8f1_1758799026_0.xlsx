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idy\OneDrive\Documentos\"/>
    </mc:Choice>
  </mc:AlternateContent>
  <xr:revisionPtr revIDLastSave="0" documentId="13_ncr:1_{9A09AAC0-EDD8-481A-9451-A7EA7FC2157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ronograma" sheetId="1" r:id="rId1"/>
    <sheet name="Priorización de GPC" sheetId="4" r:id="rId2"/>
    <sheet name="Cálculo de la muestra mensual" sheetId="3" r:id="rId3"/>
  </sheets>
  <definedNames>
    <definedName name="_xlchart.v1.0" hidden="1">'Priorización de GPC'!$J$22:$J$34</definedName>
    <definedName name="_xlchart.v1.1" hidden="1">'Priorización de GPC'!$K$22:$K$34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3" l="1"/>
  <c r="G12" i="3" s="1"/>
  <c r="G13" i="3"/>
  <c r="G15" i="3"/>
  <c r="L16" i="3"/>
  <c r="K34" i="3"/>
  <c r="L34" i="3" s="1"/>
  <c r="M34" i="3" s="1"/>
  <c r="N34" i="3" s="1"/>
  <c r="K35" i="3"/>
  <c r="L35" i="3" s="1"/>
  <c r="M35" i="3" s="1"/>
  <c r="N35" i="3" s="1"/>
  <c r="K36" i="3"/>
  <c r="L36" i="3" s="1"/>
  <c r="M36" i="3" s="1"/>
  <c r="N36" i="3" s="1"/>
  <c r="K37" i="3"/>
  <c r="L37" i="3" s="1"/>
  <c r="M37" i="3" s="1"/>
  <c r="N37" i="3" s="1"/>
  <c r="K38" i="3"/>
  <c r="L38" i="3" s="1"/>
  <c r="K39" i="3"/>
  <c r="L39" i="3" s="1"/>
  <c r="M39" i="3" s="1"/>
  <c r="N39" i="3" s="1"/>
  <c r="K40" i="3"/>
  <c r="L40" i="3"/>
  <c r="M40" i="3" s="1"/>
  <c r="N40" i="3" s="1"/>
  <c r="K41" i="3"/>
  <c r="L41" i="3"/>
  <c r="M41" i="3" s="1"/>
  <c r="N41" i="3" s="1"/>
  <c r="K42" i="3"/>
  <c r="L42" i="3" s="1"/>
  <c r="M42" i="3" s="1"/>
  <c r="N42" i="3" s="1"/>
  <c r="K63" i="3"/>
  <c r="L63" i="3" s="1"/>
  <c r="M63" i="3" s="1"/>
  <c r="K64" i="3"/>
  <c r="L64" i="3" s="1"/>
  <c r="M64" i="3" s="1"/>
  <c r="K65" i="3"/>
  <c r="L65" i="3" s="1"/>
  <c r="M65" i="3" s="1"/>
  <c r="K66" i="3"/>
  <c r="L66" i="3" s="1"/>
  <c r="M66" i="3" s="1"/>
  <c r="K67" i="3"/>
  <c r="L67" i="3" s="1"/>
  <c r="M67" i="3" s="1"/>
  <c r="K68" i="3"/>
  <c r="L68" i="3"/>
  <c r="M68" i="3" s="1"/>
  <c r="K69" i="3"/>
  <c r="L69" i="3"/>
  <c r="M69" i="3" s="1"/>
  <c r="K70" i="3"/>
  <c r="L70" i="3" s="1"/>
  <c r="M70" i="3" s="1"/>
  <c r="K71" i="3"/>
  <c r="L71" i="3" s="1"/>
  <c r="M71" i="3" s="1"/>
  <c r="K87" i="3"/>
  <c r="L87" i="3" s="1"/>
  <c r="M87" i="3" s="1"/>
  <c r="K88" i="3"/>
  <c r="L88" i="3"/>
  <c r="M88" i="3" s="1"/>
  <c r="K89" i="3"/>
  <c r="L89" i="3"/>
  <c r="M89" i="3" s="1"/>
  <c r="K90" i="3"/>
  <c r="L90" i="3" s="1"/>
  <c r="M90" i="3" s="1"/>
  <c r="K91" i="3"/>
  <c r="L91" i="3" s="1"/>
  <c r="M91" i="3" s="1"/>
  <c r="K92" i="3"/>
  <c r="L92" i="3" s="1"/>
  <c r="M92" i="3" s="1"/>
  <c r="K93" i="3"/>
  <c r="L93" i="3" s="1"/>
  <c r="M93" i="3" s="1"/>
  <c r="K94" i="3"/>
  <c r="L94" i="3"/>
  <c r="M94" i="3" s="1"/>
  <c r="K95" i="3"/>
  <c r="L95" i="3" s="1"/>
  <c r="M95" i="3" s="1"/>
  <c r="K111" i="3"/>
  <c r="L111" i="3"/>
  <c r="M111" i="3" s="1"/>
  <c r="K112" i="3"/>
  <c r="L112" i="3"/>
  <c r="M112" i="3" s="1"/>
  <c r="K113" i="3"/>
  <c r="L113" i="3" s="1"/>
  <c r="M113" i="3" s="1"/>
  <c r="K114" i="3"/>
  <c r="L114" i="3"/>
  <c r="M114" i="3" s="1"/>
  <c r="K115" i="3"/>
  <c r="L115" i="3"/>
  <c r="M115" i="3"/>
  <c r="K116" i="3"/>
  <c r="L116" i="3" s="1"/>
  <c r="M116" i="3" s="1"/>
  <c r="K117" i="3"/>
  <c r="L117" i="3" s="1"/>
  <c r="M117" i="3" s="1"/>
  <c r="K118" i="3"/>
  <c r="L118" i="3" s="1"/>
  <c r="M118" i="3" s="1"/>
  <c r="K119" i="3"/>
  <c r="L119" i="3" s="1"/>
  <c r="M119" i="3" s="1"/>
  <c r="K135" i="3"/>
  <c r="L135" i="3" s="1"/>
  <c r="K136" i="3"/>
  <c r="L136" i="3"/>
  <c r="M136" i="3" s="1"/>
  <c r="K137" i="3"/>
  <c r="L137" i="3" s="1"/>
  <c r="M137" i="3" s="1"/>
  <c r="K138" i="3"/>
  <c r="L138" i="3" s="1"/>
  <c r="M138" i="3" s="1"/>
  <c r="K139" i="3"/>
  <c r="L139" i="3" s="1"/>
  <c r="M139" i="3" s="1"/>
  <c r="K140" i="3"/>
  <c r="L140" i="3"/>
  <c r="M140" i="3" s="1"/>
  <c r="K141" i="3"/>
  <c r="L141" i="3"/>
  <c r="M141" i="3"/>
  <c r="K142" i="3"/>
  <c r="L142" i="3" s="1"/>
  <c r="M142" i="3" s="1"/>
  <c r="K143" i="3"/>
  <c r="L143" i="3" s="1"/>
  <c r="M143" i="3" s="1"/>
  <c r="K158" i="3"/>
  <c r="L158" i="3" s="1"/>
  <c r="M158" i="3" s="1"/>
  <c r="K159" i="3"/>
  <c r="L159" i="3" s="1"/>
  <c r="M159" i="3" s="1"/>
  <c r="K160" i="3"/>
  <c r="L160" i="3"/>
  <c r="M160" i="3" s="1"/>
  <c r="K161" i="3"/>
  <c r="L161" i="3"/>
  <c r="M161" i="3" s="1"/>
  <c r="K162" i="3"/>
  <c r="L162" i="3"/>
  <c r="M162" i="3" s="1"/>
  <c r="K163" i="3"/>
  <c r="L163" i="3" s="1"/>
  <c r="M163" i="3" s="1"/>
  <c r="K164" i="3"/>
  <c r="L164" i="3" s="1"/>
  <c r="M164" i="3" s="1"/>
  <c r="K165" i="3"/>
  <c r="L165" i="3" s="1"/>
  <c r="K166" i="3"/>
  <c r="L166" i="3" s="1"/>
  <c r="M166" i="3" s="1"/>
  <c r="N27" i="3"/>
  <c r="N28" i="3"/>
  <c r="N29" i="3"/>
  <c r="N30" i="3"/>
  <c r="N31" i="3"/>
  <c r="N32" i="3"/>
  <c r="N33" i="3"/>
  <c r="N26" i="3"/>
  <c r="R20" i="3"/>
  <c r="Q14" i="3"/>
  <c r="Q21" i="3" s="1"/>
  <c r="P31" i="3" s="1"/>
  <c r="R26" i="3"/>
  <c r="O26" i="3"/>
  <c r="N27" i="4"/>
  <c r="N29" i="4"/>
  <c r="N30" i="4"/>
  <c r="N31" i="4"/>
  <c r="N32" i="4"/>
  <c r="N33" i="4"/>
  <c r="N34" i="4"/>
  <c r="N28" i="4"/>
  <c r="K35" i="4"/>
  <c r="T29" i="4"/>
  <c r="L48" i="4"/>
  <c r="K48" i="4"/>
  <c r="G44" i="4"/>
  <c r="G43" i="4"/>
  <c r="G42" i="4"/>
  <c r="G41" i="4"/>
  <c r="G40" i="4"/>
  <c r="G39" i="4"/>
  <c r="G38" i="4"/>
  <c r="G37" i="4"/>
  <c r="G36" i="4"/>
  <c r="G35" i="4"/>
  <c r="G34" i="4"/>
  <c r="G33" i="4"/>
  <c r="M165" i="3" l="1"/>
  <c r="M168" i="3" s="1"/>
  <c r="L168" i="3"/>
  <c r="M120" i="3"/>
  <c r="L99" i="3"/>
  <c r="L120" i="3"/>
  <c r="G17" i="3"/>
  <c r="G19" i="3" s="1"/>
  <c r="H22" i="3" s="1"/>
  <c r="L48" i="3"/>
  <c r="K48" i="3" s="1"/>
  <c r="M38" i="3"/>
  <c r="M43" i="3" s="1"/>
  <c r="N43" i="3" s="1"/>
  <c r="M123" i="3"/>
  <c r="L96" i="3"/>
  <c r="M99" i="3"/>
  <c r="L43" i="3"/>
  <c r="M96" i="3"/>
  <c r="L146" i="3"/>
  <c r="M135" i="3"/>
  <c r="M146" i="3" s="1"/>
  <c r="M75" i="3"/>
  <c r="L75" i="3"/>
  <c r="L123" i="3"/>
  <c r="N38" i="3" l="1"/>
  <c r="M48" i="3"/>
  <c r="N48" i="3" s="1"/>
  <c r="L22" i="4" l="1"/>
  <c r="M22" i="4"/>
  <c r="L26" i="4"/>
  <c r="L29" i="4"/>
  <c r="L28" i="4"/>
  <c r="L27" i="4"/>
  <c r="L32" i="4"/>
  <c r="O19" i="4"/>
  <c r="L34" i="4"/>
  <c r="L30" i="4"/>
  <c r="L31" i="4"/>
  <c r="L33" i="4"/>
  <c r="L23" i="4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L25" i="4"/>
  <c r="L24" i="4"/>
</calcChain>
</file>

<file path=xl/sharedStrings.xml><?xml version="1.0" encoding="utf-8"?>
<sst xmlns="http://schemas.openxmlformats.org/spreadsheetml/2006/main" count="304" uniqueCount="100">
  <si>
    <t>Mes</t>
  </si>
  <si>
    <t>Guía/Protocolo a calificar</t>
  </si>
  <si>
    <t>Septiembre</t>
  </si>
  <si>
    <t>Noviembre</t>
  </si>
  <si>
    <t>Diciembre</t>
  </si>
  <si>
    <t>Agosto</t>
  </si>
  <si>
    <t>Muestra Calculada</t>
  </si>
  <si>
    <t>Trastornos hipertensivos y hemorrágicos del embarazo</t>
  </si>
  <si>
    <t xml:space="preserve">Octubre </t>
  </si>
  <si>
    <t xml:space="preserve">                                                    E.S.E. HOSPITAL REGIONAL DE MONIQUIRA</t>
  </si>
  <si>
    <t>MACROPROCESO</t>
  </si>
  <si>
    <t>GESTIÓN DE CALIDAD</t>
  </si>
  <si>
    <t>SUBPROCESO</t>
  </si>
  <si>
    <t>AUDITORIA PARA EL MEJORAMIENTO</t>
  </si>
  <si>
    <t>TIPO DE DOCUMENTO</t>
  </si>
  <si>
    <t>FORMATO</t>
  </si>
  <si>
    <t>NOMBRE</t>
  </si>
  <si>
    <t xml:space="preserve">MEDICIÓN ADHERENCIA GUÍAS DE PRÁCTICA CLÍNICA Y PROTOCOLOS INSTITUCIONALES 2025 </t>
  </si>
  <si>
    <t>Cronograma Calificación Medición Adherencia Semestre II-2025</t>
  </si>
  <si>
    <t>Protocolo Dolor Abdominal (Adultos)</t>
  </si>
  <si>
    <t>N</t>
  </si>
  <si>
    <t>número de pacientos con dx egreso</t>
  </si>
  <si>
    <t>Z alfa medios</t>
  </si>
  <si>
    <t>p</t>
  </si>
  <si>
    <t>Porcentaje adherentes</t>
  </si>
  <si>
    <t>q</t>
  </si>
  <si>
    <t>Porcentajes no adherentes</t>
  </si>
  <si>
    <t>e</t>
  </si>
  <si>
    <t>n</t>
  </si>
  <si>
    <t>muestra mensual</t>
  </si>
  <si>
    <t>IVU</t>
  </si>
  <si>
    <t>HTA</t>
  </si>
  <si>
    <t>PROMEDIO ATENCION MENSUAL</t>
  </si>
  <si>
    <t>GPC</t>
  </si>
  <si>
    <t>Hipertensión arterial crónica Consulta Externa</t>
  </si>
  <si>
    <t xml:space="preserve">Pendiente </t>
  </si>
  <si>
    <t>Total de HC con estos dx</t>
  </si>
  <si>
    <t>EDA</t>
  </si>
  <si>
    <t>MENSUAL</t>
  </si>
  <si>
    <t>BRONCO</t>
  </si>
  <si>
    <t>BIMESTRAL</t>
  </si>
  <si>
    <t>TRIMESTRAL</t>
  </si>
  <si>
    <t>IAM</t>
  </si>
  <si>
    <t>TRIMESTRALES</t>
  </si>
  <si>
    <t>GPC A EVALUAR</t>
  </si>
  <si>
    <t>EPOC URG</t>
  </si>
  <si>
    <t>AGO</t>
  </si>
  <si>
    <t>SEP</t>
  </si>
  <si>
    <t>SEPSIS</t>
  </si>
  <si>
    <t>OCT</t>
  </si>
  <si>
    <t>NOV</t>
  </si>
  <si>
    <t>DIC</t>
  </si>
  <si>
    <t>ENE</t>
  </si>
  <si>
    <t>FEB</t>
  </si>
  <si>
    <t>hta</t>
  </si>
  <si>
    <t>MAR</t>
  </si>
  <si>
    <t>dolor abdominal</t>
  </si>
  <si>
    <t>ABR</t>
  </si>
  <si>
    <t>GINEC</t>
  </si>
  <si>
    <t>MAY</t>
  </si>
  <si>
    <t>JUN</t>
  </si>
  <si>
    <t>JUL</t>
  </si>
  <si>
    <t>APEND</t>
  </si>
  <si>
    <t>Morbilidad</t>
  </si>
  <si>
    <t>DM</t>
  </si>
  <si>
    <t>EPOC-CE</t>
  </si>
  <si>
    <t>EPOC-URG</t>
  </si>
  <si>
    <t>EDA PED</t>
  </si>
  <si>
    <t>APENDICITIS</t>
  </si>
  <si>
    <t>BRONQUIOLITIS</t>
  </si>
  <si>
    <t>DOLOR ABD</t>
  </si>
  <si>
    <t>HELICOBACTER</t>
  </si>
  <si>
    <t>PANCREATITIS</t>
  </si>
  <si>
    <t xml:space="preserve">SEPSIS </t>
  </si>
  <si>
    <t>NEUMOPED</t>
  </si>
  <si>
    <t>HVDA</t>
  </si>
  <si>
    <t>THE</t>
  </si>
  <si>
    <t>HEMORRAGIA III TRIMESTRE</t>
  </si>
  <si>
    <t>N. GPC</t>
  </si>
  <si>
    <t>ESTIMADO MUESTRA 90%</t>
  </si>
  <si>
    <t>ESTIMADO MUESTRA 95%</t>
  </si>
  <si>
    <t>% Adherencia Base</t>
  </si>
  <si>
    <t>octubre</t>
  </si>
  <si>
    <t>noviembre</t>
  </si>
  <si>
    <t>diciembre</t>
  </si>
  <si>
    <t>enero</t>
  </si>
  <si>
    <t>Trastornos hipertensivos del embarazo</t>
  </si>
  <si>
    <t>Hemorragia III trimestre</t>
  </si>
  <si>
    <t>EPOC Consulta Externa</t>
  </si>
  <si>
    <t>Helicobacter Pilory</t>
  </si>
  <si>
    <t>Neumonía Pediatría</t>
  </si>
  <si>
    <t>Bronquiolitis Pediatría</t>
  </si>
  <si>
    <t xml:space="preserve">Pancreatitis </t>
  </si>
  <si>
    <t>Sepsis</t>
  </si>
  <si>
    <t>Diabetes Mellitus</t>
  </si>
  <si>
    <t>Apendicitis</t>
  </si>
  <si>
    <t>Enfermedad Diarreica Aguda</t>
  </si>
  <si>
    <t>EPOC urgencias</t>
  </si>
  <si>
    <t>SEPTIEMBRE</t>
  </si>
  <si>
    <t>PROMEDIO ATENCIÓN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</si>
</sst>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12"/>
      <name val="Arial"/>
      <family val="2"/>
    </font>
    <font>
      <b/>
      <sz val="11"/>
      <name val="Calibri"/>
      <family val="2"/>
    </font>
    <font>
      <sz val="12"/>
      <name val="Arial"/>
      <family val="2"/>
    </font>
    <font>
      <sz val="10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993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0" borderId="0" xfId="0" applyFont="1"/>
    <xf numFmtId="0" fontId="10" fillId="0" borderId="1" xfId="0" applyFont="1" applyBorder="1" applyAlignment="1">
      <alignment horizontal="center" vertical="top"/>
    </xf>
    <xf numFmtId="0" fontId="11" fillId="0" borderId="1" xfId="0" applyFont="1" applyBorder="1"/>
    <xf numFmtId="0" fontId="11" fillId="0" borderId="0" xfId="0" applyFont="1"/>
    <xf numFmtId="0" fontId="10" fillId="0" borderId="0" xfId="0" applyFont="1"/>
    <xf numFmtId="0" fontId="11" fillId="0" borderId="1" xfId="0" applyFont="1" applyBorder="1" applyAlignment="1">
      <alignment horizontal="right"/>
    </xf>
    <xf numFmtId="0" fontId="11" fillId="3" borderId="1" xfId="0" applyFont="1" applyFill="1" applyBorder="1"/>
    <xf numFmtId="0" fontId="10" fillId="0" borderId="0" xfId="0" applyFont="1" applyAlignment="1">
      <alignment horizontal="center"/>
    </xf>
    <xf numFmtId="9" fontId="11" fillId="0" borderId="0" xfId="1" applyFont="1"/>
    <xf numFmtId="9" fontId="11" fillId="0" borderId="1" xfId="1" applyFont="1" applyBorder="1"/>
    <xf numFmtId="0" fontId="10" fillId="0" borderId="1" xfId="0" applyFont="1" applyBorder="1" applyAlignment="1">
      <alignment horizontal="center"/>
    </xf>
    <xf numFmtId="0" fontId="10" fillId="4" borderId="1" xfId="0" applyFont="1" applyFill="1" applyBorder="1"/>
    <xf numFmtId="0" fontId="0" fillId="0" borderId="1" xfId="0" applyBorder="1"/>
    <xf numFmtId="9" fontId="0" fillId="0" borderId="0" xfId="1" applyFont="1"/>
    <xf numFmtId="0" fontId="11" fillId="0" borderId="1" xfId="0" applyNumberFormat="1" applyFont="1" applyBorder="1"/>
    <xf numFmtId="0" fontId="11" fillId="0" borderId="0" xfId="0" applyNumberFormat="1" applyFont="1"/>
    <xf numFmtId="0" fontId="10" fillId="5" borderId="1" xfId="0" applyFont="1" applyFill="1" applyBorder="1" applyAlignment="1">
      <alignment horizontal="center"/>
    </xf>
    <xf numFmtId="0" fontId="11" fillId="6" borderId="0" xfId="0" applyFont="1" applyFill="1"/>
    <xf numFmtId="0" fontId="10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7" xfId="0" applyFont="1" applyBorder="1" applyAlignment="1">
      <alignment wrapText="1"/>
    </xf>
    <xf numFmtId="0" fontId="11" fillId="0" borderId="0" xfId="0" applyFont="1" applyAlignment="1">
      <alignment wrapText="1"/>
    </xf>
    <xf numFmtId="0" fontId="10" fillId="0" borderId="1" xfId="0" applyFont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0" fillId="0" borderId="25" xfId="0" applyFill="1" applyBorder="1"/>
    <xf numFmtId="0" fontId="0" fillId="0" borderId="1" xfId="0" applyFill="1" applyBorder="1"/>
    <xf numFmtId="0" fontId="11" fillId="7" borderId="1" xfId="0" applyFont="1" applyFill="1" applyBorder="1"/>
    <xf numFmtId="0" fontId="0" fillId="7" borderId="1" xfId="0" applyFill="1" applyBorder="1"/>
    <xf numFmtId="0" fontId="0" fillId="8" borderId="1" xfId="0" applyFill="1" applyBorder="1"/>
    <xf numFmtId="0" fontId="11" fillId="8" borderId="1" xfId="0" applyFont="1" applyFill="1" applyBorder="1"/>
    <xf numFmtId="0" fontId="10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6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/>
    </xf>
    <xf numFmtId="0" fontId="6" fillId="0" borderId="21" xfId="0" applyFont="1" applyBorder="1"/>
    <xf numFmtId="0" fontId="6" fillId="0" borderId="22" xfId="0" applyFont="1" applyBorder="1"/>
    <xf numFmtId="0" fontId="10" fillId="2" borderId="23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13" xfId="0" applyFont="1" applyBorder="1"/>
    <xf numFmtId="0" fontId="6" fillId="0" borderId="14" xfId="0" applyFont="1" applyBorder="1"/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0" fillId="0" borderId="26" xfId="0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0" fillId="2" borderId="1" xfId="0" applyFont="1" applyFill="1" applyBorder="1" applyAlignment="1">
      <alignment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FF9933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Priorización GPC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Priorización GPC</a:t>
          </a:r>
        </a:p>
      </cx:txPr>
    </cx:title>
    <cx:plotArea>
      <cx:plotAreaRegion>
        <cx:series layoutId="clusteredColumn" uniqueId="{7FF4CB4C-A61B-42F5-BAD9-A48B7E008F06}">
          <cx:dataLabels pos="inEnd"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681F665F-7798-443A-A4A2-3C6525FA920D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114300</xdr:rowOff>
    </xdr:from>
    <xdr:to>
      <xdr:col>1</xdr:col>
      <xdr:colOff>1097280</xdr:colOff>
      <xdr:row>7</xdr:row>
      <xdr:rowOff>30480</xdr:rowOff>
    </xdr:to>
    <xdr:pic>
      <xdr:nvPicPr>
        <xdr:cNvPr id="2" name="Imagen 1" descr="Hospital Regional de Moniquirá">
          <a:extLst>
            <a:ext uri="{FF2B5EF4-FFF2-40B4-BE49-F238E27FC236}">
              <a16:creationId xmlns:a16="http://schemas.microsoft.com/office/drawing/2014/main" id="{6DD3EE4E-B553-4F1E-819B-DCEBB985A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" y="114300"/>
          <a:ext cx="1219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7620</xdr:colOff>
      <xdr:row>8</xdr:row>
      <xdr:rowOff>15240</xdr:rowOff>
    </xdr:from>
    <xdr:to>
      <xdr:col>11</xdr:col>
      <xdr:colOff>556260</xdr:colOff>
      <xdr:row>11</xdr:row>
      <xdr:rowOff>38100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6BDF786-78B2-4D20-BD7F-9C2CF26CD6D7}"/>
            </a:ext>
          </a:extLst>
        </xdr:cNvPr>
        <xdr:cNvSpPr txBox="1"/>
      </xdr:nvSpPr>
      <xdr:spPr>
        <a:xfrm>
          <a:off x="10591800" y="1744980"/>
          <a:ext cx="2377440" cy="624840"/>
        </a:xfrm>
        <a:prstGeom prst="rect">
          <a:avLst/>
        </a:prstGeom>
        <a:solidFill>
          <a:srgbClr val="FF99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rPr>
            <a:t>La muestra será tomada entre el día 18 del mes anterior y el día 18 del mes siguiente</a:t>
          </a:r>
          <a:endParaRPr lang="es-CO" sz="1100" b="1">
            <a:latin typeface="Calibri Light" panose="020F0302020204030204" pitchFamily="34" charset="0"/>
            <a:ea typeface="Calibri Light" panose="020F0302020204030204" pitchFamily="34" charset="0"/>
            <a:cs typeface="Calibri Light" panose="020F03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7</xdr:row>
      <xdr:rowOff>86677</xdr:rowOff>
    </xdr:from>
    <xdr:to>
      <xdr:col>6</xdr:col>
      <xdr:colOff>960119</xdr:colOff>
      <xdr:row>24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35731E90-23DC-4307-A515-BDE1F481A5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9080" y="1618297"/>
              <a:ext cx="5684519" cy="31670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152400</xdr:colOff>
      <xdr:row>0</xdr:row>
      <xdr:rowOff>144780</xdr:rowOff>
    </xdr:from>
    <xdr:to>
      <xdr:col>1</xdr:col>
      <xdr:colOff>566286</xdr:colOff>
      <xdr:row>6</xdr:row>
      <xdr:rowOff>114300</xdr:rowOff>
    </xdr:to>
    <xdr:pic>
      <xdr:nvPicPr>
        <xdr:cNvPr id="3" name="Imagen 2" descr="Hospital Regional de Moniquirá">
          <a:extLst>
            <a:ext uri="{FF2B5EF4-FFF2-40B4-BE49-F238E27FC236}">
              <a16:creationId xmlns:a16="http://schemas.microsoft.com/office/drawing/2014/main" id="{5723C82F-A7DA-4A21-8888-BDA2B55EB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44780"/>
          <a:ext cx="1206366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91440</xdr:rowOff>
    </xdr:from>
    <xdr:to>
      <xdr:col>1</xdr:col>
      <xdr:colOff>718686</xdr:colOff>
      <xdr:row>6</xdr:row>
      <xdr:rowOff>198120</xdr:rowOff>
    </xdr:to>
    <xdr:pic>
      <xdr:nvPicPr>
        <xdr:cNvPr id="3" name="Imagen 2" descr="Hospital Regional de Moniquirá">
          <a:extLst>
            <a:ext uri="{FF2B5EF4-FFF2-40B4-BE49-F238E27FC236}">
              <a16:creationId xmlns:a16="http://schemas.microsoft.com/office/drawing/2014/main" id="{51D75035-CCF1-4494-A59C-C3C5F6909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91440"/>
          <a:ext cx="1206366" cy="143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51"/>
  <sheetViews>
    <sheetView topLeftCell="A5" workbookViewId="0">
      <selection activeCell="E11" sqref="E11:E20"/>
    </sheetView>
  </sheetViews>
  <sheetFormatPr baseColWidth="10" defaultColWidth="8.88671875" defaultRowHeight="14.4" x14ac:dyDescent="0.3"/>
  <cols>
    <col min="2" max="2" width="18.33203125" customWidth="1"/>
    <col min="3" max="3" width="15.5546875" customWidth="1"/>
    <col min="4" max="4" width="14.88671875" customWidth="1"/>
    <col min="5" max="5" width="12.33203125" customWidth="1"/>
    <col min="6" max="6" width="45.33203125" customWidth="1"/>
    <col min="7" max="7" width="30.33203125" customWidth="1"/>
    <col min="18" max="18" width="16.33203125" customWidth="1"/>
  </cols>
  <sheetData>
    <row r="1" spans="3:18" ht="15" thickBot="1" x14ac:dyDescent="0.35">
      <c r="F1" s="2"/>
    </row>
    <row r="2" spans="3:18" ht="14.4" customHeight="1" thickBot="1" x14ac:dyDescent="0.35">
      <c r="C2" s="59" t="s">
        <v>9</v>
      </c>
      <c r="D2" s="60"/>
      <c r="E2" s="61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spans="3:18" ht="16.2" thickBot="1" x14ac:dyDescent="0.35">
      <c r="C3" s="46" t="s">
        <v>10</v>
      </c>
      <c r="D3" s="47"/>
      <c r="E3" s="48"/>
      <c r="F3" s="43" t="s">
        <v>11</v>
      </c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3"/>
    </row>
    <row r="4" spans="3:18" ht="26.4" customHeight="1" thickBot="1" x14ac:dyDescent="0.35">
      <c r="C4" s="64" t="s">
        <v>12</v>
      </c>
      <c r="D4" s="65"/>
      <c r="E4" s="66"/>
      <c r="F4" s="49" t="s">
        <v>13</v>
      </c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5"/>
    </row>
    <row r="5" spans="3:18" ht="16.2" thickBot="1" x14ac:dyDescent="0.35">
      <c r="C5" s="40"/>
      <c r="D5" s="41"/>
      <c r="E5" s="42"/>
      <c r="F5" s="43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5"/>
    </row>
    <row r="6" spans="3:18" ht="16.2" thickBot="1" x14ac:dyDescent="0.35">
      <c r="C6" s="46" t="s">
        <v>14</v>
      </c>
      <c r="D6" s="47"/>
      <c r="E6" s="48"/>
      <c r="F6" s="49" t="s">
        <v>15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5"/>
    </row>
    <row r="7" spans="3:18" ht="16.2" thickBot="1" x14ac:dyDescent="0.35">
      <c r="C7" s="50" t="s">
        <v>16</v>
      </c>
      <c r="D7" s="51"/>
      <c r="E7" s="52"/>
      <c r="F7" s="53" t="s">
        <v>17</v>
      </c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5"/>
    </row>
    <row r="8" spans="3:18" ht="15.6" x14ac:dyDescent="0.3"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3:18" ht="18.600000000000001" customHeight="1" x14ac:dyDescent="0.3">
      <c r="E9" s="56" t="s">
        <v>18</v>
      </c>
      <c r="F9" s="57"/>
      <c r="G9" s="58"/>
    </row>
    <row r="10" spans="3:18" x14ac:dyDescent="0.3">
      <c r="E10" s="9" t="s">
        <v>0</v>
      </c>
      <c r="F10" s="9" t="s">
        <v>1</v>
      </c>
      <c r="G10" s="9" t="s">
        <v>6</v>
      </c>
    </row>
    <row r="11" spans="3:18" x14ac:dyDescent="0.3">
      <c r="E11" s="39" t="s">
        <v>5</v>
      </c>
      <c r="F11" s="10" t="s">
        <v>88</v>
      </c>
      <c r="G11" s="10">
        <v>78</v>
      </c>
    </row>
    <row r="12" spans="3:18" x14ac:dyDescent="0.3">
      <c r="E12" s="39"/>
      <c r="F12" s="10" t="s">
        <v>89</v>
      </c>
      <c r="G12" s="10">
        <v>80</v>
      </c>
    </row>
    <row r="13" spans="3:18" x14ac:dyDescent="0.3">
      <c r="E13" s="39"/>
      <c r="F13" s="10" t="s">
        <v>91</v>
      </c>
      <c r="G13" s="10">
        <v>7</v>
      </c>
    </row>
    <row r="14" spans="3:18" x14ac:dyDescent="0.3">
      <c r="E14" s="39"/>
      <c r="F14" s="10" t="s">
        <v>90</v>
      </c>
      <c r="G14" s="10">
        <v>4</v>
      </c>
    </row>
    <row r="15" spans="3:18" x14ac:dyDescent="0.3">
      <c r="E15" s="39"/>
      <c r="F15" s="10" t="s">
        <v>92</v>
      </c>
      <c r="G15" s="10">
        <v>2</v>
      </c>
    </row>
    <row r="16" spans="3:18" x14ac:dyDescent="0.3">
      <c r="E16" s="39"/>
      <c r="F16" s="10" t="s">
        <v>93</v>
      </c>
      <c r="G16" s="10">
        <v>6</v>
      </c>
    </row>
    <row r="17" spans="2:7" x14ac:dyDescent="0.3">
      <c r="E17" s="39"/>
      <c r="F17" s="14" t="s">
        <v>19</v>
      </c>
      <c r="G17" s="10">
        <v>155</v>
      </c>
    </row>
    <row r="18" spans="2:7" x14ac:dyDescent="0.3">
      <c r="E18" s="39"/>
      <c r="F18" s="14" t="s">
        <v>87</v>
      </c>
      <c r="G18" s="13" t="s">
        <v>36</v>
      </c>
    </row>
    <row r="19" spans="2:7" x14ac:dyDescent="0.3">
      <c r="E19" s="39"/>
      <c r="F19" s="14" t="s">
        <v>86</v>
      </c>
      <c r="G19" s="13" t="s">
        <v>36</v>
      </c>
    </row>
    <row r="20" spans="2:7" x14ac:dyDescent="0.3">
      <c r="E20" s="39"/>
      <c r="F20" s="14" t="s">
        <v>34</v>
      </c>
      <c r="G20" s="10">
        <v>1766</v>
      </c>
    </row>
    <row r="21" spans="2:7" x14ac:dyDescent="0.3">
      <c r="E21" s="39" t="s">
        <v>2</v>
      </c>
      <c r="F21" s="10" t="s">
        <v>94</v>
      </c>
      <c r="G21" s="10" t="s">
        <v>35</v>
      </c>
    </row>
    <row r="22" spans="2:7" x14ac:dyDescent="0.3">
      <c r="E22" s="39"/>
      <c r="F22" s="10" t="s">
        <v>95</v>
      </c>
      <c r="G22" s="10" t="s">
        <v>35</v>
      </c>
    </row>
    <row r="23" spans="2:7" x14ac:dyDescent="0.3">
      <c r="E23" s="39"/>
      <c r="F23" s="10" t="s">
        <v>42</v>
      </c>
      <c r="G23" s="10" t="s">
        <v>35</v>
      </c>
    </row>
    <row r="24" spans="2:7" x14ac:dyDescent="0.3">
      <c r="E24" s="39"/>
      <c r="F24" s="10" t="s">
        <v>96</v>
      </c>
      <c r="G24" s="10" t="s">
        <v>35</v>
      </c>
    </row>
    <row r="25" spans="2:7" x14ac:dyDescent="0.3">
      <c r="E25" s="39"/>
      <c r="F25" s="14" t="s">
        <v>19</v>
      </c>
      <c r="G25" s="10" t="s">
        <v>35</v>
      </c>
    </row>
    <row r="26" spans="2:7" x14ac:dyDescent="0.3">
      <c r="E26" s="39"/>
      <c r="F26" s="14" t="s">
        <v>7</v>
      </c>
      <c r="G26" s="13" t="s">
        <v>36</v>
      </c>
    </row>
    <row r="27" spans="2:7" x14ac:dyDescent="0.3">
      <c r="B27" s="1"/>
      <c r="E27" s="39"/>
      <c r="F27" s="14" t="s">
        <v>34</v>
      </c>
      <c r="G27" s="10" t="s">
        <v>35</v>
      </c>
    </row>
    <row r="28" spans="2:7" x14ac:dyDescent="0.3">
      <c r="E28" s="39" t="s">
        <v>8</v>
      </c>
      <c r="F28" s="10" t="s">
        <v>88</v>
      </c>
      <c r="G28" s="10" t="s">
        <v>35</v>
      </c>
    </row>
    <row r="29" spans="2:7" x14ac:dyDescent="0.3">
      <c r="E29" s="39"/>
      <c r="F29" s="10" t="s">
        <v>89</v>
      </c>
      <c r="G29" s="10" t="s">
        <v>35</v>
      </c>
    </row>
    <row r="30" spans="2:7" x14ac:dyDescent="0.3">
      <c r="E30" s="39"/>
      <c r="F30" s="10" t="s">
        <v>30</v>
      </c>
      <c r="G30" s="10" t="s">
        <v>35</v>
      </c>
    </row>
    <row r="31" spans="2:7" x14ac:dyDescent="0.3">
      <c r="E31" s="39"/>
      <c r="F31" s="10" t="s">
        <v>97</v>
      </c>
      <c r="G31" s="10" t="s">
        <v>35</v>
      </c>
    </row>
    <row r="32" spans="2:7" x14ac:dyDescent="0.3">
      <c r="E32" s="39"/>
      <c r="F32" s="10" t="s">
        <v>75</v>
      </c>
      <c r="G32" s="10" t="s">
        <v>35</v>
      </c>
    </row>
    <row r="33" spans="5:7" x14ac:dyDescent="0.3">
      <c r="E33" s="39"/>
      <c r="F33" s="14" t="s">
        <v>19</v>
      </c>
      <c r="G33" s="10"/>
    </row>
    <row r="34" spans="5:7" x14ac:dyDescent="0.3">
      <c r="E34" s="39"/>
      <c r="F34" s="14" t="s">
        <v>7</v>
      </c>
      <c r="G34" s="13" t="s">
        <v>36</v>
      </c>
    </row>
    <row r="35" spans="5:7" x14ac:dyDescent="0.3">
      <c r="E35" s="39"/>
      <c r="F35" s="14" t="s">
        <v>34</v>
      </c>
      <c r="G35" s="10" t="s">
        <v>35</v>
      </c>
    </row>
    <row r="36" spans="5:7" x14ac:dyDescent="0.3">
      <c r="E36" s="39" t="s">
        <v>3</v>
      </c>
      <c r="F36" s="10" t="s">
        <v>94</v>
      </c>
      <c r="G36" s="10" t="s">
        <v>35</v>
      </c>
    </row>
    <row r="37" spans="5:7" x14ac:dyDescent="0.3">
      <c r="E37" s="39"/>
      <c r="F37" s="10" t="s">
        <v>91</v>
      </c>
      <c r="G37" s="10" t="s">
        <v>35</v>
      </c>
    </row>
    <row r="38" spans="5:7" x14ac:dyDescent="0.3">
      <c r="E38" s="39"/>
      <c r="F38" s="10" t="s">
        <v>93</v>
      </c>
      <c r="G38" s="10" t="s">
        <v>35</v>
      </c>
    </row>
    <row r="39" spans="5:7" x14ac:dyDescent="0.3">
      <c r="E39" s="39"/>
      <c r="F39" s="10" t="s">
        <v>92</v>
      </c>
      <c r="G39" s="10" t="s">
        <v>35</v>
      </c>
    </row>
    <row r="40" spans="5:7" x14ac:dyDescent="0.3">
      <c r="E40" s="39"/>
      <c r="F40" s="10" t="s">
        <v>90</v>
      </c>
      <c r="G40" s="10" t="s">
        <v>35</v>
      </c>
    </row>
    <row r="41" spans="5:7" x14ac:dyDescent="0.3">
      <c r="E41" s="39"/>
      <c r="F41" s="14" t="s">
        <v>19</v>
      </c>
      <c r="G41" s="13" t="s">
        <v>36</v>
      </c>
    </row>
    <row r="42" spans="5:7" x14ac:dyDescent="0.3">
      <c r="E42" s="39"/>
      <c r="F42" s="14" t="s">
        <v>7</v>
      </c>
      <c r="G42" s="10"/>
    </row>
    <row r="43" spans="5:7" x14ac:dyDescent="0.3">
      <c r="E43" s="39"/>
      <c r="F43" s="14" t="s">
        <v>34</v>
      </c>
      <c r="G43" s="10" t="s">
        <v>35</v>
      </c>
    </row>
    <row r="44" spans="5:7" x14ac:dyDescent="0.3">
      <c r="E44" s="39" t="s">
        <v>4</v>
      </c>
      <c r="F44" s="10" t="s">
        <v>88</v>
      </c>
      <c r="G44" s="10" t="s">
        <v>35</v>
      </c>
    </row>
    <row r="45" spans="5:7" x14ac:dyDescent="0.3">
      <c r="E45" s="39"/>
      <c r="F45" s="10" t="s">
        <v>89</v>
      </c>
      <c r="G45" s="10" t="s">
        <v>35</v>
      </c>
    </row>
    <row r="46" spans="5:7" x14ac:dyDescent="0.3">
      <c r="E46" s="39"/>
      <c r="F46" s="10" t="s">
        <v>95</v>
      </c>
      <c r="G46" s="10" t="s">
        <v>35</v>
      </c>
    </row>
    <row r="47" spans="5:7" x14ac:dyDescent="0.3">
      <c r="E47" s="39"/>
      <c r="F47" s="10" t="s">
        <v>42</v>
      </c>
      <c r="G47" s="10" t="s">
        <v>35</v>
      </c>
    </row>
    <row r="48" spans="5:7" x14ac:dyDescent="0.3">
      <c r="E48" s="39"/>
      <c r="F48" s="10" t="s">
        <v>96</v>
      </c>
      <c r="G48" s="10" t="s">
        <v>35</v>
      </c>
    </row>
    <row r="49" spans="5:7" x14ac:dyDescent="0.3">
      <c r="E49" s="39"/>
      <c r="F49" s="14" t="s">
        <v>19</v>
      </c>
      <c r="G49" s="10" t="s">
        <v>35</v>
      </c>
    </row>
    <row r="50" spans="5:7" x14ac:dyDescent="0.3">
      <c r="E50" s="39"/>
      <c r="F50" s="14" t="s">
        <v>7</v>
      </c>
      <c r="G50" s="13" t="s">
        <v>36</v>
      </c>
    </row>
    <row r="51" spans="5:7" x14ac:dyDescent="0.3">
      <c r="E51" s="39"/>
      <c r="F51" s="14" t="s">
        <v>34</v>
      </c>
      <c r="G51" s="10" t="s">
        <v>35</v>
      </c>
    </row>
  </sheetData>
  <mergeCells count="17">
    <mergeCell ref="C2:E2"/>
    <mergeCell ref="C3:E3"/>
    <mergeCell ref="F3:R3"/>
    <mergeCell ref="C4:E4"/>
    <mergeCell ref="F4:R4"/>
    <mergeCell ref="E36:E43"/>
    <mergeCell ref="E44:E51"/>
    <mergeCell ref="C5:E5"/>
    <mergeCell ref="F5:R5"/>
    <mergeCell ref="E11:E20"/>
    <mergeCell ref="E21:E27"/>
    <mergeCell ref="E28:E35"/>
    <mergeCell ref="C6:E6"/>
    <mergeCell ref="F6:R6"/>
    <mergeCell ref="C7:E7"/>
    <mergeCell ref="F7:R7"/>
    <mergeCell ref="E9:G9"/>
  </mergeCells>
  <phoneticPr fontId="1" type="noConversion"/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AABCA-9D4E-4CB5-989B-0BD62186E3EA}">
  <dimension ref="B1:T50"/>
  <sheetViews>
    <sheetView topLeftCell="A11" workbookViewId="0">
      <selection activeCell="J35" sqref="J35"/>
    </sheetView>
  </sheetViews>
  <sheetFormatPr baseColWidth="10" defaultRowHeight="14.4" x14ac:dyDescent="0.3"/>
  <cols>
    <col min="6" max="6" width="14.88671875" bestFit="1" customWidth="1"/>
    <col min="7" max="7" width="16.33203125" customWidth="1"/>
    <col min="9" max="9" width="4.88671875" customWidth="1"/>
    <col min="10" max="10" width="18.6640625" customWidth="1"/>
    <col min="12" max="12" width="11.88671875" bestFit="1" customWidth="1"/>
  </cols>
  <sheetData>
    <row r="1" spans="2:17" ht="15" thickBot="1" x14ac:dyDescent="0.35">
      <c r="E1" s="2"/>
    </row>
    <row r="2" spans="2:17" ht="14.4" customHeight="1" thickBot="1" x14ac:dyDescent="0.35">
      <c r="C2" s="67" t="s">
        <v>9</v>
      </c>
      <c r="D2" s="68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</row>
    <row r="3" spans="2:17" ht="16.2" thickBot="1" x14ac:dyDescent="0.35">
      <c r="C3" s="46" t="s">
        <v>10</v>
      </c>
      <c r="D3" s="48"/>
      <c r="E3" s="43" t="s">
        <v>11</v>
      </c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3"/>
    </row>
    <row r="4" spans="2:17" ht="26.4" customHeight="1" thickBot="1" x14ac:dyDescent="0.35">
      <c r="C4" s="64" t="s">
        <v>12</v>
      </c>
      <c r="D4" s="66"/>
      <c r="E4" s="49" t="s">
        <v>13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5"/>
    </row>
    <row r="5" spans="2:17" ht="16.2" thickBot="1" x14ac:dyDescent="0.35">
      <c r="C5" s="69"/>
      <c r="D5" s="70"/>
      <c r="E5" s="43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5"/>
    </row>
    <row r="6" spans="2:17" ht="16.2" thickBot="1" x14ac:dyDescent="0.35">
      <c r="C6" s="46" t="s">
        <v>14</v>
      </c>
      <c r="D6" s="48"/>
      <c r="E6" s="49" t="s">
        <v>15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5"/>
    </row>
    <row r="7" spans="2:17" ht="16.2" thickBot="1" x14ac:dyDescent="0.35">
      <c r="C7" s="46" t="s">
        <v>16</v>
      </c>
      <c r="D7" s="48"/>
      <c r="E7" s="53" t="s">
        <v>17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5"/>
    </row>
    <row r="13" spans="2:17" x14ac:dyDescent="0.3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2:17" x14ac:dyDescent="0.3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2:17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2:17" x14ac:dyDescent="0.3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2:20" x14ac:dyDescent="0.3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2:20" x14ac:dyDescent="0.3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2:20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21">
        <f>+K22/K35</f>
        <v>0.56578791819363994</v>
      </c>
    </row>
    <row r="20" spans="2:20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2:20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5" t="s">
        <v>63</v>
      </c>
      <c r="L21" s="11"/>
      <c r="M21" s="11"/>
      <c r="N21" s="11"/>
    </row>
    <row r="22" spans="2:20" x14ac:dyDescent="0.3">
      <c r="B22" s="11"/>
      <c r="C22" s="11"/>
      <c r="D22" s="11"/>
      <c r="E22" s="11"/>
      <c r="F22" s="11"/>
      <c r="G22" s="11"/>
      <c r="H22" s="11"/>
      <c r="I22" s="18">
        <v>1</v>
      </c>
      <c r="J22" s="19" t="s">
        <v>64</v>
      </c>
      <c r="K22" s="22">
        <v>4786</v>
      </c>
      <c r="L22" s="17">
        <f>+K22/$K$35</f>
        <v>0.56578791819363994</v>
      </c>
      <c r="M22" s="17">
        <f>+L22</f>
        <v>0.56578791819363994</v>
      </c>
      <c r="N22" s="11"/>
    </row>
    <row r="23" spans="2:20" x14ac:dyDescent="0.3">
      <c r="B23" s="11"/>
      <c r="C23" s="11"/>
      <c r="D23" s="11"/>
      <c r="E23" s="11"/>
      <c r="F23" s="11"/>
      <c r="G23" s="11"/>
      <c r="H23" s="11"/>
      <c r="I23" s="18">
        <v>2</v>
      </c>
      <c r="J23" s="19" t="s">
        <v>71</v>
      </c>
      <c r="K23" s="22">
        <v>1058</v>
      </c>
      <c r="L23" s="17">
        <f t="shared" ref="L23:L34" si="0">+K23/$K$35</f>
        <v>0.12507388580210427</v>
      </c>
      <c r="M23" s="17">
        <f>+M22+L23</f>
        <v>0.69086180399574415</v>
      </c>
      <c r="N23" s="11"/>
    </row>
    <row r="24" spans="2:20" x14ac:dyDescent="0.3">
      <c r="B24" s="11"/>
      <c r="C24" s="11"/>
      <c r="D24" s="11"/>
      <c r="E24" s="11"/>
      <c r="F24" s="11"/>
      <c r="G24" s="11"/>
      <c r="H24" s="11"/>
      <c r="I24" s="18">
        <v>3</v>
      </c>
      <c r="J24" s="19" t="s">
        <v>65</v>
      </c>
      <c r="K24" s="22">
        <v>966</v>
      </c>
      <c r="L24" s="17">
        <f t="shared" si="0"/>
        <v>0.11419789573235607</v>
      </c>
      <c r="M24" s="17">
        <f t="shared" ref="M24:M34" si="1">+M23+L24</f>
        <v>0.80505969972810021</v>
      </c>
      <c r="N24" s="11"/>
    </row>
    <row r="25" spans="2:20" x14ac:dyDescent="0.3">
      <c r="B25" s="11"/>
      <c r="C25" s="11"/>
      <c r="D25" s="11"/>
      <c r="E25" s="11"/>
      <c r="F25" s="11"/>
      <c r="G25" s="11"/>
      <c r="H25" s="11"/>
      <c r="I25" s="18">
        <v>4</v>
      </c>
      <c r="J25" s="19" t="s">
        <v>30</v>
      </c>
      <c r="K25" s="22">
        <v>781</v>
      </c>
      <c r="L25" s="17">
        <f t="shared" si="0"/>
        <v>9.2327698309492848E-2</v>
      </c>
      <c r="M25" s="17">
        <f t="shared" si="1"/>
        <v>0.89738739803759304</v>
      </c>
      <c r="N25" s="11"/>
    </row>
    <row r="26" spans="2:20" x14ac:dyDescent="0.3">
      <c r="B26" s="11"/>
      <c r="C26" s="11"/>
      <c r="D26" s="12">
        <v>4</v>
      </c>
      <c r="E26" s="11" t="s">
        <v>38</v>
      </c>
      <c r="F26" s="11"/>
      <c r="G26" s="11"/>
      <c r="H26" s="11"/>
      <c r="I26" s="18">
        <v>5</v>
      </c>
      <c r="J26" s="19" t="s">
        <v>75</v>
      </c>
      <c r="K26" s="22">
        <v>349</v>
      </c>
      <c r="L26" s="17">
        <f t="shared" si="0"/>
        <v>4.125783189502305E-2</v>
      </c>
      <c r="M26" s="17">
        <f t="shared" si="1"/>
        <v>0.93864522993261612</v>
      </c>
      <c r="N26" s="11"/>
    </row>
    <row r="27" spans="2:20" x14ac:dyDescent="0.3">
      <c r="B27" s="11"/>
      <c r="C27" s="11"/>
      <c r="D27" s="12">
        <v>3</v>
      </c>
      <c r="E27" s="11" t="s">
        <v>40</v>
      </c>
      <c r="F27" s="11"/>
      <c r="G27" s="11"/>
      <c r="H27" s="11"/>
      <c r="I27" s="18">
        <v>6</v>
      </c>
      <c r="J27" s="19" t="s">
        <v>66</v>
      </c>
      <c r="K27" s="22">
        <v>208</v>
      </c>
      <c r="L27" s="17">
        <f t="shared" si="0"/>
        <v>2.4589194940300273E-2</v>
      </c>
      <c r="M27" s="17">
        <f t="shared" si="1"/>
        <v>0.96323442487291644</v>
      </c>
      <c r="N27" s="11">
        <f>+K27/7</f>
        <v>29.714285714285715</v>
      </c>
    </row>
    <row r="28" spans="2:20" x14ac:dyDescent="0.3">
      <c r="B28" s="11"/>
      <c r="C28" s="11"/>
      <c r="D28" s="12">
        <v>10</v>
      </c>
      <c r="E28" s="11" t="s">
        <v>41</v>
      </c>
      <c r="F28" s="11"/>
      <c r="G28" s="11"/>
      <c r="H28" s="11"/>
      <c r="I28" s="24">
        <v>7</v>
      </c>
      <c r="J28" s="19" t="s">
        <v>68</v>
      </c>
      <c r="K28" s="22">
        <v>87</v>
      </c>
      <c r="L28" s="17">
        <f t="shared" si="0"/>
        <v>1.0284903652914056E-2</v>
      </c>
      <c r="M28" s="17">
        <f t="shared" si="1"/>
        <v>0.97351932852583045</v>
      </c>
      <c r="N28" s="11">
        <f>+K28/7</f>
        <v>12.428571428571429</v>
      </c>
    </row>
    <row r="29" spans="2:20" x14ac:dyDescent="0.3">
      <c r="B29" s="11"/>
      <c r="C29" s="11"/>
      <c r="D29" s="11"/>
      <c r="E29" s="11"/>
      <c r="F29" s="11"/>
      <c r="G29" s="11"/>
      <c r="H29" s="11"/>
      <c r="I29" s="24">
        <v>8</v>
      </c>
      <c r="J29" s="19" t="s">
        <v>42</v>
      </c>
      <c r="K29" s="22">
        <v>56</v>
      </c>
      <c r="L29" s="17">
        <f t="shared" si="0"/>
        <v>6.620167868542381E-3</v>
      </c>
      <c r="M29" s="17">
        <f t="shared" si="1"/>
        <v>0.98013949639437281</v>
      </c>
      <c r="N29" s="11">
        <f t="shared" ref="N29:N34" si="2">+K29/7</f>
        <v>8</v>
      </c>
      <c r="T29">
        <f>4786/27486</f>
        <v>0.17412500909553955</v>
      </c>
    </row>
    <row r="30" spans="2:20" x14ac:dyDescent="0.3">
      <c r="B30" s="11"/>
      <c r="C30" s="11"/>
      <c r="D30" s="11"/>
      <c r="E30" s="11"/>
      <c r="F30" s="11"/>
      <c r="G30" s="11"/>
      <c r="H30" s="11"/>
      <c r="I30" s="24">
        <v>9</v>
      </c>
      <c r="J30" s="19" t="s">
        <v>67</v>
      </c>
      <c r="K30" s="22">
        <v>48</v>
      </c>
      <c r="L30" s="17">
        <f t="shared" si="0"/>
        <v>5.6744296016077549E-3</v>
      </c>
      <c r="M30" s="17">
        <f t="shared" si="1"/>
        <v>0.98581392599598061</v>
      </c>
      <c r="N30" s="11">
        <f t="shared" si="2"/>
        <v>6.8571428571428568</v>
      </c>
    </row>
    <row r="31" spans="2:20" x14ac:dyDescent="0.3">
      <c r="B31" s="11"/>
      <c r="C31" s="11"/>
      <c r="D31" s="11"/>
      <c r="E31" s="11"/>
      <c r="F31" s="11"/>
      <c r="G31" s="11"/>
      <c r="H31" s="11"/>
      <c r="I31" s="24">
        <v>10</v>
      </c>
      <c r="J31" s="19" t="s">
        <v>69</v>
      </c>
      <c r="K31" s="22">
        <v>47</v>
      </c>
      <c r="L31" s="17">
        <f t="shared" si="0"/>
        <v>5.5562123182409271E-3</v>
      </c>
      <c r="M31" s="17">
        <f t="shared" si="1"/>
        <v>0.99137013831422149</v>
      </c>
      <c r="N31" s="11">
        <f t="shared" si="2"/>
        <v>6.7142857142857144</v>
      </c>
    </row>
    <row r="32" spans="2:20" x14ac:dyDescent="0.3">
      <c r="B32" s="11"/>
      <c r="C32" s="11"/>
      <c r="D32" s="15" t="s">
        <v>38</v>
      </c>
      <c r="E32" s="15" t="s">
        <v>40</v>
      </c>
      <c r="F32" s="15" t="s">
        <v>43</v>
      </c>
      <c r="G32" s="15" t="s">
        <v>44</v>
      </c>
      <c r="H32" s="11"/>
      <c r="I32" s="24">
        <v>11</v>
      </c>
      <c r="J32" s="19" t="s">
        <v>73</v>
      </c>
      <c r="K32" s="22">
        <v>38</v>
      </c>
      <c r="L32" s="17">
        <f t="shared" si="0"/>
        <v>4.4922567679394725E-3</v>
      </c>
      <c r="M32" s="17">
        <f t="shared" si="1"/>
        <v>0.99586239508216101</v>
      </c>
      <c r="N32" s="11">
        <f t="shared" si="2"/>
        <v>5.4285714285714288</v>
      </c>
    </row>
    <row r="33" spans="2:14" x14ac:dyDescent="0.3">
      <c r="B33" s="11"/>
      <c r="C33" s="12" t="s">
        <v>46</v>
      </c>
      <c r="D33" s="11">
        <v>4</v>
      </c>
      <c r="E33" s="11">
        <v>2</v>
      </c>
      <c r="F33" s="11">
        <v>4</v>
      </c>
      <c r="G33" s="11">
        <f>+SUM(D33:F33)</f>
        <v>10</v>
      </c>
      <c r="H33" s="11"/>
      <c r="I33" s="24">
        <v>12</v>
      </c>
      <c r="J33" s="19" t="s">
        <v>74</v>
      </c>
      <c r="K33" s="22">
        <v>24</v>
      </c>
      <c r="L33" s="17">
        <f t="shared" si="0"/>
        <v>2.8372148008038774E-3</v>
      </c>
      <c r="M33" s="17">
        <f t="shared" si="1"/>
        <v>0.99869960988296491</v>
      </c>
      <c r="N33" s="11">
        <f t="shared" si="2"/>
        <v>3.4285714285714284</v>
      </c>
    </row>
    <row r="34" spans="2:14" x14ac:dyDescent="0.3">
      <c r="B34" s="11"/>
      <c r="C34" s="12" t="s">
        <v>47</v>
      </c>
      <c r="D34" s="11">
        <v>4</v>
      </c>
      <c r="E34" s="11">
        <v>1</v>
      </c>
      <c r="F34" s="11">
        <v>3</v>
      </c>
      <c r="G34" s="11">
        <f t="shared" ref="G34:G44" si="3">+SUM(D34:F34)</f>
        <v>8</v>
      </c>
      <c r="H34" s="11"/>
      <c r="I34" s="24">
        <v>13</v>
      </c>
      <c r="J34" s="19" t="s">
        <v>72</v>
      </c>
      <c r="K34" s="22">
        <v>11</v>
      </c>
      <c r="L34" s="17">
        <f t="shared" si="0"/>
        <v>1.3003901170351106E-3</v>
      </c>
      <c r="M34" s="17">
        <f t="shared" si="1"/>
        <v>1</v>
      </c>
      <c r="N34" s="11">
        <f t="shared" si="2"/>
        <v>1.5714285714285714</v>
      </c>
    </row>
    <row r="35" spans="2:14" x14ac:dyDescent="0.3">
      <c r="B35" s="11"/>
      <c r="C35" s="12" t="s">
        <v>49</v>
      </c>
      <c r="D35" s="11">
        <v>4</v>
      </c>
      <c r="E35" s="11">
        <v>2</v>
      </c>
      <c r="F35" s="11">
        <v>3</v>
      </c>
      <c r="G35" s="11">
        <f t="shared" si="3"/>
        <v>9</v>
      </c>
      <c r="H35" s="11"/>
      <c r="I35" s="11"/>
      <c r="J35" s="11"/>
      <c r="K35" s="23">
        <f>+SUM(K22:K34)</f>
        <v>8459</v>
      </c>
      <c r="L35" s="16"/>
      <c r="M35" s="16"/>
      <c r="N35" s="11"/>
    </row>
    <row r="36" spans="2:14" x14ac:dyDescent="0.3">
      <c r="B36" s="11"/>
      <c r="C36" s="12" t="s">
        <v>50</v>
      </c>
      <c r="D36" s="11">
        <v>4</v>
      </c>
      <c r="E36" s="11">
        <v>1</v>
      </c>
      <c r="F36" s="11">
        <v>4</v>
      </c>
      <c r="G36" s="11">
        <f t="shared" si="3"/>
        <v>9</v>
      </c>
      <c r="H36" s="11"/>
      <c r="I36" s="11"/>
      <c r="J36" s="11"/>
      <c r="K36" s="11"/>
      <c r="L36" s="11"/>
      <c r="M36" s="11"/>
      <c r="N36" s="11"/>
    </row>
    <row r="37" spans="2:14" x14ac:dyDescent="0.3">
      <c r="B37" s="11"/>
      <c r="C37" s="12" t="s">
        <v>51</v>
      </c>
      <c r="D37" s="11">
        <v>4</v>
      </c>
      <c r="E37" s="11">
        <v>2</v>
      </c>
      <c r="F37" s="11">
        <v>3</v>
      </c>
      <c r="G37" s="11">
        <f t="shared" si="3"/>
        <v>9</v>
      </c>
      <c r="H37" s="11"/>
      <c r="I37" s="11"/>
      <c r="J37" s="11"/>
      <c r="K37" s="11"/>
      <c r="L37" s="11"/>
      <c r="M37" s="11"/>
      <c r="N37" s="11"/>
    </row>
    <row r="38" spans="2:14" x14ac:dyDescent="0.3">
      <c r="B38" s="11"/>
      <c r="C38" s="12" t="s">
        <v>52</v>
      </c>
      <c r="D38" s="11">
        <v>4</v>
      </c>
      <c r="E38" s="11">
        <v>1</v>
      </c>
      <c r="F38" s="11">
        <v>3</v>
      </c>
      <c r="G38" s="11">
        <f t="shared" si="3"/>
        <v>8</v>
      </c>
      <c r="H38" s="11"/>
      <c r="I38" s="11"/>
      <c r="J38" s="11"/>
      <c r="K38" s="11"/>
      <c r="L38" s="11"/>
      <c r="M38" s="11"/>
      <c r="N38" s="11"/>
    </row>
    <row r="39" spans="2:14" x14ac:dyDescent="0.3">
      <c r="B39" s="11"/>
      <c r="C39" s="12" t="s">
        <v>53</v>
      </c>
      <c r="D39" s="11">
        <v>4</v>
      </c>
      <c r="E39" s="11">
        <v>2</v>
      </c>
      <c r="F39" s="11">
        <v>4</v>
      </c>
      <c r="G39" s="11">
        <f t="shared" si="3"/>
        <v>10</v>
      </c>
      <c r="H39" s="11"/>
      <c r="I39" s="11"/>
      <c r="J39" s="11" t="s">
        <v>54</v>
      </c>
      <c r="K39" s="11">
        <v>175</v>
      </c>
      <c r="L39" s="11">
        <v>100</v>
      </c>
      <c r="M39" s="11"/>
      <c r="N39" s="11"/>
    </row>
    <row r="40" spans="2:14" x14ac:dyDescent="0.3">
      <c r="B40" s="11"/>
      <c r="C40" s="12" t="s">
        <v>55</v>
      </c>
      <c r="D40" s="11">
        <v>4</v>
      </c>
      <c r="E40" s="11">
        <v>1</v>
      </c>
      <c r="F40" s="11">
        <v>3</v>
      </c>
      <c r="G40" s="11">
        <f t="shared" si="3"/>
        <v>8</v>
      </c>
      <c r="H40" s="11"/>
      <c r="I40" s="11"/>
      <c r="J40" s="11" t="s">
        <v>56</v>
      </c>
      <c r="K40" s="11">
        <v>100</v>
      </c>
      <c r="L40" s="11">
        <v>70</v>
      </c>
      <c r="M40" s="11"/>
      <c r="N40" s="11"/>
    </row>
    <row r="41" spans="2:14" x14ac:dyDescent="0.3">
      <c r="B41" s="11"/>
      <c r="C41" s="12" t="s">
        <v>57</v>
      </c>
      <c r="D41" s="11">
        <v>4</v>
      </c>
      <c r="E41" s="11">
        <v>2</v>
      </c>
      <c r="F41" s="11">
        <v>3</v>
      </c>
      <c r="G41" s="11">
        <f t="shared" si="3"/>
        <v>9</v>
      </c>
      <c r="H41" s="11"/>
      <c r="I41" s="11"/>
      <c r="J41" s="11" t="s">
        <v>58</v>
      </c>
      <c r="K41" s="11">
        <v>5</v>
      </c>
      <c r="L41" s="11">
        <v>5</v>
      </c>
      <c r="M41" s="11"/>
      <c r="N41" s="11"/>
    </row>
    <row r="42" spans="2:14" x14ac:dyDescent="0.3">
      <c r="B42" s="11"/>
      <c r="C42" s="12" t="s">
        <v>59</v>
      </c>
      <c r="D42" s="11">
        <v>4</v>
      </c>
      <c r="E42" s="11">
        <v>1</v>
      </c>
      <c r="F42" s="11">
        <v>4</v>
      </c>
      <c r="G42" s="11">
        <f t="shared" si="3"/>
        <v>9</v>
      </c>
      <c r="H42" s="11"/>
      <c r="I42" s="11"/>
      <c r="J42" s="11" t="s">
        <v>30</v>
      </c>
      <c r="K42" s="11">
        <v>80</v>
      </c>
      <c r="L42" s="11">
        <v>40</v>
      </c>
      <c r="M42" s="11"/>
      <c r="N42" s="11"/>
    </row>
    <row r="43" spans="2:14" x14ac:dyDescent="0.3">
      <c r="B43" s="11"/>
      <c r="C43" s="12" t="s">
        <v>60</v>
      </c>
      <c r="D43" s="11">
        <v>4</v>
      </c>
      <c r="E43" s="11">
        <v>2</v>
      </c>
      <c r="F43" s="11">
        <v>3</v>
      </c>
      <c r="G43" s="11">
        <f t="shared" si="3"/>
        <v>9</v>
      </c>
      <c r="H43" s="11"/>
      <c r="I43" s="11"/>
      <c r="J43" s="11" t="s">
        <v>37</v>
      </c>
      <c r="K43" s="11">
        <v>70</v>
      </c>
      <c r="L43" s="11">
        <v>40</v>
      </c>
      <c r="M43" s="11"/>
      <c r="N43" s="11"/>
    </row>
    <row r="44" spans="2:14" x14ac:dyDescent="0.3">
      <c r="B44" s="11"/>
      <c r="C44" s="12" t="s">
        <v>61</v>
      </c>
      <c r="D44" s="11">
        <v>4</v>
      </c>
      <c r="E44" s="11">
        <v>1</v>
      </c>
      <c r="F44" s="11">
        <v>3</v>
      </c>
      <c r="G44" s="11">
        <f t="shared" si="3"/>
        <v>8</v>
      </c>
      <c r="H44" s="11"/>
      <c r="I44" s="11"/>
      <c r="J44" s="11" t="s">
        <v>39</v>
      </c>
      <c r="K44" s="11">
        <v>70</v>
      </c>
      <c r="L44" s="11">
        <v>40</v>
      </c>
      <c r="M44" s="11"/>
      <c r="N44" s="11"/>
    </row>
    <row r="45" spans="2:14" x14ac:dyDescent="0.3">
      <c r="B45" s="11"/>
      <c r="C45" s="11"/>
      <c r="D45" s="11"/>
      <c r="E45" s="11"/>
      <c r="F45" s="11"/>
      <c r="G45" s="11"/>
      <c r="H45" s="11"/>
      <c r="I45" s="11"/>
      <c r="J45" s="11" t="s">
        <v>45</v>
      </c>
      <c r="K45" s="11">
        <v>20</v>
      </c>
      <c r="L45" s="11">
        <v>20</v>
      </c>
      <c r="M45" s="11"/>
      <c r="N45" s="11"/>
    </row>
    <row r="46" spans="2:14" x14ac:dyDescent="0.3">
      <c r="B46" s="11"/>
      <c r="C46" s="11"/>
      <c r="D46" s="11"/>
      <c r="E46" s="11"/>
      <c r="F46" s="11"/>
      <c r="G46" s="11"/>
      <c r="H46" s="11"/>
      <c r="I46" s="11"/>
      <c r="J46" s="11" t="s">
        <v>62</v>
      </c>
      <c r="K46" s="11">
        <v>20</v>
      </c>
      <c r="L46" s="11">
        <v>20</v>
      </c>
      <c r="M46" s="11"/>
      <c r="N46" s="11"/>
    </row>
    <row r="47" spans="2:14" x14ac:dyDescent="0.3">
      <c r="B47" s="11"/>
      <c r="C47" s="11"/>
      <c r="D47" s="11"/>
      <c r="E47" s="11"/>
      <c r="F47" s="11"/>
      <c r="G47" s="11"/>
      <c r="H47" s="11"/>
      <c r="I47" s="11"/>
      <c r="J47" s="11" t="s">
        <v>48</v>
      </c>
      <c r="K47" s="11">
        <v>2</v>
      </c>
      <c r="L47" s="11">
        <v>2</v>
      </c>
      <c r="M47" s="11"/>
      <c r="N47" s="11"/>
    </row>
    <row r="48" spans="2:14" x14ac:dyDescent="0.3">
      <c r="B48" s="11"/>
      <c r="C48" s="11"/>
      <c r="D48" s="11"/>
      <c r="E48" s="11"/>
      <c r="F48" s="11"/>
      <c r="G48" s="11"/>
      <c r="H48" s="11"/>
      <c r="I48" s="11"/>
      <c r="J48" s="11"/>
      <c r="K48" s="11">
        <f>SUM(K39:K47)</f>
        <v>542</v>
      </c>
      <c r="L48" s="11">
        <f>SUM(L39:L47)</f>
        <v>337</v>
      </c>
      <c r="M48" s="11"/>
      <c r="N48" s="11"/>
    </row>
    <row r="49" spans="2:14" x14ac:dyDescent="0.3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2:14" x14ac:dyDescent="0.3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</sheetData>
  <mergeCells count="11">
    <mergeCell ref="C6:D6"/>
    <mergeCell ref="E6:Q6"/>
    <mergeCell ref="C7:D7"/>
    <mergeCell ref="E7:Q7"/>
    <mergeCell ref="C2:D2"/>
    <mergeCell ref="C3:D3"/>
    <mergeCell ref="E3:Q3"/>
    <mergeCell ref="C4:D4"/>
    <mergeCell ref="E4:Q4"/>
    <mergeCell ref="C5:D5"/>
    <mergeCell ref="E5:Q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0E2A-81A4-4B3D-806D-9BC606D19F01}">
  <dimension ref="C1:R929"/>
  <sheetViews>
    <sheetView tabSelected="1" topLeftCell="E50" workbookViewId="0">
      <selection activeCell="L74" sqref="L74"/>
    </sheetView>
  </sheetViews>
  <sheetFormatPr baseColWidth="10" defaultColWidth="14" defaultRowHeight="15" customHeight="1" x14ac:dyDescent="0.3"/>
  <cols>
    <col min="1" max="1" width="8.33203125" customWidth="1"/>
    <col min="2" max="3" width="11.6640625" customWidth="1"/>
    <col min="4" max="4" width="34.6640625" customWidth="1"/>
    <col min="5" max="5" width="11.6640625" customWidth="1"/>
    <col min="6" max="6" width="20" customWidth="1"/>
    <col min="7" max="7" width="12.33203125" customWidth="1"/>
    <col min="8" max="8" width="11.6640625" customWidth="1"/>
    <col min="9" max="9" width="14" customWidth="1"/>
    <col min="10" max="10" width="15" style="27" customWidth="1"/>
    <col min="11" max="11" width="32.44140625" customWidth="1"/>
    <col min="12" max="12" width="30.44140625" customWidth="1"/>
    <col min="13" max="13" width="27.6640625" customWidth="1"/>
    <col min="14" max="26" width="11.6640625" customWidth="1"/>
  </cols>
  <sheetData>
    <row r="1" spans="3:18" thickBot="1" x14ac:dyDescent="0.35">
      <c r="E1" s="2"/>
    </row>
    <row r="2" spans="3:18" ht="14.4" customHeight="1" thickBot="1" x14ac:dyDescent="0.35">
      <c r="C2" s="67" t="s">
        <v>9</v>
      </c>
      <c r="D2" s="68"/>
      <c r="E2" s="3"/>
      <c r="F2" s="4"/>
      <c r="G2" s="4"/>
      <c r="H2" s="4"/>
      <c r="I2" s="4"/>
      <c r="J2" s="28"/>
      <c r="K2" s="4"/>
      <c r="L2" s="4"/>
      <c r="M2" s="4"/>
      <c r="N2" s="4"/>
      <c r="O2" s="4"/>
      <c r="P2" s="4"/>
      <c r="Q2" s="4"/>
      <c r="R2" s="5"/>
    </row>
    <row r="3" spans="3:18" ht="16.2" thickBot="1" x14ac:dyDescent="0.35">
      <c r="C3" s="46" t="s">
        <v>10</v>
      </c>
      <c r="D3" s="48"/>
      <c r="E3" s="43" t="s">
        <v>11</v>
      </c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3"/>
    </row>
    <row r="4" spans="3:18" ht="26.4" customHeight="1" thickBot="1" x14ac:dyDescent="0.35">
      <c r="C4" s="64" t="s">
        <v>12</v>
      </c>
      <c r="D4" s="66"/>
      <c r="E4" s="49" t="s">
        <v>13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5"/>
    </row>
    <row r="5" spans="3:18" ht="16.2" thickBot="1" x14ac:dyDescent="0.35">
      <c r="C5" s="69"/>
      <c r="D5" s="70"/>
      <c r="E5" s="43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5"/>
    </row>
    <row r="6" spans="3:18" ht="16.2" thickBot="1" x14ac:dyDescent="0.35">
      <c r="C6" s="46" t="s">
        <v>14</v>
      </c>
      <c r="D6" s="48"/>
      <c r="E6" s="49" t="s">
        <v>15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5"/>
    </row>
    <row r="7" spans="3:18" ht="16.2" thickBot="1" x14ac:dyDescent="0.35">
      <c r="C7" s="46" t="s">
        <v>16</v>
      </c>
      <c r="D7" s="48"/>
      <c r="E7" s="53" t="s">
        <v>17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5"/>
    </row>
    <row r="8" spans="3:18" ht="18.600000000000001" customHeight="1" x14ac:dyDescent="0.3"/>
    <row r="9" spans="3:18" ht="13.5" customHeight="1" x14ac:dyDescent="0.3"/>
    <row r="10" spans="3:18" ht="13.5" customHeight="1" x14ac:dyDescent="0.3">
      <c r="C10" s="11"/>
      <c r="D10" s="11"/>
      <c r="E10" s="11"/>
      <c r="F10" s="11"/>
      <c r="G10" s="11"/>
      <c r="H10" s="11"/>
      <c r="I10" s="11"/>
      <c r="J10" s="29"/>
      <c r="K10" s="11"/>
      <c r="L10" s="11">
        <v>3845</v>
      </c>
      <c r="M10" s="11"/>
    </row>
    <row r="11" spans="3:18" ht="13.5" customHeight="1" x14ac:dyDescent="0.3">
      <c r="C11" s="11"/>
      <c r="D11" s="11"/>
      <c r="E11" s="11"/>
      <c r="F11" s="11"/>
      <c r="G11" s="11">
        <f>+H26</f>
        <v>14262</v>
      </c>
      <c r="H11" s="11"/>
      <c r="I11" s="11"/>
      <c r="J11" s="29"/>
      <c r="K11" s="11"/>
      <c r="L11" s="11"/>
      <c r="M11" s="11"/>
    </row>
    <row r="12" spans="3:18" ht="13.5" customHeight="1" x14ac:dyDescent="0.3">
      <c r="C12" s="11"/>
      <c r="D12" s="11"/>
      <c r="E12" s="11"/>
      <c r="F12" s="12" t="s">
        <v>20</v>
      </c>
      <c r="G12" s="25">
        <f>+G11/7</f>
        <v>2037.4285714285713</v>
      </c>
      <c r="H12" s="11" t="s">
        <v>21</v>
      </c>
      <c r="I12" s="11"/>
      <c r="J12" s="29"/>
      <c r="K12" s="11"/>
      <c r="L12" s="11"/>
      <c r="M12" s="11"/>
    </row>
    <row r="13" spans="3:18" ht="13.5" customHeight="1" x14ac:dyDescent="0.3">
      <c r="C13" s="11"/>
      <c r="D13" s="11"/>
      <c r="E13" s="11"/>
      <c r="F13" s="12" t="s">
        <v>22</v>
      </c>
      <c r="G13" s="11">
        <f>+NORMSINV(0.975)</f>
        <v>1.9599639845400536</v>
      </c>
      <c r="H13" s="11"/>
      <c r="I13" s="11"/>
      <c r="J13" s="29"/>
      <c r="K13" s="11"/>
      <c r="L13" s="11"/>
      <c r="M13" s="11"/>
      <c r="P13">
        <v>227</v>
      </c>
    </row>
    <row r="14" spans="3:18" ht="13.5" customHeight="1" x14ac:dyDescent="0.3">
      <c r="C14" s="11"/>
      <c r="D14" s="11"/>
      <c r="E14" s="11"/>
      <c r="F14" s="12" t="s">
        <v>23</v>
      </c>
      <c r="G14" s="11">
        <v>0.9</v>
      </c>
      <c r="H14" s="11" t="s">
        <v>24</v>
      </c>
      <c r="I14" s="11"/>
      <c r="J14" s="29"/>
      <c r="K14" s="11"/>
      <c r="L14" s="11"/>
      <c r="M14" s="11"/>
      <c r="P14">
        <v>148</v>
      </c>
      <c r="Q14">
        <f>+P14/P13</f>
        <v>0.65198237885462551</v>
      </c>
    </row>
    <row r="15" spans="3:18" ht="13.5" customHeight="1" x14ac:dyDescent="0.3">
      <c r="C15" s="11"/>
      <c r="D15" s="11"/>
      <c r="E15" s="11"/>
      <c r="F15" s="12" t="s">
        <v>25</v>
      </c>
      <c r="G15" s="11">
        <f>1-G14</f>
        <v>9.9999999999999978E-2</v>
      </c>
      <c r="H15" s="11" t="s">
        <v>26</v>
      </c>
      <c r="I15" s="11"/>
      <c r="J15" s="29"/>
      <c r="K15" s="11"/>
      <c r="L15" s="11"/>
      <c r="M15" s="11"/>
    </row>
    <row r="16" spans="3:18" ht="13.5" customHeight="1" x14ac:dyDescent="0.3">
      <c r="C16" s="11"/>
      <c r="D16" s="11"/>
      <c r="E16" s="11"/>
      <c r="F16" s="12" t="s">
        <v>27</v>
      </c>
      <c r="G16" s="11">
        <v>0.05</v>
      </c>
      <c r="H16" s="11"/>
      <c r="I16" s="11"/>
      <c r="J16" s="29"/>
      <c r="K16" s="11"/>
      <c r="L16" s="11">
        <f>5*0.77</f>
        <v>3.85</v>
      </c>
      <c r="M16" s="11"/>
    </row>
    <row r="17" spans="3:18" ht="13.5" customHeight="1" x14ac:dyDescent="0.3">
      <c r="C17" s="11"/>
      <c r="D17" s="11"/>
      <c r="E17" s="11"/>
      <c r="F17" s="12" t="s">
        <v>28</v>
      </c>
      <c r="G17" s="11">
        <f>+(G12*(G13^2)*G14*G15)/((G16^2)*(G12-1)+(G13^2)*G14*G15)</f>
        <v>129.5619598713387</v>
      </c>
      <c r="H17" s="11" t="s">
        <v>29</v>
      </c>
      <c r="I17" s="11"/>
      <c r="J17" s="29"/>
      <c r="K17" s="11"/>
      <c r="L17" s="11"/>
      <c r="M17" s="11"/>
    </row>
    <row r="18" spans="3:18" ht="13.5" customHeight="1" x14ac:dyDescent="0.3">
      <c r="C18" s="11"/>
      <c r="D18" s="11"/>
      <c r="E18" s="11"/>
      <c r="F18" s="11"/>
      <c r="G18" s="11"/>
      <c r="H18" s="11"/>
      <c r="I18" s="11"/>
      <c r="J18" s="29"/>
      <c r="K18" s="11"/>
      <c r="L18" s="11"/>
      <c r="M18" s="11"/>
    </row>
    <row r="19" spans="3:18" ht="13.5" customHeight="1" x14ac:dyDescent="0.3">
      <c r="C19" s="11"/>
      <c r="D19" s="11"/>
      <c r="E19" s="11"/>
      <c r="F19" s="11"/>
      <c r="G19" s="11">
        <f>+G17/12</f>
        <v>10.796829989278224</v>
      </c>
      <c r="H19" s="11"/>
      <c r="I19" s="11"/>
      <c r="J19" s="29"/>
      <c r="K19" s="11"/>
      <c r="L19" s="11"/>
      <c r="M19" s="11"/>
    </row>
    <row r="20" spans="3:18" ht="13.5" customHeight="1" x14ac:dyDescent="0.3">
      <c r="C20" s="11"/>
      <c r="D20" s="11"/>
      <c r="E20" s="11"/>
      <c r="F20" s="11"/>
      <c r="G20" s="11"/>
      <c r="H20" s="11"/>
      <c r="I20" s="11"/>
      <c r="J20" s="29"/>
      <c r="K20" s="11"/>
      <c r="L20" s="11"/>
      <c r="M20" s="11"/>
      <c r="R20">
        <f>3.87/5</f>
        <v>0.77400000000000002</v>
      </c>
    </row>
    <row r="21" spans="3:18" ht="13.5" customHeight="1" x14ac:dyDescent="0.3">
      <c r="C21" s="11"/>
      <c r="D21" s="11"/>
      <c r="E21" s="11"/>
      <c r="F21" s="11"/>
      <c r="G21" s="11"/>
      <c r="H21" s="11"/>
      <c r="I21" s="11"/>
      <c r="J21" s="29"/>
      <c r="K21" s="11"/>
      <c r="L21" s="11"/>
      <c r="M21" s="11"/>
      <c r="O21">
        <v>372</v>
      </c>
      <c r="Q21">
        <f>+O21*Q14</f>
        <v>242.53744493392068</v>
      </c>
    </row>
    <row r="22" spans="3:18" ht="13.5" customHeight="1" x14ac:dyDescent="0.3">
      <c r="C22" s="11"/>
      <c r="D22" s="11"/>
      <c r="E22" s="11"/>
      <c r="F22" s="11"/>
      <c r="G22" s="11"/>
      <c r="H22" s="11">
        <f>+G19*7</f>
        <v>75.577809924947573</v>
      </c>
      <c r="I22" s="11"/>
      <c r="J22" s="29"/>
      <c r="K22" s="11"/>
      <c r="L22" s="11"/>
      <c r="M22" s="11"/>
    </row>
    <row r="23" spans="3:18" ht="13.5" customHeight="1" x14ac:dyDescent="0.3">
      <c r="C23" s="11"/>
      <c r="D23" s="11"/>
      <c r="E23" s="11"/>
      <c r="F23" s="11"/>
      <c r="G23" s="11"/>
      <c r="H23" s="11"/>
      <c r="I23" s="11"/>
      <c r="J23" s="72" t="s">
        <v>5</v>
      </c>
      <c r="K23" s="72"/>
      <c r="L23" s="72"/>
      <c r="M23" s="11"/>
    </row>
    <row r="24" spans="3:18" ht="13.5" customHeight="1" x14ac:dyDescent="0.3">
      <c r="C24" s="11"/>
      <c r="D24" s="11"/>
      <c r="E24" s="11"/>
      <c r="F24" s="11"/>
      <c r="G24" s="11"/>
      <c r="H24" s="11"/>
      <c r="I24" s="11"/>
      <c r="J24" s="29"/>
      <c r="K24" s="11"/>
      <c r="L24" s="11"/>
      <c r="M24" s="11"/>
    </row>
    <row r="25" spans="3:18" ht="13.5" customHeight="1" x14ac:dyDescent="0.3">
      <c r="C25" s="11"/>
      <c r="D25" s="11"/>
      <c r="E25" s="11"/>
      <c r="F25" s="11"/>
      <c r="G25" s="18" t="s">
        <v>78</v>
      </c>
      <c r="H25" s="10"/>
      <c r="I25" s="32" t="s">
        <v>81</v>
      </c>
      <c r="J25" s="30" t="s">
        <v>33</v>
      </c>
      <c r="K25" s="18" t="s">
        <v>32</v>
      </c>
      <c r="L25" s="18" t="s">
        <v>79</v>
      </c>
      <c r="M25" s="26" t="s">
        <v>80</v>
      </c>
    </row>
    <row r="26" spans="3:18" ht="13.5" customHeight="1" x14ac:dyDescent="0.3">
      <c r="C26" s="11"/>
      <c r="D26" s="11"/>
      <c r="E26" s="11"/>
      <c r="F26" s="11"/>
      <c r="G26" s="18">
        <v>1</v>
      </c>
      <c r="H26" s="10">
        <v>14262</v>
      </c>
      <c r="I26" s="10">
        <v>0.77</v>
      </c>
      <c r="J26" s="31" t="s">
        <v>31</v>
      </c>
      <c r="K26" s="10">
        <v>2037</v>
      </c>
      <c r="L26" s="35">
        <v>176</v>
      </c>
      <c r="M26" s="10">
        <v>241</v>
      </c>
      <c r="N26">
        <f t="shared" ref="N26:N43" si="0">+M26-L26</f>
        <v>65</v>
      </c>
      <c r="O26">
        <f>+O21*0.8</f>
        <v>297.60000000000002</v>
      </c>
      <c r="R26">
        <f>+O28/O21</f>
        <v>0.74193548387096775</v>
      </c>
    </row>
    <row r="27" spans="3:18" ht="13.5" customHeight="1" x14ac:dyDescent="0.3">
      <c r="C27" s="11"/>
      <c r="D27" s="11"/>
      <c r="E27" s="11"/>
      <c r="F27" s="11"/>
      <c r="G27" s="18">
        <v>2</v>
      </c>
      <c r="H27" s="10">
        <v>9972</v>
      </c>
      <c r="I27" s="10">
        <v>0.8</v>
      </c>
      <c r="J27" s="31" t="s">
        <v>70</v>
      </c>
      <c r="K27" s="20">
        <v>1425</v>
      </c>
      <c r="L27" s="36">
        <v>155</v>
      </c>
      <c r="M27" s="10">
        <v>210</v>
      </c>
      <c r="N27">
        <f t="shared" si="0"/>
        <v>55</v>
      </c>
    </row>
    <row r="28" spans="3:18" ht="13.5" customHeight="1" x14ac:dyDescent="0.3">
      <c r="C28" s="11"/>
      <c r="D28" s="11"/>
      <c r="E28" s="11"/>
      <c r="F28" s="11"/>
      <c r="G28" s="18">
        <v>3</v>
      </c>
      <c r="H28" s="10">
        <v>4786</v>
      </c>
      <c r="I28" s="10">
        <v>0.77</v>
      </c>
      <c r="J28" s="31" t="s">
        <v>64</v>
      </c>
      <c r="K28" s="10">
        <v>684</v>
      </c>
      <c r="L28" s="10">
        <v>150</v>
      </c>
      <c r="M28" s="10">
        <v>171</v>
      </c>
      <c r="N28">
        <f t="shared" si="0"/>
        <v>21</v>
      </c>
      <c r="O28">
        <v>276</v>
      </c>
    </row>
    <row r="29" spans="3:18" ht="13.5" customHeight="1" x14ac:dyDescent="0.3">
      <c r="C29" s="11"/>
      <c r="D29" s="11"/>
      <c r="E29" s="11"/>
      <c r="F29" s="11"/>
      <c r="G29" s="18">
        <v>4</v>
      </c>
      <c r="H29" s="10">
        <v>1058</v>
      </c>
      <c r="I29" s="10">
        <v>0.82</v>
      </c>
      <c r="J29" s="31" t="s">
        <v>71</v>
      </c>
      <c r="K29" s="20">
        <v>152</v>
      </c>
      <c r="L29" s="36">
        <v>78</v>
      </c>
      <c r="M29" s="10">
        <v>91</v>
      </c>
      <c r="N29">
        <f t="shared" si="0"/>
        <v>13</v>
      </c>
    </row>
    <row r="30" spans="3:18" ht="13.5" customHeight="1" x14ac:dyDescent="0.3">
      <c r="C30" s="11"/>
      <c r="D30" s="11"/>
      <c r="E30" s="11"/>
      <c r="F30" s="11"/>
      <c r="G30" s="18">
        <v>5</v>
      </c>
      <c r="H30" s="10">
        <v>966</v>
      </c>
      <c r="I30" s="10">
        <v>0.8</v>
      </c>
      <c r="J30" s="31" t="s">
        <v>65</v>
      </c>
      <c r="K30" s="10">
        <v>138</v>
      </c>
      <c r="L30" s="35">
        <v>80</v>
      </c>
      <c r="M30" s="10">
        <v>87</v>
      </c>
      <c r="N30">
        <f t="shared" si="0"/>
        <v>7</v>
      </c>
    </row>
    <row r="31" spans="3:18" ht="13.5" customHeight="1" x14ac:dyDescent="0.3">
      <c r="G31" s="18">
        <v>6</v>
      </c>
      <c r="H31" s="10">
        <v>781</v>
      </c>
      <c r="I31" s="10">
        <v>0.77</v>
      </c>
      <c r="J31" s="31" t="s">
        <v>30</v>
      </c>
      <c r="K31" s="10">
        <v>112</v>
      </c>
      <c r="L31" s="10">
        <v>71</v>
      </c>
      <c r="M31" s="10">
        <v>80</v>
      </c>
      <c r="N31">
        <f t="shared" si="0"/>
        <v>9</v>
      </c>
      <c r="P31">
        <f>+O28-Q21</f>
        <v>33.462555066079318</v>
      </c>
    </row>
    <row r="32" spans="3:18" ht="13.5" customHeight="1" x14ac:dyDescent="0.3">
      <c r="G32" s="18">
        <v>7</v>
      </c>
      <c r="H32" s="10">
        <v>349</v>
      </c>
      <c r="I32" s="10">
        <v>0.8</v>
      </c>
      <c r="J32" s="31" t="s">
        <v>75</v>
      </c>
      <c r="K32" s="20">
        <v>50</v>
      </c>
      <c r="L32" s="20">
        <v>39</v>
      </c>
      <c r="M32" s="10">
        <v>42</v>
      </c>
      <c r="N32">
        <f t="shared" si="0"/>
        <v>3</v>
      </c>
    </row>
    <row r="33" spans="7:14" ht="13.5" customHeight="1" x14ac:dyDescent="0.3">
      <c r="G33" s="18">
        <v>8</v>
      </c>
      <c r="H33" s="10">
        <v>208</v>
      </c>
      <c r="I33" s="10">
        <v>0.82</v>
      </c>
      <c r="J33" s="31" t="s">
        <v>66</v>
      </c>
      <c r="K33" s="10">
        <v>30</v>
      </c>
      <c r="L33" s="10">
        <v>26</v>
      </c>
      <c r="M33" s="10">
        <v>27</v>
      </c>
      <c r="N33">
        <f t="shared" si="0"/>
        <v>1</v>
      </c>
    </row>
    <row r="34" spans="7:14" ht="13.5" customHeight="1" x14ac:dyDescent="0.3">
      <c r="G34" s="18">
        <v>9</v>
      </c>
      <c r="H34" s="10">
        <v>87</v>
      </c>
      <c r="I34" s="10"/>
      <c r="J34" s="31" t="s">
        <v>68</v>
      </c>
      <c r="K34" s="20">
        <f>+ROUNDUP(H34/7,0)</f>
        <v>13</v>
      </c>
      <c r="L34" s="20">
        <f>+K34</f>
        <v>13</v>
      </c>
      <c r="M34" s="20">
        <f>+L34</f>
        <v>13</v>
      </c>
      <c r="N34">
        <f t="shared" si="0"/>
        <v>0</v>
      </c>
    </row>
    <row r="35" spans="7:14" ht="13.5" customHeight="1" x14ac:dyDescent="0.3">
      <c r="G35" s="18">
        <v>10</v>
      </c>
      <c r="H35" s="10">
        <v>56</v>
      </c>
      <c r="I35" s="10"/>
      <c r="J35" s="31" t="s">
        <v>42</v>
      </c>
      <c r="K35" s="20">
        <f t="shared" ref="K35:K42" si="1">+ROUNDUP(H35/7,0)</f>
        <v>8</v>
      </c>
      <c r="L35" s="20">
        <f t="shared" ref="L35:M42" si="2">+K35</f>
        <v>8</v>
      </c>
      <c r="M35" s="20">
        <f t="shared" si="2"/>
        <v>8</v>
      </c>
      <c r="N35">
        <f t="shared" si="0"/>
        <v>0</v>
      </c>
    </row>
    <row r="36" spans="7:14" ht="13.5" customHeight="1" x14ac:dyDescent="0.3">
      <c r="G36" s="18">
        <v>11</v>
      </c>
      <c r="H36" s="10">
        <v>48</v>
      </c>
      <c r="I36" s="10"/>
      <c r="J36" s="31" t="s">
        <v>67</v>
      </c>
      <c r="K36" s="20">
        <f t="shared" si="1"/>
        <v>7</v>
      </c>
      <c r="L36" s="20">
        <f t="shared" si="2"/>
        <v>7</v>
      </c>
      <c r="M36" s="20">
        <f t="shared" si="2"/>
        <v>7</v>
      </c>
      <c r="N36">
        <f t="shared" si="0"/>
        <v>0</v>
      </c>
    </row>
    <row r="37" spans="7:14" ht="13.5" customHeight="1" x14ac:dyDescent="0.3">
      <c r="G37" s="18">
        <v>12</v>
      </c>
      <c r="H37" s="10">
        <v>47</v>
      </c>
      <c r="I37" s="10"/>
      <c r="J37" s="31" t="s">
        <v>69</v>
      </c>
      <c r="K37" s="20">
        <f t="shared" si="1"/>
        <v>7</v>
      </c>
      <c r="L37" s="36">
        <f t="shared" si="2"/>
        <v>7</v>
      </c>
      <c r="M37" s="20">
        <f t="shared" si="2"/>
        <v>7</v>
      </c>
      <c r="N37">
        <f t="shared" si="0"/>
        <v>0</v>
      </c>
    </row>
    <row r="38" spans="7:14" ht="13.5" customHeight="1" x14ac:dyDescent="0.3">
      <c r="G38" s="18">
        <v>13</v>
      </c>
      <c r="H38" s="10">
        <v>38</v>
      </c>
      <c r="I38" s="10"/>
      <c r="J38" s="31" t="s">
        <v>73</v>
      </c>
      <c r="K38" s="20">
        <f t="shared" si="1"/>
        <v>6</v>
      </c>
      <c r="L38" s="36">
        <f t="shared" si="2"/>
        <v>6</v>
      </c>
      <c r="M38" s="20">
        <f t="shared" si="2"/>
        <v>6</v>
      </c>
      <c r="N38">
        <f t="shared" si="0"/>
        <v>0</v>
      </c>
    </row>
    <row r="39" spans="7:14" ht="13.5" customHeight="1" x14ac:dyDescent="0.3">
      <c r="G39" s="18">
        <v>14</v>
      </c>
      <c r="H39" s="10">
        <v>24</v>
      </c>
      <c r="I39" s="10"/>
      <c r="J39" s="31" t="s">
        <v>74</v>
      </c>
      <c r="K39" s="20">
        <f t="shared" si="1"/>
        <v>4</v>
      </c>
      <c r="L39" s="36">
        <f t="shared" si="2"/>
        <v>4</v>
      </c>
      <c r="M39" s="20">
        <f t="shared" si="2"/>
        <v>4</v>
      </c>
      <c r="N39">
        <f t="shared" si="0"/>
        <v>0</v>
      </c>
    </row>
    <row r="40" spans="7:14" ht="13.5" customHeight="1" x14ac:dyDescent="0.3">
      <c r="G40" s="18">
        <v>15</v>
      </c>
      <c r="H40" s="10">
        <v>11</v>
      </c>
      <c r="I40" s="10"/>
      <c r="J40" s="31" t="s">
        <v>72</v>
      </c>
      <c r="K40" s="20">
        <f t="shared" si="1"/>
        <v>2</v>
      </c>
      <c r="L40" s="36">
        <f t="shared" si="2"/>
        <v>2</v>
      </c>
      <c r="M40" s="20">
        <f t="shared" si="2"/>
        <v>2</v>
      </c>
      <c r="N40">
        <f t="shared" si="0"/>
        <v>0</v>
      </c>
    </row>
    <row r="41" spans="7:14" ht="13.5" customHeight="1" x14ac:dyDescent="0.3">
      <c r="G41" s="18">
        <v>16</v>
      </c>
      <c r="H41" s="10">
        <v>10</v>
      </c>
      <c r="I41" s="10"/>
      <c r="J41" s="31" t="s">
        <v>76</v>
      </c>
      <c r="K41" s="20">
        <f t="shared" si="1"/>
        <v>2</v>
      </c>
      <c r="L41" s="36">
        <f t="shared" si="2"/>
        <v>2</v>
      </c>
      <c r="M41" s="20">
        <f t="shared" si="2"/>
        <v>2</v>
      </c>
      <c r="N41">
        <f t="shared" si="0"/>
        <v>0</v>
      </c>
    </row>
    <row r="42" spans="7:14" ht="13.5" customHeight="1" x14ac:dyDescent="0.3">
      <c r="G42" s="18">
        <v>17</v>
      </c>
      <c r="H42" s="10">
        <v>5</v>
      </c>
      <c r="I42" s="10"/>
      <c r="J42" s="31" t="s">
        <v>77</v>
      </c>
      <c r="K42" s="20">
        <f t="shared" si="1"/>
        <v>1</v>
      </c>
      <c r="L42" s="36">
        <f t="shared" si="2"/>
        <v>1</v>
      </c>
      <c r="M42" s="20">
        <f t="shared" si="2"/>
        <v>1</v>
      </c>
      <c r="N42">
        <f t="shared" si="0"/>
        <v>0</v>
      </c>
    </row>
    <row r="43" spans="7:14" ht="13.5" customHeight="1" x14ac:dyDescent="0.3">
      <c r="L43" s="33">
        <f>+SUM(L26:L42)</f>
        <v>825</v>
      </c>
      <c r="M43" s="34">
        <f>+SUM(M26:M42)</f>
        <v>999</v>
      </c>
      <c r="N43">
        <f t="shared" si="0"/>
        <v>174</v>
      </c>
    </row>
    <row r="44" spans="7:14" ht="13.5" customHeight="1" x14ac:dyDescent="0.3"/>
    <row r="45" spans="7:14" ht="13.5" customHeight="1" x14ac:dyDescent="0.3"/>
    <row r="46" spans="7:14" ht="13.5" customHeight="1" x14ac:dyDescent="0.3"/>
    <row r="47" spans="7:14" ht="13.5" customHeight="1" x14ac:dyDescent="0.3"/>
    <row r="48" spans="7:14" ht="13.5" customHeight="1" x14ac:dyDescent="0.3">
      <c r="K48">
        <f>+L48-L26</f>
        <v>335</v>
      </c>
      <c r="L48">
        <f>+L26+L27+L29+L30+L37+L38+L39+L40+L41+L42</f>
        <v>511</v>
      </c>
      <c r="M48">
        <f>+M26+M27+M29+M30+M37+M38+M39+M40+M41+M42</f>
        <v>651</v>
      </c>
      <c r="N48">
        <f>+M48-L48</f>
        <v>140</v>
      </c>
    </row>
    <row r="49" spans="7:13" ht="13.5" customHeight="1" x14ac:dyDescent="0.3"/>
    <row r="50" spans="7:13" ht="13.5" customHeight="1" x14ac:dyDescent="0.3"/>
    <row r="51" spans="7:13" ht="13.5" customHeight="1" x14ac:dyDescent="0.3"/>
    <row r="52" spans="7:13" ht="13.5" customHeight="1" x14ac:dyDescent="0.3">
      <c r="J52" s="74" t="s">
        <v>98</v>
      </c>
      <c r="K52" s="74"/>
      <c r="L52" s="74"/>
    </row>
    <row r="53" spans="7:13" ht="13.5" customHeight="1" x14ac:dyDescent="0.3"/>
    <row r="54" spans="7:13" ht="13.5" customHeight="1" x14ac:dyDescent="0.3">
      <c r="G54" s="18" t="s">
        <v>78</v>
      </c>
      <c r="H54" s="10"/>
      <c r="I54" s="26" t="s">
        <v>81</v>
      </c>
      <c r="J54" s="30" t="s">
        <v>33</v>
      </c>
      <c r="K54" s="18" t="s">
        <v>99</v>
      </c>
      <c r="L54" s="18" t="s">
        <v>79</v>
      </c>
      <c r="M54" s="26" t="s">
        <v>80</v>
      </c>
    </row>
    <row r="55" spans="7:13" ht="13.5" customHeight="1" x14ac:dyDescent="0.3">
      <c r="G55" s="18">
        <v>1</v>
      </c>
      <c r="H55" s="10">
        <v>14262</v>
      </c>
      <c r="I55" s="10">
        <v>0.77</v>
      </c>
      <c r="J55" s="75" t="s">
        <v>31</v>
      </c>
      <c r="K55" s="10">
        <v>2037</v>
      </c>
      <c r="L55" s="35">
        <v>176</v>
      </c>
      <c r="M55" s="35">
        <v>241</v>
      </c>
    </row>
    <row r="56" spans="7:13" ht="13.5" customHeight="1" x14ac:dyDescent="0.3">
      <c r="G56" s="18">
        <v>2</v>
      </c>
      <c r="H56" s="10">
        <v>9972</v>
      </c>
      <c r="I56" s="10">
        <v>0.8</v>
      </c>
      <c r="J56" s="75" t="s">
        <v>70</v>
      </c>
      <c r="K56" s="20">
        <v>1425</v>
      </c>
      <c r="L56" s="36">
        <v>155</v>
      </c>
      <c r="M56" s="35">
        <v>210</v>
      </c>
    </row>
    <row r="57" spans="7:13" ht="13.5" customHeight="1" x14ac:dyDescent="0.3">
      <c r="G57" s="18">
        <v>3</v>
      </c>
      <c r="H57" s="10">
        <v>4786</v>
      </c>
      <c r="I57" s="10">
        <v>0.77</v>
      </c>
      <c r="J57" s="75" t="s">
        <v>64</v>
      </c>
      <c r="K57" s="10">
        <v>684</v>
      </c>
      <c r="L57" s="35">
        <v>150</v>
      </c>
      <c r="M57" s="35">
        <v>171</v>
      </c>
    </row>
    <row r="58" spans="7:13" ht="13.5" customHeight="1" x14ac:dyDescent="0.3">
      <c r="G58" s="18">
        <v>4</v>
      </c>
      <c r="H58" s="10">
        <v>1058</v>
      </c>
      <c r="I58" s="10">
        <v>0.82</v>
      </c>
      <c r="J58" s="75" t="s">
        <v>71</v>
      </c>
      <c r="K58" s="20">
        <v>152</v>
      </c>
      <c r="L58" s="37">
        <v>78</v>
      </c>
      <c r="M58" s="10">
        <v>91</v>
      </c>
    </row>
    <row r="59" spans="7:13" ht="13.5" customHeight="1" x14ac:dyDescent="0.3">
      <c r="G59" s="18">
        <v>5</v>
      </c>
      <c r="H59" s="10">
        <v>966</v>
      </c>
      <c r="I59" s="10">
        <v>0.8</v>
      </c>
      <c r="J59" s="75" t="s">
        <v>65</v>
      </c>
      <c r="K59" s="10">
        <v>138</v>
      </c>
      <c r="L59" s="38">
        <v>80</v>
      </c>
      <c r="M59" s="10">
        <v>87</v>
      </c>
    </row>
    <row r="60" spans="7:13" ht="13.5" customHeight="1" x14ac:dyDescent="0.3">
      <c r="G60" s="18">
        <v>6</v>
      </c>
      <c r="H60" s="10">
        <v>781</v>
      </c>
      <c r="I60" s="10">
        <v>0.77</v>
      </c>
      <c r="J60" s="75" t="s">
        <v>30</v>
      </c>
      <c r="K60" s="10">
        <v>112</v>
      </c>
      <c r="L60" s="10">
        <v>71</v>
      </c>
      <c r="M60" s="10">
        <v>80</v>
      </c>
    </row>
    <row r="61" spans="7:13" ht="13.5" customHeight="1" x14ac:dyDescent="0.3">
      <c r="G61" s="18">
        <v>7</v>
      </c>
      <c r="H61" s="10">
        <v>349</v>
      </c>
      <c r="I61" s="10">
        <v>0.8</v>
      </c>
      <c r="J61" s="75" t="s">
        <v>75</v>
      </c>
      <c r="K61" s="20">
        <v>50</v>
      </c>
      <c r="L61" s="20">
        <v>39</v>
      </c>
      <c r="M61" s="10">
        <v>42</v>
      </c>
    </row>
    <row r="62" spans="7:13" ht="13.5" customHeight="1" x14ac:dyDescent="0.3">
      <c r="G62" s="18">
        <v>8</v>
      </c>
      <c r="H62" s="10">
        <v>208</v>
      </c>
      <c r="I62" s="10">
        <v>0.82</v>
      </c>
      <c r="J62" s="75" t="s">
        <v>66</v>
      </c>
      <c r="K62" s="10">
        <v>30</v>
      </c>
      <c r="L62" s="10">
        <v>26</v>
      </c>
      <c r="M62" s="10">
        <v>27</v>
      </c>
    </row>
    <row r="63" spans="7:13" ht="13.5" customHeight="1" x14ac:dyDescent="0.3">
      <c r="G63" s="18">
        <v>9</v>
      </c>
      <c r="H63" s="10">
        <v>87</v>
      </c>
      <c r="I63" s="10"/>
      <c r="J63" s="75" t="s">
        <v>68</v>
      </c>
      <c r="K63" s="20">
        <f>+ROUNDUP(H63/7,0)</f>
        <v>13</v>
      </c>
      <c r="L63" s="36">
        <f>+K63</f>
        <v>13</v>
      </c>
      <c r="M63" s="36">
        <f>+L63</f>
        <v>13</v>
      </c>
    </row>
    <row r="64" spans="7:13" ht="13.5" customHeight="1" x14ac:dyDescent="0.3">
      <c r="G64" s="18">
        <v>10</v>
      </c>
      <c r="H64" s="10">
        <v>56</v>
      </c>
      <c r="I64" s="10"/>
      <c r="J64" s="75" t="s">
        <v>42</v>
      </c>
      <c r="K64" s="20">
        <f t="shared" ref="K64:K71" si="3">+ROUNDUP(H64/7,0)</f>
        <v>8</v>
      </c>
      <c r="L64" s="36">
        <f t="shared" ref="L64:M64" si="4">+K64</f>
        <v>8</v>
      </c>
      <c r="M64" s="36">
        <f t="shared" si="4"/>
        <v>8</v>
      </c>
    </row>
    <row r="65" spans="7:13" ht="13.5" customHeight="1" x14ac:dyDescent="0.3">
      <c r="G65" s="18">
        <v>11</v>
      </c>
      <c r="H65" s="10">
        <v>48</v>
      </c>
      <c r="I65" s="10"/>
      <c r="J65" s="75" t="s">
        <v>67</v>
      </c>
      <c r="K65" s="20">
        <f t="shared" si="3"/>
        <v>7</v>
      </c>
      <c r="L65" s="36">
        <f t="shared" ref="L65:M65" si="5">+K65</f>
        <v>7</v>
      </c>
      <c r="M65" s="36">
        <f t="shared" si="5"/>
        <v>7</v>
      </c>
    </row>
    <row r="66" spans="7:13" ht="13.5" customHeight="1" x14ac:dyDescent="0.3">
      <c r="G66" s="18">
        <v>12</v>
      </c>
      <c r="H66" s="10">
        <v>47</v>
      </c>
      <c r="I66" s="10"/>
      <c r="J66" s="75" t="s">
        <v>69</v>
      </c>
      <c r="K66" s="20">
        <f t="shared" si="3"/>
        <v>7</v>
      </c>
      <c r="L66" s="37">
        <f t="shared" ref="L66:M66" si="6">+K66</f>
        <v>7</v>
      </c>
      <c r="M66" s="20">
        <f t="shared" si="6"/>
        <v>7</v>
      </c>
    </row>
    <row r="67" spans="7:13" ht="13.5" customHeight="1" x14ac:dyDescent="0.3">
      <c r="G67" s="18">
        <v>13</v>
      </c>
      <c r="H67" s="10">
        <v>38</v>
      </c>
      <c r="I67" s="10"/>
      <c r="J67" s="75" t="s">
        <v>73</v>
      </c>
      <c r="K67" s="20">
        <f t="shared" si="3"/>
        <v>6</v>
      </c>
      <c r="L67" s="37">
        <f t="shared" ref="L67:M67" si="7">+K67</f>
        <v>6</v>
      </c>
      <c r="M67" s="20">
        <f t="shared" si="7"/>
        <v>6</v>
      </c>
    </row>
    <row r="68" spans="7:13" ht="13.5" customHeight="1" x14ac:dyDescent="0.3">
      <c r="G68" s="18">
        <v>14</v>
      </c>
      <c r="H68" s="10">
        <v>24</v>
      </c>
      <c r="I68" s="10"/>
      <c r="J68" s="75" t="s">
        <v>74</v>
      </c>
      <c r="K68" s="20">
        <f t="shared" si="3"/>
        <v>4</v>
      </c>
      <c r="L68" s="37">
        <f t="shared" ref="L68:M68" si="8">+K68</f>
        <v>4</v>
      </c>
      <c r="M68" s="20">
        <f t="shared" si="8"/>
        <v>4</v>
      </c>
    </row>
    <row r="69" spans="7:13" ht="13.5" customHeight="1" x14ac:dyDescent="0.3">
      <c r="G69" s="18">
        <v>15</v>
      </c>
      <c r="H69" s="10">
        <v>11</v>
      </c>
      <c r="I69" s="10"/>
      <c r="J69" s="75" t="s">
        <v>72</v>
      </c>
      <c r="K69" s="20">
        <f t="shared" si="3"/>
        <v>2</v>
      </c>
      <c r="L69" s="37">
        <f t="shared" ref="L69:M69" si="9">+K69</f>
        <v>2</v>
      </c>
      <c r="M69" s="20">
        <f t="shared" si="9"/>
        <v>2</v>
      </c>
    </row>
    <row r="70" spans="7:13" ht="13.5" customHeight="1" x14ac:dyDescent="0.3">
      <c r="G70" s="18">
        <v>16</v>
      </c>
      <c r="H70" s="10">
        <v>10</v>
      </c>
      <c r="I70" s="10"/>
      <c r="J70" s="75" t="s">
        <v>76</v>
      </c>
      <c r="K70" s="20">
        <f t="shared" si="3"/>
        <v>2</v>
      </c>
      <c r="L70" s="36">
        <f t="shared" ref="L70:M70" si="10">+K70</f>
        <v>2</v>
      </c>
      <c r="M70" s="36">
        <f t="shared" si="10"/>
        <v>2</v>
      </c>
    </row>
    <row r="71" spans="7:13" ht="13.5" customHeight="1" x14ac:dyDescent="0.3">
      <c r="G71" s="18">
        <v>17</v>
      </c>
      <c r="H71" s="10">
        <v>5</v>
      </c>
      <c r="I71" s="10"/>
      <c r="J71" s="75" t="s">
        <v>77</v>
      </c>
      <c r="K71" s="20">
        <f t="shared" si="3"/>
        <v>1</v>
      </c>
      <c r="L71" s="36">
        <f t="shared" ref="L71:M71" si="11">+K71</f>
        <v>1</v>
      </c>
      <c r="M71" s="36">
        <f t="shared" si="11"/>
        <v>1</v>
      </c>
    </row>
    <row r="72" spans="7:13" ht="13.5" customHeight="1" x14ac:dyDescent="0.3"/>
    <row r="73" spans="7:13" ht="13.5" customHeight="1" x14ac:dyDescent="0.3"/>
    <row r="74" spans="7:13" ht="13.5" customHeight="1" x14ac:dyDescent="0.3"/>
    <row r="75" spans="7:13" ht="13.5" customHeight="1" x14ac:dyDescent="0.3">
      <c r="L75">
        <f>+L55+L56+L57+L63+L64+L65+L70+L71</f>
        <v>512</v>
      </c>
      <c r="M75">
        <f>+M55+M56+M57+M63+M64+M65+M70+M71</f>
        <v>653</v>
      </c>
    </row>
    <row r="76" spans="7:13" ht="13.5" customHeight="1" x14ac:dyDescent="0.3">
      <c r="J76" s="73" t="s">
        <v>82</v>
      </c>
      <c r="K76" s="73"/>
      <c r="L76" s="73"/>
    </row>
    <row r="77" spans="7:13" ht="13.5" customHeight="1" x14ac:dyDescent="0.3"/>
    <row r="78" spans="7:13" ht="13.5" customHeight="1" x14ac:dyDescent="0.3">
      <c r="G78" s="18" t="s">
        <v>78</v>
      </c>
      <c r="H78" s="10"/>
      <c r="I78" s="32" t="s">
        <v>81</v>
      </c>
      <c r="J78" s="30" t="s">
        <v>33</v>
      </c>
      <c r="K78" s="18" t="s">
        <v>32</v>
      </c>
      <c r="L78" s="18" t="s">
        <v>79</v>
      </c>
      <c r="M78" s="26" t="s">
        <v>80</v>
      </c>
    </row>
    <row r="79" spans="7:13" ht="13.5" customHeight="1" x14ac:dyDescent="0.3">
      <c r="G79" s="18">
        <v>1</v>
      </c>
      <c r="H79" s="10">
        <v>14262</v>
      </c>
      <c r="I79" s="10">
        <v>0.77</v>
      </c>
      <c r="J79" s="31" t="s">
        <v>31</v>
      </c>
      <c r="K79" s="10">
        <v>2037</v>
      </c>
      <c r="L79" s="35">
        <v>176</v>
      </c>
      <c r="M79" s="10">
        <v>241</v>
      </c>
    </row>
    <row r="80" spans="7:13" ht="13.5" customHeight="1" x14ac:dyDescent="0.3">
      <c r="G80" s="18">
        <v>2</v>
      </c>
      <c r="H80" s="10">
        <v>9972</v>
      </c>
      <c r="I80" s="10">
        <v>0.8</v>
      </c>
      <c r="J80" s="31" t="s">
        <v>70</v>
      </c>
      <c r="K80" s="20">
        <v>1425</v>
      </c>
      <c r="L80" s="36">
        <v>155</v>
      </c>
      <c r="M80" s="10">
        <v>210</v>
      </c>
    </row>
    <row r="81" spans="7:13" ht="13.5" customHeight="1" x14ac:dyDescent="0.3">
      <c r="G81" s="18">
        <v>3</v>
      </c>
      <c r="H81" s="10">
        <v>4786</v>
      </c>
      <c r="I81" s="10">
        <v>0.77</v>
      </c>
      <c r="J81" s="31" t="s">
        <v>64</v>
      </c>
      <c r="K81" s="10">
        <v>684</v>
      </c>
      <c r="L81" s="38">
        <v>150</v>
      </c>
      <c r="M81" s="10">
        <v>171</v>
      </c>
    </row>
    <row r="82" spans="7:13" ht="13.5" customHeight="1" x14ac:dyDescent="0.3">
      <c r="G82" s="18">
        <v>4</v>
      </c>
      <c r="H82" s="10">
        <v>1058</v>
      </c>
      <c r="I82" s="10">
        <v>0.82</v>
      </c>
      <c r="J82" s="31" t="s">
        <v>71</v>
      </c>
      <c r="K82" s="20">
        <v>152</v>
      </c>
      <c r="L82" s="36">
        <v>78</v>
      </c>
      <c r="M82" s="10">
        <v>91</v>
      </c>
    </row>
    <row r="83" spans="7:13" ht="13.5" customHeight="1" x14ac:dyDescent="0.3">
      <c r="G83" s="18">
        <v>5</v>
      </c>
      <c r="H83" s="10">
        <v>966</v>
      </c>
      <c r="I83" s="10">
        <v>0.8</v>
      </c>
      <c r="J83" s="31" t="s">
        <v>65</v>
      </c>
      <c r="K83" s="10">
        <v>138</v>
      </c>
      <c r="L83" s="35">
        <v>80</v>
      </c>
      <c r="M83" s="10">
        <v>87</v>
      </c>
    </row>
    <row r="84" spans="7:13" ht="13.5" customHeight="1" x14ac:dyDescent="0.3">
      <c r="G84" s="18">
        <v>6</v>
      </c>
      <c r="H84" s="10">
        <v>781</v>
      </c>
      <c r="I84" s="10">
        <v>0.77</v>
      </c>
      <c r="J84" s="31" t="s">
        <v>30</v>
      </c>
      <c r="K84" s="10">
        <v>112</v>
      </c>
      <c r="L84" s="35">
        <v>71</v>
      </c>
      <c r="M84" s="10">
        <v>80</v>
      </c>
    </row>
    <row r="85" spans="7:13" ht="13.5" customHeight="1" x14ac:dyDescent="0.3">
      <c r="G85" s="18">
        <v>7</v>
      </c>
      <c r="H85" s="10">
        <v>349</v>
      </c>
      <c r="I85" s="10">
        <v>0.8</v>
      </c>
      <c r="J85" s="31" t="s">
        <v>75</v>
      </c>
      <c r="K85" s="20">
        <v>50</v>
      </c>
      <c r="L85" s="36">
        <v>39</v>
      </c>
      <c r="M85" s="10">
        <v>42</v>
      </c>
    </row>
    <row r="86" spans="7:13" ht="13.5" customHeight="1" x14ac:dyDescent="0.3">
      <c r="G86" s="18">
        <v>8</v>
      </c>
      <c r="H86" s="10">
        <v>208</v>
      </c>
      <c r="I86" s="10">
        <v>0.82</v>
      </c>
      <c r="J86" s="31" t="s">
        <v>66</v>
      </c>
      <c r="K86" s="10">
        <v>30</v>
      </c>
      <c r="L86" s="35">
        <v>26</v>
      </c>
      <c r="M86" s="10">
        <v>27</v>
      </c>
    </row>
    <row r="87" spans="7:13" ht="13.5" customHeight="1" x14ac:dyDescent="0.3">
      <c r="G87" s="18">
        <v>9</v>
      </c>
      <c r="H87" s="10">
        <v>87</v>
      </c>
      <c r="I87" s="10"/>
      <c r="J87" s="31" t="s">
        <v>68</v>
      </c>
      <c r="K87" s="20">
        <f>+ROUNDUP(H87/7,0)</f>
        <v>13</v>
      </c>
      <c r="L87" s="37">
        <f>+K87</f>
        <v>13</v>
      </c>
      <c r="M87" s="20">
        <f>+L87</f>
        <v>13</v>
      </c>
    </row>
    <row r="88" spans="7:13" ht="13.5" customHeight="1" x14ac:dyDescent="0.3">
      <c r="G88" s="18">
        <v>10</v>
      </c>
      <c r="H88" s="10">
        <v>56</v>
      </c>
      <c r="I88" s="10"/>
      <c r="J88" s="31" t="s">
        <v>42</v>
      </c>
      <c r="K88" s="20">
        <f t="shared" ref="K88:K95" si="12">+ROUNDUP(H88/7,0)</f>
        <v>8</v>
      </c>
      <c r="L88" s="37">
        <f t="shared" ref="L88:M88" si="13">+K88</f>
        <v>8</v>
      </c>
      <c r="M88" s="20">
        <f t="shared" si="13"/>
        <v>8</v>
      </c>
    </row>
    <row r="89" spans="7:13" ht="13.5" customHeight="1" x14ac:dyDescent="0.3">
      <c r="G89" s="18">
        <v>11</v>
      </c>
      <c r="H89" s="10">
        <v>48</v>
      </c>
      <c r="I89" s="10"/>
      <c r="J89" s="31" t="s">
        <v>67</v>
      </c>
      <c r="K89" s="20">
        <f t="shared" si="12"/>
        <v>7</v>
      </c>
      <c r="L89" s="37">
        <f t="shared" ref="L89:M89" si="14">+K89</f>
        <v>7</v>
      </c>
      <c r="M89" s="20">
        <f t="shared" si="14"/>
        <v>7</v>
      </c>
    </row>
    <row r="90" spans="7:13" ht="13.5" customHeight="1" x14ac:dyDescent="0.3">
      <c r="G90" s="18">
        <v>12</v>
      </c>
      <c r="H90" s="10">
        <v>47</v>
      </c>
      <c r="I90" s="10"/>
      <c r="J90" s="31" t="s">
        <v>69</v>
      </c>
      <c r="K90" s="20">
        <f t="shared" si="12"/>
        <v>7</v>
      </c>
      <c r="L90" s="37">
        <f t="shared" ref="L90:M90" si="15">+K90</f>
        <v>7</v>
      </c>
      <c r="M90" s="20">
        <f t="shared" si="15"/>
        <v>7</v>
      </c>
    </row>
    <row r="91" spans="7:13" ht="13.5" customHeight="1" x14ac:dyDescent="0.3">
      <c r="G91" s="18">
        <v>13</v>
      </c>
      <c r="H91" s="10">
        <v>38</v>
      </c>
      <c r="I91" s="10"/>
      <c r="J91" s="31" t="s">
        <v>73</v>
      </c>
      <c r="K91" s="20">
        <f t="shared" si="12"/>
        <v>6</v>
      </c>
      <c r="L91" s="37">
        <f t="shared" ref="L91:M91" si="16">+K91</f>
        <v>6</v>
      </c>
      <c r="M91" s="20">
        <f t="shared" si="16"/>
        <v>6</v>
      </c>
    </row>
    <row r="92" spans="7:13" ht="13.5" customHeight="1" x14ac:dyDescent="0.3">
      <c r="G92" s="18">
        <v>14</v>
      </c>
      <c r="H92" s="10">
        <v>24</v>
      </c>
      <c r="I92" s="10"/>
      <c r="J92" s="31" t="s">
        <v>74</v>
      </c>
      <c r="K92" s="20">
        <f t="shared" si="12"/>
        <v>4</v>
      </c>
      <c r="L92" s="37">
        <f t="shared" ref="L92:M92" si="17">+K92</f>
        <v>4</v>
      </c>
      <c r="M92" s="20">
        <f t="shared" si="17"/>
        <v>4</v>
      </c>
    </row>
    <row r="93" spans="7:13" ht="13.5" customHeight="1" x14ac:dyDescent="0.3">
      <c r="G93" s="18">
        <v>15</v>
      </c>
      <c r="H93" s="10">
        <v>11</v>
      </c>
      <c r="I93" s="10"/>
      <c r="J93" s="31" t="s">
        <v>72</v>
      </c>
      <c r="K93" s="20">
        <f t="shared" si="12"/>
        <v>2</v>
      </c>
      <c r="L93" s="37">
        <f t="shared" ref="L93:M93" si="18">+K93</f>
        <v>2</v>
      </c>
      <c r="M93" s="20">
        <f t="shared" si="18"/>
        <v>2</v>
      </c>
    </row>
    <row r="94" spans="7:13" ht="13.5" customHeight="1" x14ac:dyDescent="0.3">
      <c r="G94" s="18">
        <v>16</v>
      </c>
      <c r="H94" s="10">
        <v>10</v>
      </c>
      <c r="I94" s="10"/>
      <c r="J94" s="31" t="s">
        <v>76</v>
      </c>
      <c r="K94" s="20">
        <f t="shared" si="12"/>
        <v>2</v>
      </c>
      <c r="L94" s="36">
        <f t="shared" ref="L94:M94" si="19">+K94</f>
        <v>2</v>
      </c>
      <c r="M94" s="20">
        <f t="shared" si="19"/>
        <v>2</v>
      </c>
    </row>
    <row r="95" spans="7:13" ht="13.5" customHeight="1" x14ac:dyDescent="0.3">
      <c r="G95" s="18">
        <v>17</v>
      </c>
      <c r="H95" s="10">
        <v>5</v>
      </c>
      <c r="I95" s="10"/>
      <c r="J95" s="31" t="s">
        <v>77</v>
      </c>
      <c r="K95" s="20">
        <f t="shared" si="12"/>
        <v>1</v>
      </c>
      <c r="L95" s="36">
        <f t="shared" ref="L95:M95" si="20">+K95</f>
        <v>1</v>
      </c>
      <c r="M95" s="20">
        <f t="shared" si="20"/>
        <v>1</v>
      </c>
    </row>
    <row r="96" spans="7:13" ht="13.5" customHeight="1" x14ac:dyDescent="0.3">
      <c r="L96" s="33">
        <f>+SUM(L79:L95)</f>
        <v>825</v>
      </c>
      <c r="M96" s="34">
        <f>+SUM(M79:M95)</f>
        <v>999</v>
      </c>
    </row>
    <row r="97" spans="7:13" ht="13.5" customHeight="1" x14ac:dyDescent="0.3"/>
    <row r="98" spans="7:13" ht="13.5" customHeight="1" x14ac:dyDescent="0.3"/>
    <row r="99" spans="7:13" ht="13.5" customHeight="1" x14ac:dyDescent="0.3">
      <c r="L99">
        <f>+L79+L80+L82+L83+L84+L85+L86+L94+L95</f>
        <v>628</v>
      </c>
      <c r="M99">
        <f>+M79+M80+M82+M83+M84+M85+M86+M94+M95</f>
        <v>781</v>
      </c>
    </row>
    <row r="100" spans="7:13" ht="13.5" customHeight="1" x14ac:dyDescent="0.3"/>
    <row r="101" spans="7:13" ht="13.5" customHeight="1" x14ac:dyDescent="0.3">
      <c r="J101" s="71" t="s">
        <v>83</v>
      </c>
      <c r="K101" s="71"/>
      <c r="L101" s="71"/>
    </row>
    <row r="102" spans="7:13" ht="13.5" customHeight="1" x14ac:dyDescent="0.3">
      <c r="G102" s="18" t="s">
        <v>78</v>
      </c>
      <c r="H102" s="10"/>
      <c r="I102" s="32" t="s">
        <v>81</v>
      </c>
      <c r="J102" s="30" t="s">
        <v>33</v>
      </c>
      <c r="K102" s="18" t="s">
        <v>32</v>
      </c>
      <c r="L102" s="18" t="s">
        <v>79</v>
      </c>
      <c r="M102" s="26" t="s">
        <v>80</v>
      </c>
    </row>
    <row r="103" spans="7:13" ht="13.5" customHeight="1" x14ac:dyDescent="0.3">
      <c r="G103" s="18">
        <v>1</v>
      </c>
      <c r="H103" s="10">
        <v>14262</v>
      </c>
      <c r="I103" s="10">
        <v>0.77</v>
      </c>
      <c r="J103" s="31" t="s">
        <v>31</v>
      </c>
      <c r="K103" s="10">
        <v>2037</v>
      </c>
      <c r="L103" s="35">
        <v>176</v>
      </c>
      <c r="M103" s="10">
        <v>241</v>
      </c>
    </row>
    <row r="104" spans="7:13" ht="13.5" customHeight="1" x14ac:dyDescent="0.3">
      <c r="G104" s="18">
        <v>2</v>
      </c>
      <c r="H104" s="10">
        <v>9972</v>
      </c>
      <c r="I104" s="10">
        <v>0.8</v>
      </c>
      <c r="J104" s="31" t="s">
        <v>70</v>
      </c>
      <c r="K104" s="20">
        <v>1425</v>
      </c>
      <c r="L104" s="36">
        <v>155</v>
      </c>
      <c r="M104" s="10">
        <v>210</v>
      </c>
    </row>
    <row r="105" spans="7:13" ht="13.5" customHeight="1" x14ac:dyDescent="0.3">
      <c r="G105" s="18">
        <v>3</v>
      </c>
      <c r="H105" s="10">
        <v>4786</v>
      </c>
      <c r="I105" s="10">
        <v>0.77</v>
      </c>
      <c r="J105" s="31" t="s">
        <v>64</v>
      </c>
      <c r="K105" s="10">
        <v>684</v>
      </c>
      <c r="L105" s="35">
        <v>150</v>
      </c>
      <c r="M105" s="10">
        <v>171</v>
      </c>
    </row>
    <row r="106" spans="7:13" ht="13.5" customHeight="1" x14ac:dyDescent="0.3">
      <c r="G106" s="18">
        <v>4</v>
      </c>
      <c r="H106" s="10">
        <v>1058</v>
      </c>
      <c r="I106" s="10">
        <v>0.82</v>
      </c>
      <c r="J106" s="31" t="s">
        <v>71</v>
      </c>
      <c r="K106" s="20">
        <v>152</v>
      </c>
      <c r="L106" s="37">
        <v>78</v>
      </c>
      <c r="M106" s="10">
        <v>91</v>
      </c>
    </row>
    <row r="107" spans="7:13" ht="13.5" customHeight="1" x14ac:dyDescent="0.3">
      <c r="G107" s="18">
        <v>5</v>
      </c>
      <c r="H107" s="10">
        <v>966</v>
      </c>
      <c r="I107" s="10">
        <v>0.8</v>
      </c>
      <c r="J107" s="31" t="s">
        <v>65</v>
      </c>
      <c r="K107" s="10">
        <v>138</v>
      </c>
      <c r="L107" s="38">
        <v>80</v>
      </c>
      <c r="M107" s="10">
        <v>87</v>
      </c>
    </row>
    <row r="108" spans="7:13" ht="13.5" customHeight="1" x14ac:dyDescent="0.3">
      <c r="G108" s="18">
        <v>6</v>
      </c>
      <c r="H108" s="10">
        <v>781</v>
      </c>
      <c r="I108" s="10">
        <v>0.77</v>
      </c>
      <c r="J108" s="31" t="s">
        <v>30</v>
      </c>
      <c r="K108" s="10">
        <v>112</v>
      </c>
      <c r="L108" s="38">
        <v>71</v>
      </c>
      <c r="M108" s="10">
        <v>80</v>
      </c>
    </row>
    <row r="109" spans="7:13" ht="13.5" customHeight="1" x14ac:dyDescent="0.3">
      <c r="G109" s="18">
        <v>7</v>
      </c>
      <c r="H109" s="10">
        <v>349</v>
      </c>
      <c r="I109" s="10">
        <v>0.8</v>
      </c>
      <c r="J109" s="31" t="s">
        <v>75</v>
      </c>
      <c r="K109" s="20">
        <v>50</v>
      </c>
      <c r="L109" s="37">
        <v>39</v>
      </c>
      <c r="M109" s="10">
        <v>42</v>
      </c>
    </row>
    <row r="110" spans="7:13" ht="13.5" customHeight="1" x14ac:dyDescent="0.3">
      <c r="G110" s="18">
        <v>8</v>
      </c>
      <c r="H110" s="10">
        <v>208</v>
      </c>
      <c r="I110" s="10">
        <v>0.82</v>
      </c>
      <c r="J110" s="31" t="s">
        <v>66</v>
      </c>
      <c r="K110" s="10">
        <v>30</v>
      </c>
      <c r="L110" s="38">
        <v>26</v>
      </c>
      <c r="M110" s="10">
        <v>27</v>
      </c>
    </row>
    <row r="111" spans="7:13" ht="13.5" customHeight="1" x14ac:dyDescent="0.3">
      <c r="G111" s="18">
        <v>9</v>
      </c>
      <c r="H111" s="10">
        <v>87</v>
      </c>
      <c r="I111" s="10"/>
      <c r="J111" s="31" t="s">
        <v>68</v>
      </c>
      <c r="K111" s="20">
        <f>+ROUNDUP(H111/7,0)</f>
        <v>13</v>
      </c>
      <c r="L111" s="37">
        <f>+K111</f>
        <v>13</v>
      </c>
      <c r="M111" s="20">
        <f>+L111</f>
        <v>13</v>
      </c>
    </row>
    <row r="112" spans="7:13" ht="13.5" customHeight="1" x14ac:dyDescent="0.3">
      <c r="G112" s="18">
        <v>10</v>
      </c>
      <c r="H112" s="10">
        <v>56</v>
      </c>
      <c r="I112" s="10"/>
      <c r="J112" s="31" t="s">
        <v>42</v>
      </c>
      <c r="K112" s="20">
        <f t="shared" ref="K112:K119" si="21">+ROUNDUP(H112/7,0)</f>
        <v>8</v>
      </c>
      <c r="L112" s="37">
        <f t="shared" ref="L112:M112" si="22">+K112</f>
        <v>8</v>
      </c>
      <c r="M112" s="20">
        <f t="shared" si="22"/>
        <v>8</v>
      </c>
    </row>
    <row r="113" spans="7:13" ht="13.5" customHeight="1" x14ac:dyDescent="0.3">
      <c r="G113" s="18">
        <v>11</v>
      </c>
      <c r="H113" s="10">
        <v>48</v>
      </c>
      <c r="I113" s="10"/>
      <c r="J113" s="31" t="s">
        <v>67</v>
      </c>
      <c r="K113" s="20">
        <f t="shared" si="21"/>
        <v>7</v>
      </c>
      <c r="L113" s="37">
        <f t="shared" ref="L113:M113" si="23">+K113</f>
        <v>7</v>
      </c>
      <c r="M113" s="20">
        <f t="shared" si="23"/>
        <v>7</v>
      </c>
    </row>
    <row r="114" spans="7:13" ht="13.5" customHeight="1" x14ac:dyDescent="0.3">
      <c r="G114" s="18">
        <v>12</v>
      </c>
      <c r="H114" s="10">
        <v>47</v>
      </c>
      <c r="I114" s="10"/>
      <c r="J114" s="31" t="s">
        <v>69</v>
      </c>
      <c r="K114" s="20">
        <f t="shared" si="21"/>
        <v>7</v>
      </c>
      <c r="L114" s="36">
        <f t="shared" ref="L114:M114" si="24">+K114</f>
        <v>7</v>
      </c>
      <c r="M114" s="20">
        <f t="shared" si="24"/>
        <v>7</v>
      </c>
    </row>
    <row r="115" spans="7:13" ht="13.5" customHeight="1" x14ac:dyDescent="0.3">
      <c r="G115" s="18">
        <v>13</v>
      </c>
      <c r="H115" s="10">
        <v>38</v>
      </c>
      <c r="I115" s="10"/>
      <c r="J115" s="31" t="s">
        <v>73</v>
      </c>
      <c r="K115" s="20">
        <f t="shared" si="21"/>
        <v>6</v>
      </c>
      <c r="L115" s="36">
        <f t="shared" ref="L115:M115" si="25">+K115</f>
        <v>6</v>
      </c>
      <c r="M115" s="20">
        <f t="shared" si="25"/>
        <v>6</v>
      </c>
    </row>
    <row r="116" spans="7:13" ht="13.5" customHeight="1" x14ac:dyDescent="0.3">
      <c r="G116" s="18">
        <v>14</v>
      </c>
      <c r="H116" s="10">
        <v>24</v>
      </c>
      <c r="I116" s="10"/>
      <c r="J116" s="31" t="s">
        <v>74</v>
      </c>
      <c r="K116" s="20">
        <f t="shared" si="21"/>
        <v>4</v>
      </c>
      <c r="L116" s="36">
        <f t="shared" ref="L116:M116" si="26">+K116</f>
        <v>4</v>
      </c>
      <c r="M116" s="20">
        <f t="shared" si="26"/>
        <v>4</v>
      </c>
    </row>
    <row r="117" spans="7:13" ht="13.5" customHeight="1" x14ac:dyDescent="0.3">
      <c r="G117" s="18">
        <v>15</v>
      </c>
      <c r="H117" s="10">
        <v>11</v>
      </c>
      <c r="I117" s="10"/>
      <c r="J117" s="31" t="s">
        <v>72</v>
      </c>
      <c r="K117" s="20">
        <f t="shared" si="21"/>
        <v>2</v>
      </c>
      <c r="L117" s="36">
        <f t="shared" ref="L117:M117" si="27">+K117</f>
        <v>2</v>
      </c>
      <c r="M117" s="20">
        <f t="shared" si="27"/>
        <v>2</v>
      </c>
    </row>
    <row r="118" spans="7:13" ht="13.5" customHeight="1" x14ac:dyDescent="0.3">
      <c r="G118" s="18">
        <v>16</v>
      </c>
      <c r="H118" s="10">
        <v>10</v>
      </c>
      <c r="I118" s="10"/>
      <c r="J118" s="31" t="s">
        <v>76</v>
      </c>
      <c r="K118" s="20">
        <f t="shared" si="21"/>
        <v>2</v>
      </c>
      <c r="L118" s="36">
        <f t="shared" ref="L118:M118" si="28">+K118</f>
        <v>2</v>
      </c>
      <c r="M118" s="20">
        <f t="shared" si="28"/>
        <v>2</v>
      </c>
    </row>
    <row r="119" spans="7:13" ht="13.5" customHeight="1" x14ac:dyDescent="0.3">
      <c r="G119" s="18">
        <v>17</v>
      </c>
      <c r="H119" s="10">
        <v>5</v>
      </c>
      <c r="I119" s="10"/>
      <c r="J119" s="31" t="s">
        <v>77</v>
      </c>
      <c r="K119" s="20">
        <f t="shared" si="21"/>
        <v>1</v>
      </c>
      <c r="L119" s="36">
        <f t="shared" ref="L119:M119" si="29">+K119</f>
        <v>1</v>
      </c>
      <c r="M119" s="20">
        <f t="shared" si="29"/>
        <v>1</v>
      </c>
    </row>
    <row r="120" spans="7:13" ht="13.5" customHeight="1" x14ac:dyDescent="0.3">
      <c r="L120" s="33">
        <f>+SUM(L103:L119)</f>
        <v>825</v>
      </c>
      <c r="M120" s="34">
        <f>+SUM(M103:M119)</f>
        <v>999</v>
      </c>
    </row>
    <row r="121" spans="7:13" ht="13.5" customHeight="1" x14ac:dyDescent="0.3"/>
    <row r="122" spans="7:13" ht="13.5" customHeight="1" x14ac:dyDescent="0.3"/>
    <row r="123" spans="7:13" ht="13.5" customHeight="1" x14ac:dyDescent="0.3">
      <c r="L123">
        <f>+L103+L104+L105+L114+L115+L116+L117+L118+L119</f>
        <v>503</v>
      </c>
      <c r="M123">
        <f>+M103+M104+M105+M114+M115+M116+M117+M118+M119</f>
        <v>644</v>
      </c>
    </row>
    <row r="124" spans="7:13" ht="13.5" customHeight="1" x14ac:dyDescent="0.3"/>
    <row r="125" spans="7:13" ht="13.5" customHeight="1" x14ac:dyDescent="0.3">
      <c r="J125" s="71" t="s">
        <v>84</v>
      </c>
      <c r="K125" s="71"/>
      <c r="L125" s="71"/>
    </row>
    <row r="126" spans="7:13" ht="13.5" customHeight="1" x14ac:dyDescent="0.3">
      <c r="G126" s="18" t="s">
        <v>78</v>
      </c>
      <c r="H126" s="10"/>
      <c r="I126" s="32" t="s">
        <v>81</v>
      </c>
      <c r="J126" s="30" t="s">
        <v>33</v>
      </c>
      <c r="K126" s="18" t="s">
        <v>32</v>
      </c>
      <c r="L126" s="18" t="s">
        <v>79</v>
      </c>
      <c r="M126" s="26" t="s">
        <v>80</v>
      </c>
    </row>
    <row r="127" spans="7:13" ht="13.5" customHeight="1" x14ac:dyDescent="0.3">
      <c r="G127" s="18">
        <v>1</v>
      </c>
      <c r="H127" s="10">
        <v>14262</v>
      </c>
      <c r="I127" s="10">
        <v>0.77</v>
      </c>
      <c r="J127" s="31" t="s">
        <v>31</v>
      </c>
      <c r="K127" s="10">
        <v>2037</v>
      </c>
      <c r="L127" s="35">
        <v>176</v>
      </c>
      <c r="M127" s="10">
        <v>241</v>
      </c>
    </row>
    <row r="128" spans="7:13" ht="13.5" customHeight="1" x14ac:dyDescent="0.3">
      <c r="G128" s="18">
        <v>2</v>
      </c>
      <c r="H128" s="10">
        <v>9972</v>
      </c>
      <c r="I128" s="10">
        <v>0.8</v>
      </c>
      <c r="J128" s="31" t="s">
        <v>70</v>
      </c>
      <c r="K128" s="20">
        <v>1425</v>
      </c>
      <c r="L128" s="36">
        <v>155</v>
      </c>
      <c r="M128" s="10">
        <v>210</v>
      </c>
    </row>
    <row r="129" spans="7:13" ht="13.5" customHeight="1" x14ac:dyDescent="0.3">
      <c r="G129" s="18">
        <v>3</v>
      </c>
      <c r="H129" s="10">
        <v>4786</v>
      </c>
      <c r="I129" s="10">
        <v>0.77</v>
      </c>
      <c r="J129" s="31" t="s">
        <v>64</v>
      </c>
      <c r="K129" s="10">
        <v>684</v>
      </c>
      <c r="L129" s="38">
        <v>150</v>
      </c>
      <c r="M129" s="10">
        <v>171</v>
      </c>
    </row>
    <row r="130" spans="7:13" ht="13.5" customHeight="1" x14ac:dyDescent="0.3">
      <c r="G130" s="18">
        <v>4</v>
      </c>
      <c r="H130" s="10">
        <v>1058</v>
      </c>
      <c r="I130" s="10">
        <v>0.82</v>
      </c>
      <c r="J130" s="31" t="s">
        <v>71</v>
      </c>
      <c r="K130" s="20">
        <v>152</v>
      </c>
      <c r="L130" s="36">
        <v>78</v>
      </c>
      <c r="M130" s="10">
        <v>91</v>
      </c>
    </row>
    <row r="131" spans="7:13" ht="13.5" customHeight="1" x14ac:dyDescent="0.3">
      <c r="G131" s="18">
        <v>5</v>
      </c>
      <c r="H131" s="10">
        <v>966</v>
      </c>
      <c r="I131" s="10">
        <v>0.8</v>
      </c>
      <c r="J131" s="31" t="s">
        <v>65</v>
      </c>
      <c r="K131" s="10">
        <v>138</v>
      </c>
      <c r="L131" s="35">
        <v>80</v>
      </c>
      <c r="M131" s="10">
        <v>87</v>
      </c>
    </row>
    <row r="132" spans="7:13" ht="13.5" customHeight="1" x14ac:dyDescent="0.3">
      <c r="G132" s="18">
        <v>6</v>
      </c>
      <c r="H132" s="10">
        <v>781</v>
      </c>
      <c r="I132" s="10">
        <v>0.77</v>
      </c>
      <c r="J132" s="31" t="s">
        <v>30</v>
      </c>
      <c r="K132" s="10">
        <v>112</v>
      </c>
      <c r="L132" s="38">
        <v>71</v>
      </c>
      <c r="M132" s="10">
        <v>80</v>
      </c>
    </row>
    <row r="133" spans="7:13" ht="13.5" customHeight="1" x14ac:dyDescent="0.3">
      <c r="G133" s="18">
        <v>7</v>
      </c>
      <c r="H133" s="10">
        <v>349</v>
      </c>
      <c r="I133" s="10">
        <v>0.8</v>
      </c>
      <c r="J133" s="31" t="s">
        <v>75</v>
      </c>
      <c r="K133" s="20">
        <v>50</v>
      </c>
      <c r="L133" s="37">
        <v>39</v>
      </c>
      <c r="M133" s="10">
        <v>42</v>
      </c>
    </row>
    <row r="134" spans="7:13" ht="13.5" customHeight="1" x14ac:dyDescent="0.3">
      <c r="G134" s="18">
        <v>8</v>
      </c>
      <c r="H134" s="10">
        <v>208</v>
      </c>
      <c r="I134" s="10">
        <v>0.82</v>
      </c>
      <c r="J134" s="31" t="s">
        <v>66</v>
      </c>
      <c r="K134" s="10">
        <v>30</v>
      </c>
      <c r="L134" s="38">
        <v>26</v>
      </c>
      <c r="M134" s="10">
        <v>27</v>
      </c>
    </row>
    <row r="135" spans="7:13" ht="13.5" customHeight="1" x14ac:dyDescent="0.3">
      <c r="G135" s="18">
        <v>9</v>
      </c>
      <c r="H135" s="10">
        <v>87</v>
      </c>
      <c r="I135" s="10"/>
      <c r="J135" s="31" t="s">
        <v>68</v>
      </c>
      <c r="K135" s="20">
        <f>+ROUNDUP(H135/7,0)</f>
        <v>13</v>
      </c>
      <c r="L135" s="36">
        <f>+K135</f>
        <v>13</v>
      </c>
      <c r="M135" s="20">
        <f>+L135</f>
        <v>13</v>
      </c>
    </row>
    <row r="136" spans="7:13" ht="13.5" customHeight="1" x14ac:dyDescent="0.3">
      <c r="G136" s="18">
        <v>10</v>
      </c>
      <c r="H136" s="10">
        <v>56</v>
      </c>
      <c r="I136" s="10"/>
      <c r="J136" s="31" t="s">
        <v>42</v>
      </c>
      <c r="K136" s="20">
        <f t="shared" ref="K136:K143" si="30">+ROUNDUP(H136/7,0)</f>
        <v>8</v>
      </c>
      <c r="L136" s="36">
        <f t="shared" ref="L136:M136" si="31">+K136</f>
        <v>8</v>
      </c>
      <c r="M136" s="20">
        <f t="shared" si="31"/>
        <v>8</v>
      </c>
    </row>
    <row r="137" spans="7:13" ht="13.5" customHeight="1" x14ac:dyDescent="0.3">
      <c r="G137" s="18">
        <v>11</v>
      </c>
      <c r="H137" s="10">
        <v>48</v>
      </c>
      <c r="I137" s="10"/>
      <c r="J137" s="31" t="s">
        <v>67</v>
      </c>
      <c r="K137" s="20">
        <f t="shared" si="30"/>
        <v>7</v>
      </c>
      <c r="L137" s="36">
        <f t="shared" ref="L137:M137" si="32">+K137</f>
        <v>7</v>
      </c>
      <c r="M137" s="20">
        <f t="shared" si="32"/>
        <v>7</v>
      </c>
    </row>
    <row r="138" spans="7:13" ht="13.5" customHeight="1" x14ac:dyDescent="0.3">
      <c r="G138" s="18">
        <v>12</v>
      </c>
      <c r="H138" s="10">
        <v>47</v>
      </c>
      <c r="I138" s="10"/>
      <c r="J138" s="31" t="s">
        <v>69</v>
      </c>
      <c r="K138" s="20">
        <f t="shared" si="30"/>
        <v>7</v>
      </c>
      <c r="L138" s="37">
        <f t="shared" ref="L138:M138" si="33">+K138</f>
        <v>7</v>
      </c>
      <c r="M138" s="20">
        <f t="shared" si="33"/>
        <v>7</v>
      </c>
    </row>
    <row r="139" spans="7:13" ht="13.5" customHeight="1" x14ac:dyDescent="0.3">
      <c r="G139" s="18">
        <v>13</v>
      </c>
      <c r="H139" s="10">
        <v>38</v>
      </c>
      <c r="I139" s="10"/>
      <c r="J139" s="31" t="s">
        <v>73</v>
      </c>
      <c r="K139" s="20">
        <f t="shared" si="30"/>
        <v>6</v>
      </c>
      <c r="L139" s="37">
        <f t="shared" ref="L139:M139" si="34">+K139</f>
        <v>6</v>
      </c>
      <c r="M139" s="20">
        <f t="shared" si="34"/>
        <v>6</v>
      </c>
    </row>
    <row r="140" spans="7:13" ht="13.5" customHeight="1" x14ac:dyDescent="0.3">
      <c r="G140" s="18">
        <v>14</v>
      </c>
      <c r="H140" s="10">
        <v>24</v>
      </c>
      <c r="I140" s="10"/>
      <c r="J140" s="31" t="s">
        <v>74</v>
      </c>
      <c r="K140" s="20">
        <f t="shared" si="30"/>
        <v>4</v>
      </c>
      <c r="L140" s="37">
        <f t="shared" ref="L140:M140" si="35">+K140</f>
        <v>4</v>
      </c>
      <c r="M140" s="20">
        <f t="shared" si="35"/>
        <v>4</v>
      </c>
    </row>
    <row r="141" spans="7:13" ht="13.5" customHeight="1" x14ac:dyDescent="0.3">
      <c r="G141" s="18">
        <v>15</v>
      </c>
      <c r="H141" s="10">
        <v>11</v>
      </c>
      <c r="I141" s="10"/>
      <c r="J141" s="31" t="s">
        <v>72</v>
      </c>
      <c r="K141" s="20">
        <f t="shared" si="30"/>
        <v>2</v>
      </c>
      <c r="L141" s="37">
        <f t="shared" ref="L141:M141" si="36">+K141</f>
        <v>2</v>
      </c>
      <c r="M141" s="20">
        <f t="shared" si="36"/>
        <v>2</v>
      </c>
    </row>
    <row r="142" spans="7:13" ht="13.5" customHeight="1" x14ac:dyDescent="0.3">
      <c r="G142" s="18">
        <v>16</v>
      </c>
      <c r="H142" s="10">
        <v>10</v>
      </c>
      <c r="I142" s="10"/>
      <c r="J142" s="31" t="s">
        <v>76</v>
      </c>
      <c r="K142" s="20">
        <f t="shared" si="30"/>
        <v>2</v>
      </c>
      <c r="L142" s="36">
        <f t="shared" ref="L142:M142" si="37">+K142</f>
        <v>2</v>
      </c>
      <c r="M142" s="20">
        <f t="shared" si="37"/>
        <v>2</v>
      </c>
    </row>
    <row r="143" spans="7:13" ht="13.5" customHeight="1" x14ac:dyDescent="0.3">
      <c r="G143" s="18">
        <v>17</v>
      </c>
      <c r="H143" s="10">
        <v>5</v>
      </c>
      <c r="I143" s="10"/>
      <c r="J143" s="31" t="s">
        <v>77</v>
      </c>
      <c r="K143" s="20">
        <f t="shared" si="30"/>
        <v>1</v>
      </c>
      <c r="L143" s="36">
        <f t="shared" ref="L143:M143" si="38">+K143</f>
        <v>1</v>
      </c>
      <c r="M143" s="20">
        <f t="shared" si="38"/>
        <v>1</v>
      </c>
    </row>
    <row r="144" spans="7:13" ht="13.5" customHeight="1" x14ac:dyDescent="0.3"/>
    <row r="145" spans="7:13" ht="13.5" customHeight="1" x14ac:dyDescent="0.3"/>
    <row r="146" spans="7:13" ht="13.5" customHeight="1" x14ac:dyDescent="0.3">
      <c r="L146">
        <f>+L127+L128+L130+L131+L135+L136+L137+L142+L143</f>
        <v>520</v>
      </c>
      <c r="M146">
        <f>+M127+M128+M130+M131+M135+M136+M137+M142+M143</f>
        <v>660</v>
      </c>
    </row>
    <row r="147" spans="7:13" ht="13.5" customHeight="1" x14ac:dyDescent="0.3"/>
    <row r="148" spans="7:13" ht="13.5" customHeight="1" x14ac:dyDescent="0.3">
      <c r="J148" s="71" t="s">
        <v>85</v>
      </c>
      <c r="K148" s="71"/>
      <c r="L148" s="71"/>
    </row>
    <row r="149" spans="7:13" ht="13.5" customHeight="1" x14ac:dyDescent="0.3">
      <c r="G149" s="18" t="s">
        <v>78</v>
      </c>
      <c r="H149" s="10"/>
      <c r="I149" s="32" t="s">
        <v>81</v>
      </c>
      <c r="J149" s="30" t="s">
        <v>33</v>
      </c>
      <c r="K149" s="18" t="s">
        <v>32</v>
      </c>
      <c r="L149" s="18" t="s">
        <v>79</v>
      </c>
      <c r="M149" s="26" t="s">
        <v>80</v>
      </c>
    </row>
    <row r="150" spans="7:13" ht="13.5" customHeight="1" x14ac:dyDescent="0.3">
      <c r="G150" s="18">
        <v>1</v>
      </c>
      <c r="H150" s="10">
        <v>14262</v>
      </c>
      <c r="I150" s="10">
        <v>0.77</v>
      </c>
      <c r="J150" s="31" t="s">
        <v>31</v>
      </c>
      <c r="K150" s="10">
        <v>2037</v>
      </c>
      <c r="L150" s="35">
        <v>176</v>
      </c>
      <c r="M150" s="10">
        <v>241</v>
      </c>
    </row>
    <row r="151" spans="7:13" ht="13.5" customHeight="1" x14ac:dyDescent="0.3">
      <c r="G151" s="18">
        <v>2</v>
      </c>
      <c r="H151" s="10">
        <v>9972</v>
      </c>
      <c r="I151" s="10">
        <v>0.8</v>
      </c>
      <c r="J151" s="31" t="s">
        <v>70</v>
      </c>
      <c r="K151" s="20">
        <v>1425</v>
      </c>
      <c r="L151" s="36">
        <v>155</v>
      </c>
      <c r="M151" s="10">
        <v>210</v>
      </c>
    </row>
    <row r="152" spans="7:13" ht="13.5" customHeight="1" x14ac:dyDescent="0.3">
      <c r="G152" s="18">
        <v>3</v>
      </c>
      <c r="H152" s="10">
        <v>4786</v>
      </c>
      <c r="I152" s="10">
        <v>0.77</v>
      </c>
      <c r="J152" s="31" t="s">
        <v>64</v>
      </c>
      <c r="K152" s="10">
        <v>684</v>
      </c>
      <c r="L152" s="35">
        <v>150</v>
      </c>
      <c r="M152" s="10">
        <v>171</v>
      </c>
    </row>
    <row r="153" spans="7:13" ht="13.5" customHeight="1" x14ac:dyDescent="0.3">
      <c r="G153" s="18">
        <v>4</v>
      </c>
      <c r="H153" s="10">
        <v>1058</v>
      </c>
      <c r="I153" s="10">
        <v>0.82</v>
      </c>
      <c r="J153" s="31" t="s">
        <v>71</v>
      </c>
      <c r="K153" s="20">
        <v>152</v>
      </c>
      <c r="L153" s="37">
        <v>78</v>
      </c>
      <c r="M153" s="10">
        <v>91</v>
      </c>
    </row>
    <row r="154" spans="7:13" ht="13.5" customHeight="1" x14ac:dyDescent="0.3">
      <c r="G154" s="18">
        <v>5</v>
      </c>
      <c r="H154" s="10">
        <v>966</v>
      </c>
      <c r="I154" s="10">
        <v>0.8</v>
      </c>
      <c r="J154" s="31" t="s">
        <v>65</v>
      </c>
      <c r="K154" s="10">
        <v>138</v>
      </c>
      <c r="L154" s="38">
        <v>80</v>
      </c>
      <c r="M154" s="10">
        <v>87</v>
      </c>
    </row>
    <row r="155" spans="7:13" ht="13.5" customHeight="1" x14ac:dyDescent="0.3">
      <c r="G155" s="18">
        <v>6</v>
      </c>
      <c r="H155" s="10">
        <v>781</v>
      </c>
      <c r="I155" s="10">
        <v>0.77</v>
      </c>
      <c r="J155" s="31" t="s">
        <v>30</v>
      </c>
      <c r="K155" s="10">
        <v>112</v>
      </c>
      <c r="L155" s="35">
        <v>71</v>
      </c>
      <c r="M155" s="10">
        <v>80</v>
      </c>
    </row>
    <row r="156" spans="7:13" ht="13.5" customHeight="1" x14ac:dyDescent="0.3">
      <c r="G156" s="18">
        <v>7</v>
      </c>
      <c r="H156" s="10">
        <v>349</v>
      </c>
      <c r="I156" s="10">
        <v>0.8</v>
      </c>
      <c r="J156" s="31" t="s">
        <v>75</v>
      </c>
      <c r="K156" s="20">
        <v>50</v>
      </c>
      <c r="L156" s="36">
        <v>39</v>
      </c>
      <c r="M156" s="10">
        <v>42</v>
      </c>
    </row>
    <row r="157" spans="7:13" ht="13.5" customHeight="1" x14ac:dyDescent="0.3">
      <c r="G157" s="18">
        <v>8</v>
      </c>
      <c r="H157" s="10">
        <v>208</v>
      </c>
      <c r="I157" s="10">
        <v>0.82</v>
      </c>
      <c r="J157" s="31" t="s">
        <v>66</v>
      </c>
      <c r="K157" s="10">
        <v>30</v>
      </c>
      <c r="L157" s="35">
        <v>26</v>
      </c>
      <c r="M157" s="10">
        <v>27</v>
      </c>
    </row>
    <row r="158" spans="7:13" ht="13.5" customHeight="1" x14ac:dyDescent="0.3">
      <c r="G158" s="18">
        <v>9</v>
      </c>
      <c r="H158" s="10">
        <v>87</v>
      </c>
      <c r="I158" s="10"/>
      <c r="J158" s="31" t="s">
        <v>68</v>
      </c>
      <c r="K158" s="20">
        <f>+ROUNDUP(H158/7,0)</f>
        <v>13</v>
      </c>
      <c r="L158" s="37">
        <f>+K158</f>
        <v>13</v>
      </c>
      <c r="M158" s="20">
        <f>+L158</f>
        <v>13</v>
      </c>
    </row>
    <row r="159" spans="7:13" ht="13.5" customHeight="1" x14ac:dyDescent="0.3">
      <c r="G159" s="18">
        <v>10</v>
      </c>
      <c r="H159" s="10">
        <v>56</v>
      </c>
      <c r="I159" s="10"/>
      <c r="J159" s="31" t="s">
        <v>42</v>
      </c>
      <c r="K159" s="20">
        <f t="shared" ref="K159:K166" si="39">+ROUNDUP(H159/7,0)</f>
        <v>8</v>
      </c>
      <c r="L159" s="37">
        <f t="shared" ref="L159:M159" si="40">+K159</f>
        <v>8</v>
      </c>
      <c r="M159" s="20">
        <f t="shared" si="40"/>
        <v>8</v>
      </c>
    </row>
    <row r="160" spans="7:13" ht="13.5" customHeight="1" x14ac:dyDescent="0.3">
      <c r="G160" s="18">
        <v>11</v>
      </c>
      <c r="H160" s="10">
        <v>48</v>
      </c>
      <c r="I160" s="10"/>
      <c r="J160" s="31" t="s">
        <v>67</v>
      </c>
      <c r="K160" s="20">
        <f t="shared" si="39"/>
        <v>7</v>
      </c>
      <c r="L160" s="37">
        <f t="shared" ref="L160:M160" si="41">+K160</f>
        <v>7</v>
      </c>
      <c r="M160" s="20">
        <f t="shared" si="41"/>
        <v>7</v>
      </c>
    </row>
    <row r="161" spans="7:13" ht="13.5" customHeight="1" x14ac:dyDescent="0.3">
      <c r="G161" s="18">
        <v>12</v>
      </c>
      <c r="H161" s="10">
        <v>47</v>
      </c>
      <c r="I161" s="10"/>
      <c r="J161" s="31" t="s">
        <v>69</v>
      </c>
      <c r="K161" s="20">
        <f t="shared" si="39"/>
        <v>7</v>
      </c>
      <c r="L161" s="37">
        <f t="shared" ref="L161:M161" si="42">+K161</f>
        <v>7</v>
      </c>
      <c r="M161" s="20">
        <f t="shared" si="42"/>
        <v>7</v>
      </c>
    </row>
    <row r="162" spans="7:13" ht="13.5" customHeight="1" x14ac:dyDescent="0.3">
      <c r="G162" s="18">
        <v>13</v>
      </c>
      <c r="H162" s="10">
        <v>38</v>
      </c>
      <c r="I162" s="10"/>
      <c r="J162" s="31" t="s">
        <v>73</v>
      </c>
      <c r="K162" s="20">
        <f t="shared" si="39"/>
        <v>6</v>
      </c>
      <c r="L162" s="37">
        <f t="shared" ref="L162:M162" si="43">+K162</f>
        <v>6</v>
      </c>
      <c r="M162" s="20">
        <f t="shared" si="43"/>
        <v>6</v>
      </c>
    </row>
    <row r="163" spans="7:13" ht="13.5" customHeight="1" x14ac:dyDescent="0.3">
      <c r="G163" s="18">
        <v>14</v>
      </c>
      <c r="H163" s="10">
        <v>24</v>
      </c>
      <c r="I163" s="10"/>
      <c r="J163" s="31" t="s">
        <v>74</v>
      </c>
      <c r="K163" s="20">
        <f t="shared" si="39"/>
        <v>4</v>
      </c>
      <c r="L163" s="37">
        <f t="shared" ref="L163:M163" si="44">+K163</f>
        <v>4</v>
      </c>
      <c r="M163" s="20">
        <f t="shared" si="44"/>
        <v>4</v>
      </c>
    </row>
    <row r="164" spans="7:13" ht="13.5" customHeight="1" x14ac:dyDescent="0.3">
      <c r="G164" s="18">
        <v>15</v>
      </c>
      <c r="H164" s="10">
        <v>11</v>
      </c>
      <c r="I164" s="10"/>
      <c r="J164" s="31" t="s">
        <v>72</v>
      </c>
      <c r="K164" s="20">
        <f t="shared" si="39"/>
        <v>2</v>
      </c>
      <c r="L164" s="37">
        <f t="shared" ref="L164:M164" si="45">+K164</f>
        <v>2</v>
      </c>
      <c r="M164" s="20">
        <f t="shared" si="45"/>
        <v>2</v>
      </c>
    </row>
    <row r="165" spans="7:13" ht="13.5" customHeight="1" x14ac:dyDescent="0.3">
      <c r="G165" s="18">
        <v>16</v>
      </c>
      <c r="H165" s="10">
        <v>10</v>
      </c>
      <c r="I165" s="10"/>
      <c r="J165" s="31" t="s">
        <v>76</v>
      </c>
      <c r="K165" s="20">
        <f t="shared" si="39"/>
        <v>2</v>
      </c>
      <c r="L165" s="36">
        <f t="shared" ref="L165:M165" si="46">+K165</f>
        <v>2</v>
      </c>
      <c r="M165" s="20">
        <f t="shared" si="46"/>
        <v>2</v>
      </c>
    </row>
    <row r="166" spans="7:13" ht="13.5" customHeight="1" x14ac:dyDescent="0.3">
      <c r="G166" s="18">
        <v>17</v>
      </c>
      <c r="H166" s="10">
        <v>5</v>
      </c>
      <c r="I166" s="10"/>
      <c r="J166" s="31" t="s">
        <v>77</v>
      </c>
      <c r="K166" s="20">
        <f t="shared" si="39"/>
        <v>1</v>
      </c>
      <c r="L166" s="36">
        <f t="shared" ref="L166:M166" si="47">+K166</f>
        <v>1</v>
      </c>
      <c r="M166" s="20">
        <f t="shared" si="47"/>
        <v>1</v>
      </c>
    </row>
    <row r="167" spans="7:13" ht="13.5" customHeight="1" x14ac:dyDescent="0.3"/>
    <row r="168" spans="7:13" ht="13.5" customHeight="1" x14ac:dyDescent="0.3">
      <c r="L168">
        <f>+L150+L151+L152+L155+L156+L157+L165+L166</f>
        <v>620</v>
      </c>
      <c r="M168">
        <f>+M150+M151+M152+M155+M156+M157+M165+M166</f>
        <v>774</v>
      </c>
    </row>
    <row r="169" spans="7:13" ht="13.5" customHeight="1" x14ac:dyDescent="0.3"/>
    <row r="170" spans="7:13" ht="13.5" customHeight="1" x14ac:dyDescent="0.3"/>
    <row r="171" spans="7:13" ht="13.5" customHeight="1" x14ac:dyDescent="0.3"/>
    <row r="172" spans="7:13" ht="13.5" customHeight="1" x14ac:dyDescent="0.3"/>
    <row r="173" spans="7:13" ht="13.5" customHeight="1" x14ac:dyDescent="0.3"/>
    <row r="174" spans="7:13" ht="13.5" customHeight="1" x14ac:dyDescent="0.3"/>
    <row r="175" spans="7:13" ht="13.5" customHeight="1" x14ac:dyDescent="0.3"/>
    <row r="176" spans="7:13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</sheetData>
  <sortState xmlns:xlrd2="http://schemas.microsoft.com/office/spreadsheetml/2017/richdata2" ref="H26:L40">
    <sortCondition descending="1" ref="H26:H40"/>
  </sortState>
  <mergeCells count="17">
    <mergeCell ref="J148:L148"/>
    <mergeCell ref="J23:L23"/>
    <mergeCell ref="J52:L52"/>
    <mergeCell ref="J76:L76"/>
    <mergeCell ref="J101:L101"/>
    <mergeCell ref="J125:L125"/>
    <mergeCell ref="E6:R6"/>
    <mergeCell ref="C7:D7"/>
    <mergeCell ref="E7:R7"/>
    <mergeCell ref="C2:D2"/>
    <mergeCell ref="C3:D3"/>
    <mergeCell ref="E3:R3"/>
    <mergeCell ref="C4:D4"/>
    <mergeCell ref="E4:R4"/>
    <mergeCell ref="C5:D5"/>
    <mergeCell ref="E5:R5"/>
    <mergeCell ref="C6:D6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Cronograma</vt:lpstr>
      <vt:lpstr>Priorización de GPC</vt:lpstr>
      <vt:lpstr>Cálculo de la muestra 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TOLEDO ROJAS</dc:creator>
  <cp:lastModifiedBy>LEIDY TOLEDO ROJAS</cp:lastModifiedBy>
  <dcterms:created xsi:type="dcterms:W3CDTF">2025-08-20T01:54:03Z</dcterms:created>
  <dcterms:modified xsi:type="dcterms:W3CDTF">2025-09-23T13:25:38Z</dcterms:modified>
</cp:coreProperties>
</file>